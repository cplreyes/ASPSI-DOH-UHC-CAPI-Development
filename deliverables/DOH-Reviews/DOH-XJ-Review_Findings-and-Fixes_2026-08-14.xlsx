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ly\.claude\jobs\9f225161\tmp\"/>
    </mc:Choice>
  </mc:AlternateContent>
  <xr:revisionPtr revIDLastSave="0" documentId="13_ncr:1_{D05DFFE6-ECBF-488A-B99B-49C01F2B46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Facility Head (F1)" sheetId="2" r:id="rId2"/>
    <sheet name="HCW (F2)" sheetId="3" r:id="rId3"/>
    <sheet name="Patient (F3)" sheetId="4" r:id="rId4"/>
    <sheet name="Household (F4)" sheetId="5" r:id="rId5"/>
  </sheets>
  <definedNames>
    <definedName name="_xlnm._FilterDatabase" localSheetId="1" hidden="1">'Facility Head (F1)'!$A$3:$F$4</definedName>
    <definedName name="_xlnm._FilterDatabase" localSheetId="2" hidden="1">'HCW (F2)'!$A$3:$F$66</definedName>
    <definedName name="_xlnm._FilterDatabase" localSheetId="4" hidden="1">'Household (F4)'!$A$3:$F$91</definedName>
    <definedName name="_xlnm._FilterDatabase" localSheetId="3" hidden="1">'Patient (F3)'!$A$3:$F$6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F24" i="1" s="1"/>
  <c r="E23" i="1"/>
  <c r="D23" i="1"/>
  <c r="C23" i="1"/>
  <c r="B23" i="1"/>
  <c r="E22" i="1"/>
  <c r="D22" i="1"/>
  <c r="C22" i="1"/>
  <c r="B22" i="1"/>
  <c r="E21" i="1"/>
  <c r="D21" i="1"/>
  <c r="C21" i="1"/>
  <c r="B21" i="1"/>
  <c r="F23" i="1" l="1"/>
  <c r="F22" i="1"/>
  <c r="B28" i="1"/>
  <c r="F25" i="1"/>
  <c r="D28" i="1"/>
  <c r="F27" i="1"/>
  <c r="F26" i="1"/>
  <c r="C28" i="1"/>
  <c r="E28" i="1"/>
  <c r="F21" i="1"/>
  <c r="F28" i="1" l="1"/>
</calcChain>
</file>

<file path=xl/sharedStrings.xml><?xml version="1.0" encoding="utf-8"?>
<sst xmlns="http://schemas.openxmlformats.org/spreadsheetml/2006/main" count="991" uniqueCount="630">
  <si>
    <t>DOH Review Comments (via Xylee “XJ” Javier) — Findings &amp; Fixes Summary</t>
  </si>
  <si>
    <t>ASPSI–DOH UHC Survey Year 2 CAPI · compiled 2026-08-14 · statuses verified against the current build</t>
  </si>
  <si>
    <t>What this file covers</t>
  </si>
  <si>
    <t>• XJ's PAPI-vs-CAPI screenshot reviews (July 2026) — 149 per-question findings: 63 on HCW (F2) and 86 on Household (F4). Each finding is one row on the instrument tabs, with XJ's comment verbatim and the current-build status.</t>
  </si>
  <si>
    <t>• The DOH June-2026 questionnaire comment batch (also relayed via XJ) for F1/F3/F4 — summarized at theme level on the F1/F3/F4 tabs. Per Dr. Myra Silva-Javier's ruling (2026-06-12) these are PARKED: the April-20 questionnaire is the accepted build baseline.</t>
  </si>
  <si>
    <t>• DOH-agreed content changes that WERE built (PhilHealth follow-up reinstatements; June-5 Deliverable-2 tool alignment) — rows marked 'Fixed in build'.</t>
  </si>
  <si>
    <t>Key result of the August 2026 verification</t>
  </si>
  <si>
    <t>• All 88 'Other (specify) field missing' findings were re-audited against the live instruments: 85 verified present (50 F4 dictionary fields, 35 F2 PWA companion fields with required 'Please specify' validation) and 3 not applicable (F2 Q109 is free-text; F2 Q112/Q123 have no Other option). 0 real gaps.</t>
  </si>
  <si>
    <t>• Multi-select exclusivity (an XJ ask on both instruments) now HARD-blocks invalid combinations — shipped class-wide in the pretest fix waves (Aug 2026).</t>
  </si>
  <si>
    <t>• The remaining design/UX/process items need no build change: they are answered by documentation (skip/validation matrix + test login + current screenshots), are deliberate design, or await an ASPSI/DOH decision (parked).</t>
  </si>
  <si>
    <t>How to read the Status column</t>
  </si>
  <si>
    <t>• Fixed in build — a change was made and deployed.   • Verified in build — the asked-for feature already exists (confirmed by audit).</t>
  </si>
  <si>
    <t>• Already in build — feature existed before the review; XJ's April screenshots pre-date it.   • By design — intentional difference from PAPI, rationale documented.</t>
  </si>
  <si>
    <t>• Docs to provide — no build change; answered via the evidence pack.   • Parked — DOH decision — change candidate held per the 2026-06-12 ruling.</t>
  </si>
  <si>
    <t>Counts by status</t>
  </si>
  <si>
    <t>Status</t>
  </si>
  <si>
    <t>F1</t>
  </si>
  <si>
    <t>F2</t>
  </si>
  <si>
    <t>F3</t>
  </si>
  <si>
    <t>F4</t>
  </si>
  <si>
    <t>Total</t>
  </si>
  <si>
    <t>Fixed in build</t>
  </si>
  <si>
    <t>Verified in build</t>
  </si>
  <si>
    <t>Already in build</t>
  </si>
  <si>
    <t>By design</t>
  </si>
  <si>
    <t>Docs to provide</t>
  </si>
  <si>
    <t>Parked — DOH decision</t>
  </si>
  <si>
    <t>Not applicable</t>
  </si>
  <si>
    <t>Total rows</t>
  </si>
  <si>
    <t>Facility Head (F1) — DOH comments via XJ</t>
  </si>
  <si>
    <t>XJ's July-2026 PAPI-vs-CAPI screenshot review covered F2 and F4 only — no per-question XJ findings exist for F1. Rows below are the F1 items from the DOH June-2026 questionnaire comment batch (relayed via XJ), per-item matrix held in ASPSI's comment thread/Google Doc.</t>
  </si>
  <si>
    <t>Question</t>
  </si>
  <si>
    <t>Comments</t>
  </si>
  <si>
    <t>Category of bug</t>
  </si>
  <si>
    <t>Fixes</t>
  </si>
  <si>
    <t>GitHub ref</t>
  </si>
  <si>
    <t>Q19, Q21, Q23, Q25, Q27, Q29, Q31, Q39–Q48 (+ EMR / MoU / NBB / ZBB items)</t>
  </si>
  <si>
    <t>DOH proposed restructuring ~18 questions into a two-step pattern: “Has this changed since 2019?” then “Is the change a result of the UHC Act?”.</t>
  </si>
  <si>
    <t>Questionnaire redesign (content)</t>
  </si>
  <si>
    <t>No build change — parked per Dr. Myra Silva-Javier's ruling (2026-06-12): the April-20 questionnaire is the accepted baseline; June comments are answered with finality only if they resurface via SJREB review, PSA review, or pre-testing. Adopting them mid-stream was quantified (2026-06-19) as an 8–10-week slip.</t>
  </si>
  <si>
    <t>—</t>
  </si>
  <si>
    <t>Healthcare Worker (F2 / PWA) — 63 XJ findings</t>
  </si>
  <si>
    <t>Source: XJ PAPI-vs-CAPI HCW review (July 2026), triaged one GitHub issue per finding under epic #849 (label from-doh-review-xj-2026-07). Comments are XJ's, verbatim from the triage. Statuses re-verified against the current PWA build, August 2026.</t>
  </si>
  <si>
    <t>form-wide</t>
  </si>
  <si>
    <t>The HCW Survey CAPI appears to use a different interface. Clarify whether a different platform/version is used and the rationale; consider consistent UX across instruments. (XJ rates the HCW/PWA interface the more polished one — section headers, progress indicators, no repeated question text.)</t>
  </si>
  <si>
    <t>Form structure / sections</t>
  </si>
  <si>
    <t>Working as designed — F2 is the PWA by design (self-administered, online/offline); F1/F3/F4 are CSPro. Document the rationale; XJ recommends the others match F2, not the reverse.</t>
  </si>
  <si>
    <t>#851</t>
  </si>
  <si>
    <t>documentation</t>
  </si>
  <si>
    <t>Since the tools were submitted to PSA, documentation should reflect the complete/near-final CAPI; representative screenshots of full interface + functionality across instruments would enable a more accurate review.</t>
  </si>
  <si>
    <t>Process / documentation</t>
  </si>
  <si>
    <t>No build change — to be answered with the evidence pack (skip/validation matrix + test login). Evidence: supply current screenshots + a test login.</t>
  </si>
  <si>
    <t>#852</t>
  </si>
  <si>
    <t>sections</t>
  </si>
  <si>
    <t>The submitted screenshots do not show the Questionnaire number, Informed Consent Form, Field Control, and Health Facility &amp; Geographic Identification sections present in PAPI. Clarify how implemented in CAPI, and whether the offline version matches the online interface.</t>
  </si>
  <si>
    <t>Form structure — consent</t>
  </si>
  <si>
    <t>Already implemented in the current build — Consent gate shipped (F2 R6 #808); enrolment carries facility/QN. Screenshot gap — attach current screens; state offline parity. No code change needed; evidence = current screens.</t>
  </si>
  <si>
    <t>#853</t>
  </si>
  <si>
    <t>navigation</t>
  </si>
  <si>
    <t>Screenshots do not show navigation controls. Clarify how respondents navigate, especially when reviewing/correcting previous responses.</t>
  </si>
  <si>
    <t>Platform behavior / UX</t>
  </si>
  <si>
    <t>Already implemented in the current build — PWA has section navigation. Screenshot/documentation gap. No code change needed; evidence = current screens.</t>
  </si>
  <si>
    <t>#854</t>
  </si>
  <si>
    <t>autosave</t>
  </si>
  <si>
    <t>Clarify whether the app autosaves on connectivity loss, device interruption, or unexpected closure, and describe data-recovery mechanisms.</t>
  </si>
  <si>
    <t>Already implemented in the current build — F2 has IndexedDB autosave in production. Document it. No code change needed; evidence = current screens.</t>
  </si>
  <si>
    <t>#855</t>
  </si>
  <si>
    <t>resume</t>
  </si>
  <si>
    <t>Clarify whether the system can detect an incomplete questionnaire and allow resuming from the last saved point.</t>
  </si>
  <si>
    <t>Already implemented in the current build — F2 supports resume in production. Document it. No code change needed; evidence = current screens.</t>
  </si>
  <si>
    <t>#856</t>
  </si>
  <si>
    <t>timeout</t>
  </si>
  <si>
    <t>Indicate whether sessions time out/expire; if so, how unsaved responses are handled and whether users are notified before expiry.</t>
  </si>
  <si>
    <t>Working as designed — Design point — state the behaviour (self-administered PWA).</t>
  </si>
  <si>
    <t>#857</t>
  </si>
  <si>
    <t>required-fields</t>
  </si>
  <si>
    <t>The HCW CAPI uses a red asterisk (*) to mark fields but provides no legend. If it marks required fields, add a brief note clarifying its meaning.</t>
  </si>
  <si>
    <t>Display / wording</t>
  </si>
  <si>
    <t>No build change — change candidate parked per Dr. Myra Silva-Javier's ruling (2026-06-12; April-20 questionnaire is the accepted baseline); needs an ASPSI/DOH decision before building. Small UX add; candidate.</t>
  </si>
  <si>
    <t>#858</t>
  </si>
  <si>
    <t>skip-matrix</t>
  </si>
  <si>
    <t>Skip rules are omitted from the interface (correct for CAPI) but the reviewer cannot verify programmed skips/validations without test access, and screenshots don't demonstrate validation checks. Provide a skip-pattern matrix, programming specs, or a test environment.</t>
  </si>
  <si>
    <t>No build change — to be answered with the evidence pack (skip/validation matrix + test login). Highest-leverage answer: one skip/validation matrix + a test login (verify_questions.py output is a starting point).</t>
  </si>
  <si>
    <t>#859</t>
  </si>
  <si>
    <t>validation-exclusive</t>
  </si>
  <si>
    <t>For multiple-answer questions, automatically block selecting 'None of the above'/'Refuse'/'Not applicable'/'Don't know' if 'Other (Specify)' or any listed option is chosen.</t>
  </si>
  <si>
    <t>Validation — answer rules</t>
  </si>
  <si>
    <t>Already implemented in the current build — the PWA enforces exclusivity (selecting a listed/Other option blocks or clears exclusive options), shipped before the review and covered by automated exclusivity tests. Evidence = current-build demo.</t>
  </si>
  <si>
    <t>#860</t>
  </si>
  <si>
    <t>validation-simultaneous</t>
  </si>
  <si>
    <t>For multiple-answer questions, prevent simultaneous selection of the exclusive options (None/Refuse/NA/DK).</t>
  </si>
  <si>
    <t>Already implemented in the current build — mutually-exclusive options cannot be selected together in the PWA; enforcement predates the review. Evidence = current-build demo.</t>
  </si>
  <si>
    <t>#861</t>
  </si>
  <si>
    <t>validation-single-multi</t>
  </si>
  <si>
    <t>Check for questions needing only one answer where the program allows multiple selection, and vice versa.</t>
  </si>
  <si>
    <t>No build change — to be answered with the evidence pack (skip/validation matrix + test login). Verify via the validation matrix.</t>
  </si>
  <si>
    <t>#862</t>
  </si>
  <si>
    <t>employment-defs</t>
  </si>
  <si>
    <t>The employment-type definitions in PAPI are not shown in CAPI. As it is self-administered, make definitions available (help text/tooltips).</t>
  </si>
  <si>
    <t>Already implemented in the current build — Shipped as the #826 newline-rendered Q2 definitions. Confirm current render. No code change needed; evidence = current screens.</t>
  </si>
  <si>
    <t>#863</t>
  </si>
  <si>
    <t>select-one</t>
  </si>
  <si>
    <t>The PAPI 'Select one answer only' instruction is not observed in CAPI. Confirm whether intentionally omitted or enforced by the interface.</t>
  </si>
  <si>
    <t>No build change — to be answered with the evidence pack (skip/validation matrix + test login). Enforced by single-select controls; confirm.</t>
  </si>
  <si>
    <t>#864</t>
  </si>
  <si>
    <t>input-labels</t>
  </si>
  <si>
    <t>For numeric responses with units, add input labels like 'Year(s)'/'Day(s)'/'Hour(s)' as in Q9; Q10 (days) and Q11 (hours) lack them.</t>
  </si>
  <si>
    <t>No build change — change candidate parked per Dr. Myra Silva-Javier's ruling (2026-06-12; April-20 questionnaire is the accepted baseline); needs an ASPSI/DOH decision before building. Candidate UX; verify current labels.</t>
  </si>
  <si>
    <t>#865</t>
  </si>
  <si>
    <t>Q38</t>
  </si>
  <si>
    <t>For Q38, clarify whether 'Not a physician/dentist' can be determined automatically from the respondent's role in Q5; if so, implement as a system-driven condition rather than a manual option.</t>
  </si>
  <si>
    <t>Clarification / process</t>
  </si>
  <si>
    <t>No build change — change candidate parked per Dr. Myra Silva-Javier's ruling (2026-06-12; April-20 questionnaire is the accepted baseline); needs an ASPSI/DOH decision before building. Candidate logic change; ASPSI/DOH call.</t>
  </si>
  <si>
    <t>#866</t>
  </si>
  <si>
    <t>E1</t>
  </si>
  <si>
    <t>No sub-header 'E1. Awareness of and perceptions on BUCAS' shown in CAPI.</t>
  </si>
  <si>
    <t>No build change — change candidate parked per Dr. Myra Silva-Javier's ruling (2026-06-12; April-20 questionnaire is the accepted baseline); needs an ASPSI/DOH decision before building. Presentation; add section sub-header.</t>
  </si>
  <si>
    <t>#867</t>
  </si>
  <si>
    <t>E2</t>
  </si>
  <si>
    <t>No sub-header 'E2. Awareness of GAMOT Package' shown in CAPI.</t>
  </si>
  <si>
    <t>#868</t>
  </si>
  <si>
    <t>Q62</t>
  </si>
  <si>
    <t>Is the 'proceed to Q63...' a typo that should be 'proceed to Q62'? Who will answer Q62 given the skip rules in Q61?</t>
  </si>
  <si>
    <t>No build change — to be answered with the evidence pack (skip/validation matrix + test login). Verify routing against spec; confirm/correct.</t>
  </si>
  <si>
    <t>#869</t>
  </si>
  <si>
    <t>Q71</t>
  </si>
  <si>
    <t>Will 'yes' in Q69 and 'yes' in Q70 have a separate input field for Q71 as shown in PAPI?</t>
  </si>
  <si>
    <t>No build change — to be answered with the evidence pack (skip/validation matrix + test login). Verify against spec/build.</t>
  </si>
  <si>
    <t>#870</t>
  </si>
  <si>
    <t>Q35</t>
  </si>
  <si>
    <t>The CAPI Q35 provides clearer instructions (Year required; Month/Day optional) — an improvement over PAPI. Apply the same design consistently where applicable.</t>
  </si>
  <si>
    <t>Already implemented in the current build — Positive — XJ praises this; note as the model to reuse. No code change needed; evidence = current screens.</t>
  </si>
  <si>
    <t>#871</t>
  </si>
  <si>
    <t>Q98</t>
  </si>
  <si>
    <t>Missing instruction before Q98, applicable up to Q107.</t>
  </si>
  <si>
    <t>No build change — change candidate parked per Dr. Myra Silva-Javier's ruling (2026-06-12; April-20 questionnaire is the accepted baseline); needs an ASPSI/DOH decision before building. Add the section instruction; verify.</t>
  </si>
  <si>
    <t>#872</t>
  </si>
  <si>
    <t>Q113</t>
  </si>
  <si>
    <t>Missing instruction before Q113, applicable up to Q120.</t>
  </si>
  <si>
    <t>#873</t>
  </si>
  <si>
    <t>Q6</t>
  </si>
  <si>
    <t>Q6 has no screenshot in CAPI.</t>
  </si>
  <si>
    <t>No build change — to be answered with the evidence pack (skip/validation matrix + test login). Screenshot gap; attach current screen.</t>
  </si>
  <si>
    <t>#874</t>
  </si>
  <si>
    <t>A 'None' option appears added in CAPI (unspecified item) — confirm whether intended.</t>
  </si>
  <si>
    <t>No build change — change candidate parked per Dr. Myra Silva-Javier's ruling (2026-06-12; April-20 questionnaire is the accepted baseline); needs an ASPSI/DOH decision before building. Verify the item; confirm.</t>
  </si>
  <si>
    <t>#875</t>
  </si>
  <si>
    <t>Q2</t>
  </si>
  <si>
    <t>XJ flags that all questions with an 'Other (specify)' option lack the 'specify' data field; Q2 is on that list. Ensure the 'Other' option exposes a free-text capture.</t>
  </si>
  <si>
    <t>Data capture — Other (specify) field</t>
  </si>
  <si>
    <t>VERIFIED in current build (2026-08 audit of the PWA schema) — companion field Q2_other exists with a required 'Please specify' validation when Other is chosen.</t>
  </si>
  <si>
    <t>#912</t>
  </si>
  <si>
    <t>Q5</t>
  </si>
  <si>
    <t>XJ flags that all questions with an 'Other (specify)' option lack the 'specify' data field; Q5 is on that list. Ensure the 'Other' option exposes a free-text capture.</t>
  </si>
  <si>
    <t>VERIFIED in current build (2026-08 audit of the PWA schema) — companion field Q5_other exists with a required 'Please specify' validation when Other is chosen.</t>
  </si>
  <si>
    <t>#913</t>
  </si>
  <si>
    <t>XJ flags that all questions with an 'Other (specify)' option lack the 'specify' data field; Q6 is on that list. Ensure the 'Other' option exposes a free-text capture.</t>
  </si>
  <si>
    <t>VERIFIED in current build (2026-08 audit of the PWA schema) — companion field Q6_other exists with a required 'Please specify' validation when Other is chosen.</t>
  </si>
  <si>
    <t>#914</t>
  </si>
  <si>
    <t>Q13</t>
  </si>
  <si>
    <t>XJ flags that all questions with an 'Other (specify)' option lack the 'specify' data field; Q13 is on that list. Ensure the 'Other' option exposes a free-text capture.</t>
  </si>
  <si>
    <t>VERIFIED in current build (2026-08 audit of the PWA schema) — companion field Q13_other exists with a required 'Please specify' validation when Other is chosen.</t>
  </si>
  <si>
    <t>#915</t>
  </si>
  <si>
    <t>Q15</t>
  </si>
  <si>
    <t>XJ flags that all questions with an 'Other (specify)' option lack the 'specify' data field; Q15 is on that list. Ensure the 'Other' option exposes a free-text capture.</t>
  </si>
  <si>
    <t>VERIFIED in current build (2026-08 audit of the PWA schema) — companion field Q15_other exists with a required 'Please specify' validation when Other is chosen.</t>
  </si>
  <si>
    <t>#916</t>
  </si>
  <si>
    <t>Q17</t>
  </si>
  <si>
    <t>XJ flags that all questions with an 'Other (specify)' option lack the 'specify' data field; Q17 is on that list. Ensure the 'Other' option exposes a free-text capture.</t>
  </si>
  <si>
    <t>VERIFIED in current build (2026-08 audit of the PWA schema) — companion field Q17_other exists with a required 'Please specify' validation when Other is chosen.</t>
  </si>
  <si>
    <t>#917</t>
  </si>
  <si>
    <t>Q18</t>
  </si>
  <si>
    <t>XJ flags that all questions with an 'Other (specify)' option lack the 'specify' data field; Q18 is on that list. Ensure the 'Other' option exposes a free-text capture.</t>
  </si>
  <si>
    <t>VERIFIED in current build (2026-08 audit of the PWA schema) — companion field Q18_other exists with a required 'Please specify' validation when Other is chosen.</t>
  </si>
  <si>
    <t>#918</t>
  </si>
  <si>
    <t>Q19</t>
  </si>
  <si>
    <t>XJ flags that all questions with an 'Other (specify)' option lack the 'specify' data field; Q19 is on that list. Ensure the 'Other' option exposes a free-text capture.</t>
  </si>
  <si>
    <t>VERIFIED in current build (2026-08 audit of the PWA schema) — companion field Q19_other exists with a required 'Please specify' validation when Other is chosen.</t>
  </si>
  <si>
    <t>#919</t>
  </si>
  <si>
    <t>Q20</t>
  </si>
  <si>
    <t>XJ flags that all questions with an 'Other (specify)' option lack the 'specify' data field; Q20 is on that list. Ensure the 'Other' option exposes a free-text capture.</t>
  </si>
  <si>
    <t>VERIFIED in current build (2026-08 audit of the PWA schema) — companion field Q20_other exists with a required 'Please specify' validation when Other is chosen.</t>
  </si>
  <si>
    <t>#920</t>
  </si>
  <si>
    <t>Q21</t>
  </si>
  <si>
    <t>XJ flags that all questions with an 'Other (specify)' option lack the 'specify' data field; Q21 is on that list. Ensure the 'Other' option exposes a free-text capture.</t>
  </si>
  <si>
    <t>VERIFIED in current build (2026-08 audit of the PWA schema) — companion field Q21_other exists with a required 'Please specify' validation when Other is chosen.</t>
  </si>
  <si>
    <t>#921</t>
  </si>
  <si>
    <t>Q22</t>
  </si>
  <si>
    <t>XJ flags that all questions with an 'Other (specify)' option lack the 'specify' data field; Q22 is on that list. Ensure the 'Other' option exposes a free-text capture.</t>
  </si>
  <si>
    <t>VERIFIED in current build (2026-08 audit of the PWA schema) — companion field Q22_other exists with a required 'Please specify' validation when Other is chosen.</t>
  </si>
  <si>
    <t>#922</t>
  </si>
  <si>
    <t>Q23</t>
  </si>
  <si>
    <t>XJ flags that all questions with an 'Other (specify)' option lack the 'specify' data field; Q23 is on that list. Ensure the 'Other' option exposes a free-text capture.</t>
  </si>
  <si>
    <t>VERIFIED in current build (2026-08 audit of the PWA schema) — companion field Q23_other exists with a required 'Please specify' validation when Other is chosen.</t>
  </si>
  <si>
    <t>#923</t>
  </si>
  <si>
    <t>Q24</t>
  </si>
  <si>
    <t>XJ flags that all questions with an 'Other (specify)' option lack the 'specify' data field; Q24 is on that list. Ensure the 'Other' option exposes a free-text capture.</t>
  </si>
  <si>
    <t>VERIFIED in current build (2026-08 audit of the PWA schema) — companion field Q24_other exists with a required 'Please specify' validation when Other is chosen.</t>
  </si>
  <si>
    <t>#924</t>
  </si>
  <si>
    <t>Q25</t>
  </si>
  <si>
    <t>XJ flags that all questions with an 'Other (specify)' option lack the 'specify' data field; Q25 is on that list. Ensure the 'Other' option exposes a free-text capture.</t>
  </si>
  <si>
    <t>VERIFIED in current build (2026-08 audit of the PWA schema) — companion field Q25_other exists with a required 'Please specify' validation when Other is chosen.</t>
  </si>
  <si>
    <t>#925</t>
  </si>
  <si>
    <t>Q34</t>
  </si>
  <si>
    <t>XJ flags that all questions with an 'Other (specify)' option lack the 'specify' data field; Q34 is on that list. Ensure the 'Other' option exposes a free-text capture.</t>
  </si>
  <si>
    <t>VERIFIED in current build (2026-08 audit of the PWA schema) — companion field Q34_other exists with a required 'Please specify' validation when Other is chosen.</t>
  </si>
  <si>
    <t>#926</t>
  </si>
  <si>
    <t>Q36</t>
  </si>
  <si>
    <t>XJ flags that all questions with an 'Other (specify)' option lack the 'specify' data field; Q36 is on that list. Ensure the 'Other' option exposes a free-text capture.</t>
  </si>
  <si>
    <t>VERIFIED in current build (2026-08 audit of the PWA schema) — companion field Q36_other exists with a required 'Please specify' validation when Other is chosen.</t>
  </si>
  <si>
    <t>#927</t>
  </si>
  <si>
    <t>Q37</t>
  </si>
  <si>
    <t>XJ flags that all questions with an 'Other (specify)' option lack the 'specify' data field; Q37 is on that list. Ensure the 'Other' option exposes a free-text capture.</t>
  </si>
  <si>
    <t>VERIFIED in current build (2026-08 audit of the PWA schema) — companion field Q37_other exists with a required 'Please specify' validation when Other is chosen.</t>
  </si>
  <si>
    <t>#928</t>
  </si>
  <si>
    <t>Q39</t>
  </si>
  <si>
    <t>XJ flags that all questions with an 'Other (specify)' option lack the 'specify' data field; Q39 is on that list. Ensure the 'Other' option exposes a free-text capture.</t>
  </si>
  <si>
    <t>VERIFIED in current build (2026-08 audit of the PWA schema) — companion field Q39_other exists with a required 'Please specify' validation when Other is chosen.</t>
  </si>
  <si>
    <t>#929</t>
  </si>
  <si>
    <t>Q42</t>
  </si>
  <si>
    <t>XJ flags that all questions with an 'Other (specify)' option lack the 'specify' data field; Q42 is on that list. Ensure the 'Other' option exposes a free-text capture.</t>
  </si>
  <si>
    <t>VERIFIED in current build (2026-08 audit of the PWA schema) — companion field Q42_other exists with a required 'Please specify' validation when Other is chosen.</t>
  </si>
  <si>
    <t>#930</t>
  </si>
  <si>
    <t>Q43</t>
  </si>
  <si>
    <t>XJ flags that all questions with an 'Other (specify)' option lack the 'specify' data field; Q43 is on that list. Ensure the 'Other' option exposes a free-text capture.</t>
  </si>
  <si>
    <t>VERIFIED in current build (2026-08 audit of the PWA schema) — companion field Q43_other exists with a required 'Please specify' validation when Other is chosen.</t>
  </si>
  <si>
    <t>#931</t>
  </si>
  <si>
    <t>Q45</t>
  </si>
  <si>
    <t>XJ flags that all questions with an 'Other (specify)' option lack the 'specify' data field; Q45 is on that list. Ensure the 'Other' option exposes a free-text capture.</t>
  </si>
  <si>
    <t>VERIFIED in current build (2026-08 audit of the PWA schema) — companion field Q45_other exists with a required 'Please specify' validation when Other is chosen.</t>
  </si>
  <si>
    <t>#932</t>
  </si>
  <si>
    <t>Q46</t>
  </si>
  <si>
    <t>XJ flags that all questions with an 'Other (specify)' option lack the 'specify' data field; Q46 is on that list. Ensure the 'Other' option exposes a free-text capture.</t>
  </si>
  <si>
    <t>VERIFIED in current build (2026-08 audit of the PWA schema) — companion field Q46_other exists with a required 'Please specify' validation when Other is chosen.</t>
  </si>
  <si>
    <t>#933</t>
  </si>
  <si>
    <t>Q47</t>
  </si>
  <si>
    <t>XJ flags that all questions with an 'Other (specify)' option lack the 'specify' data field; Q47 is on that list. Ensure the 'Other' option exposes a free-text capture.</t>
  </si>
  <si>
    <t>VERIFIED in current build (2026-08 audit of the PWA schema) — companion field Q47_other exists with a required 'Please specify' validation when Other is chosen.</t>
  </si>
  <si>
    <t>#934</t>
  </si>
  <si>
    <t>Q50</t>
  </si>
  <si>
    <t>XJ flags that all questions with an 'Other (specify)' option lack the 'specify' data field; Q50 is on that list. Ensure the 'Other' option exposes a free-text capture.</t>
  </si>
  <si>
    <t>VERIFIED in current build (2026-08 audit of the PWA schema) — companion field Q50_other exists with a required 'Please specify' validation when Other is chosen.</t>
  </si>
  <si>
    <t>#935</t>
  </si>
  <si>
    <t>Q52</t>
  </si>
  <si>
    <t>XJ flags that all questions with an 'Other (specify)' option lack the 'specify' data field; Q52 is on that list. Ensure the 'Other' option exposes a free-text capture.</t>
  </si>
  <si>
    <t>VERIFIED in current build (2026-08 audit of the PWA schema) — companion field Q52_other exists with a required 'Please specify' validation when Other is chosen.</t>
  </si>
  <si>
    <t>#936</t>
  </si>
  <si>
    <t>Q55</t>
  </si>
  <si>
    <t>XJ flags that all questions with an 'Other (specify)' option lack the 'specify' data field; Q55 is on that list. Ensure the 'Other' option exposes a free-text capture.</t>
  </si>
  <si>
    <t>VERIFIED in current build (2026-08 audit of the PWA schema) — companion field Q55_other exists with a required 'Please specify' validation when Other is chosen.</t>
  </si>
  <si>
    <t>#937</t>
  </si>
  <si>
    <t>Q56</t>
  </si>
  <si>
    <t>XJ flags that all questions with an 'Other (specify)' option lack the 'specify' data field; Q56 is on that list. Ensure the 'Other' option exposes a free-text capture.</t>
  </si>
  <si>
    <t>VERIFIED in current build (2026-08 audit of the PWA schema) — companion field Q56_other exists with a required 'Please specify' validation when Other is chosen.</t>
  </si>
  <si>
    <t>#938</t>
  </si>
  <si>
    <t>Q57</t>
  </si>
  <si>
    <t>XJ flags that all questions with an 'Other (specify)' option lack the 'specify' data field; Q57 is on that list. Ensure the 'Other' option exposes a free-text capture.</t>
  </si>
  <si>
    <t>VERIFIED in current build (2026-08 audit of the PWA schema) — companion field Q57_other exists with a required 'Please specify' validation when Other is chosen.</t>
  </si>
  <si>
    <t>#939</t>
  </si>
  <si>
    <t>Q60</t>
  </si>
  <si>
    <t>XJ flags that all questions with an 'Other (specify)' option lack the 'specify' data field; Q60 is on that list. Ensure the 'Other' option exposes a free-text capture.</t>
  </si>
  <si>
    <t>VERIFIED in current build (2026-08 audit of the PWA schema) — companion field Q60_other exists with a required 'Please specify' validation when Other is chosen.</t>
  </si>
  <si>
    <t>#940</t>
  </si>
  <si>
    <t>XJ flags that all questions with an 'Other (specify)' option lack the 'specify' data field; Q62 is on that list. Ensure the 'Other' option exposes a free-text capture.</t>
  </si>
  <si>
    <t>VERIFIED in current build (2026-08 audit of the PWA schema) — companion field Q62_other exists with a required 'Please specify' validation when Other is chosen.</t>
  </si>
  <si>
    <t>#941</t>
  </si>
  <si>
    <t>Q92</t>
  </si>
  <si>
    <t>XJ flags that all questions with an 'Other (specify)' option lack the 'specify' data field; Q92 is on that list. Ensure the 'Other' option exposes a free-text capture.</t>
  </si>
  <si>
    <t>VERIFIED in current build (2026-08 audit of the PWA schema) — companion field Q92_other exists with a required 'Please specify' validation when Other is chosen.</t>
  </si>
  <si>
    <t>#942</t>
  </si>
  <si>
    <t>Q93</t>
  </si>
  <si>
    <t>XJ flags that all questions with an 'Other (specify)' option lack the 'specify' data field; Q93 is on that list. Ensure the 'Other' option exposes a free-text capture.</t>
  </si>
  <si>
    <t>VERIFIED in current build (2026-08 audit of the PWA schema) — companion field Q93_other exists with a required 'Please specify' validation when Other is chosen.</t>
  </si>
  <si>
    <t>#943</t>
  </si>
  <si>
    <t>Q94</t>
  </si>
  <si>
    <t>XJ flags that all questions with an 'Other (specify)' option lack the 'specify' data field; Q94 is on that list. Ensure the 'Other' option exposes a free-text capture.</t>
  </si>
  <si>
    <t>VERIFIED in current build (2026-08 audit of the PWA schema) — companion field Q94_other exists with a required 'Please specify' validation when Other is chosen.</t>
  </si>
  <si>
    <t>#944</t>
  </si>
  <si>
    <t>Q109</t>
  </si>
  <si>
    <t>XJ flags that all questions with an 'Other (specify)' option lack the 'specify' data field; Q109 is on that list. Ensure the 'Other' option exposes a free-text capture.</t>
  </si>
  <si>
    <t>Not applicable — Q109 is a free-text question in the current instrument (no answer options, so no 'Other' to specify).</t>
  </si>
  <si>
    <t>#945</t>
  </si>
  <si>
    <t>Q110</t>
  </si>
  <si>
    <t>XJ flags that all questions with an 'Other (specify)' option lack the 'specify' data field; Q110 is on that list. Ensure the 'Other' option exposes a free-text capture.</t>
  </si>
  <si>
    <t>VERIFIED in current build (2026-08 audit of the PWA schema) — companion field Q110_other exists with a required 'Please specify' validation when Other is chosen.</t>
  </si>
  <si>
    <t>#946</t>
  </si>
  <si>
    <t>Q112</t>
  </si>
  <si>
    <t>XJ flags that all questions with an 'Other (specify)' option lack the 'specify' data field; Q112 is on that list. Ensure the 'Other' option exposes a free-text capture.</t>
  </si>
  <si>
    <t>Not applicable — Q112 has no 'Other (specify)' option in the current instrument.</t>
  </si>
  <si>
    <t>#947</t>
  </si>
  <si>
    <t>Q123</t>
  </si>
  <si>
    <t>XJ flags that all questions with an 'Other (specify)' option lack the 'specify' data field; Q123 is on that list. Ensure the 'Other' option exposes a free-text capture.</t>
  </si>
  <si>
    <t>Not applicable — Q123 has no 'Other (specify)' option in the current instrument.</t>
  </si>
  <si>
    <t>#948</t>
  </si>
  <si>
    <t>Q124</t>
  </si>
  <si>
    <t>XJ flags that all questions with an 'Other (specify)' option lack the 'specify' data field; Q124 is on that list. Ensure the 'Other' option exposes a free-text capture.</t>
  </si>
  <si>
    <t>VERIFIED in current build (2026-08 audit of the PWA schema) — companion field Q124_other exists with a required 'Please specify' validation when Other is chosen.</t>
  </si>
  <si>
    <t>#949</t>
  </si>
  <si>
    <t>Patient (F3) — DOH comments via XJ</t>
  </si>
  <si>
    <t>XJ's July-2026 PAPI-vs-CAPI screenshot review covered F2 and F4 only — no per-question XJ findings exist for F3. Rows below: F3 items from the DOH June-2026 comment batch (parked) plus DOH-driven changes that WERE built.</t>
  </si>
  <si>
    <t>Q38.1 / Q38.2</t>
  </si>
  <si>
    <t>DOH-agreed reinstatement of the PhilHealth registration follow-ups: when the respondent registered/received the PIN (Q38.1) and why not registered (Q38.2). (Separate DOH-agreed batch, not part of the parked June comments.)</t>
  </si>
  <si>
    <t>DOH-agreed content change</t>
  </si>
  <si>
    <t>Fixed — built and deployed to CSWeb during UAT Round 5 (GitHub #764, closed 2026-06-26, deployed 06-27). Live in the F3 dictionary as Q38_1_PIN_WHEN and Q38_2_WHY_NOT_REG (tick-all). “I don't know” follows the locked missing-value standard (−98).</t>
  </si>
  <si>
    <t>#764</t>
  </si>
  <si>
    <t>Q92, Q96, Q107, Q109</t>
  </si>
  <si>
    <t>Payment-source matrices: amount-bearing sources reordered to the top, and Q109 gains a “Donation” option — changes DOH adopted into the June-5 English tool that ships inside Deliverable 2 (the version the pretest testers held and all 7 translations were made from).</t>
  </si>
  <si>
    <t>Value sets / question order</t>
  </si>
  <si>
    <t>Fixed — CAPI aligned to the June-5 Deliverable-2 tool in F3 v2.0.0, deployed 2026-08-13 (tickets #1151/#1152/#1156/#1158). Breaking data-shape change handled: codebook regenerated; tabulation owner flagged (code-keyed breakdowns); pretest-case remap expected.</t>
  </si>
  <si>
    <t>#1151–#1158</t>
  </si>
  <si>
    <t>After Q18 (new block); Q24–Q28; items #168–171</t>
  </si>
  <si>
    <t>June-2026 batch: add a new household-expenditure block after Q18; replace Q24–Q28 with the FIES asset battery; add billed-vs-paid amount items (#168–171).</t>
  </si>
  <si>
    <t>No build change — parked per Dr. Myra Silva-Javier's ruling (2026-06-12; April-20 baseline). Revisited only if the ask resurfaces via SJREB / PSA / pretest, or if it already appears in the June-5 Deliverable-2 tool (which is checked before deferring any “the paper says X” ticket).</t>
  </si>
  <si>
    <t>Household (F4 / CSPro) — 86 XJ findings + DOH-driven changes</t>
  </si>
  <si>
    <t>Source: XJ PAPI-vs-CAPI Household review (July 2026), triaged one GitHub issue per finding under epic #850 (label from-doh-review-xj-2026-07). Comments are XJ's, verbatim from the triage. Statuses re-verified against the current F4 dictionary/generators, August 2026.</t>
  </si>
  <si>
    <t>Q45.1 / Q45.2</t>
  </si>
  <si>
    <t>DOH-agreed reinstatement of the PhilHealth registration follow-ups: when the respondent registered/received the PIN (Q45.1) and why not registered (Q45.2). (Separate DOH-agreed batch, not part of XJ's July review.)</t>
  </si>
  <si>
    <t>Fixed — built and deployed to CSWeb during UAT Round 5 (GitHub #794 + #795, closed and deployed 2026-06-25). Live in the F4 dictionary as Q45_1_PIN_REG_WHEN and Q45_2_WHY_NOT_REG (+ _OTHER_TXT).</t>
  </si>
  <si>
    <t>#794 #795</t>
  </si>
  <si>
    <t>Whole instrument</t>
  </si>
  <si>
    <t>June-2026 batch (CONTESTED): DOH wants its April-15 PIDS/DHS-style household questionnaire restructure adopted; the UP/ASPSI team was instructed NOT to follow it.</t>
  </si>
  <si>
    <t>No build change — parked per Dr. Myra Silva-Javier's ruling (2026-06-12; April-20 baseline). XJ's own July screenshot review turned out clarification/observation-heavy, not the feared restructure.</t>
  </si>
  <si>
    <t>consent</t>
  </si>
  <si>
    <t>The Consent Form section from PAPI is not found in CAPI.</t>
  </si>
  <si>
    <t>Already implemented in the current build — Consent/break-off handling exists; screenshot/clarify implementation. No code change needed; evidence = current screens.</t>
  </si>
  <si>
    <t>#876</t>
  </si>
  <si>
    <t>field-control</t>
  </si>
  <si>
    <t>Field Control appears at the end. Clarify whether these fields are completed only on completion or can be accessed/updated during the interview, particularly for incomplete interviews requiring callbacks and resumption.</t>
  </si>
  <si>
    <t>Field control / visits</t>
  </si>
  <si>
    <t>Already implemented in the current build — Break-off + disposition model handles this; document callback flow. No code change needed; evidence = current screens.</t>
  </si>
  <si>
    <t>#877</t>
  </si>
  <si>
    <t>disposition</t>
  </si>
  <si>
    <t>Justify the April change of 'Refused' to 'Withdraw Participation/Consent'; clarify category + code-order differences vs Facility/HCW forms (Completed, Postponed, Refused, Incomplete); harmonize unless intentional/documented.</t>
  </si>
  <si>
    <t>Working as designed — Deliberate; document rationale + cross-instrument harmonization intent.</t>
  </si>
  <si>
    <t>#878</t>
  </si>
  <si>
    <t>visit-date</t>
  </si>
  <si>
    <t>The facility visit-date format differs (PAPI Month-Day-Year vs CAPI YYYYMMDD). Provide rationale.</t>
  </si>
  <si>
    <t>Value sets / codes / formats</t>
  </si>
  <si>
    <t>Working as designed — Design choice; document.</t>
  </si>
  <si>
    <t>#879</t>
  </si>
  <si>
    <t>visits</t>
  </si>
  <si>
    <t>Confirm how many visits are allowed; only first and final are recorded, but the manual allows up to three callbacks in the Visit Sheet. Clarify how intermediate visits/callbacks are documented in CAPI.</t>
  </si>
  <si>
    <t>No build change — to be answered with the evidence pack (skip/validation matrix + test login). Map callbacks to the CAPI break-off/disposition model; document.</t>
  </si>
  <si>
    <t>#880</t>
  </si>
  <si>
    <t>Screenshots don't show navigation controls (Next/Back/Go-To/navigator). Clarify how enumerators navigate/correct previous responses.</t>
  </si>
  <si>
    <t>Already implemented in the current build — CSEntry has built-in navigation. Documentation gap. No code change needed; evidence = current screens.</t>
  </si>
  <si>
    <t>#881</t>
  </si>
  <si>
    <t>Clarify whether the app autosaves on connectivity loss/interruption/closure, and data-recovery mechanisms.</t>
  </si>
  <si>
    <t>Already implemented in the current build — CSEntry partial-save. Document. No code change needed; evidence = current screens.</t>
  </si>
  <si>
    <t>#882</t>
  </si>
  <si>
    <t>Clarify whether the system can detect incomplete interviews and resume from the last saved point.</t>
  </si>
  <si>
    <t>Already implemented in the current build — Partial-save resume. Document. No code change needed; evidence = current screens.</t>
  </si>
  <si>
    <t>#883</t>
  </si>
  <si>
    <t>Indicate whether sessions time out; if so, how unsaved responses are handled and whether enumerators are notified.</t>
  </si>
  <si>
    <t>Working as designed — Document behaviour.</t>
  </si>
  <si>
    <t>#884</t>
  </si>
  <si>
    <t>QN</t>
  </si>
  <si>
    <t>The Questionnaire Number is 9-digit in PAPI vs 12-digit in CAPI — flagged inconsistent.</t>
  </si>
  <si>
    <t>Working as designed — Deliberate cross-instrument 12-digit key (facility-9 + sequence-3). Document.</t>
  </si>
  <si>
    <t>#885</t>
  </si>
  <si>
    <t>geo</t>
  </si>
  <si>
    <t>The Household Address &amp; Geographic ID section looks incomplete — only Classification + Barangay visible; Region/Province/City and lat-long not observed. Implement a cascading geo selection (Region -&gt; Province/HUC -&gt; City/Municipality -&gt; Barangay) to narrow the barangay list and reduce mis-selection.</t>
  </si>
  <si>
    <t>Geographic ID / GPS</t>
  </si>
  <si>
    <t>Already implemented in the current build — CAPI gates the 12-digit key through a PSGC cascade. Verify the household-address presentation; attach current screens. No code change needed; evidence = current screens.</t>
  </si>
  <si>
    <t>#886</t>
  </si>
  <si>
    <t>geocodes</t>
  </si>
  <si>
    <t>A previous review said geocodes would be added; not reflected in screenshots. Clarify status/location, and how lat/long GPS is captured, recorded, and validated.</t>
  </si>
  <si>
    <t>Already implemented in the current build — GPS captured at end-of-flow (warm-radio); accuracy recorded. Document capture/validate. No code change needed; evidence = current screens.</t>
  </si>
  <si>
    <t>#887</t>
  </si>
  <si>
    <t>repeated-text</t>
  </si>
  <si>
    <t>Throughout the CAPI screenshots the question text appears displayed twice. Consider displaying it once.</t>
  </si>
  <si>
    <t>No build change — change candidate parked per Dr. Myra Silva-Javier's ruling (2026-06-12; April-20 questionnaire is the accepted baseline); needs an ASPSI/DOH decision before building. Presentation (CSPro prompt+field); candidate cleanup.</t>
  </si>
  <si>
    <t>#888</t>
  </si>
  <si>
    <t>section-titles</t>
  </si>
  <si>
    <t>Section titles and introductions present/sequenced in PAPI are not consistently observed or appear out of order in CAPI. Retain them in intended sequence.</t>
  </si>
  <si>
    <t>No build change — change candidate parked per Dr. Myra Silva-Javier's ruling (2026-06-12; April-20 questionnaire is the accepted baseline); needs an ASPSI/DOH decision before building. Presentation; candidate.</t>
  </si>
  <si>
    <t>#889</t>
  </si>
  <si>
    <t>Reviewer cannot verify programmed skips/validations without test access; screenshots don't demonstrate validation checks. Provide a skip-pattern matrix, programming specs, or test-environment access.</t>
  </si>
  <si>
    <t>No build change — to be answered with the evidence pack (skip/validation matrix + test login). Same high-leverage answer as F2: matrix + test login.</t>
  </si>
  <si>
    <t>#890</t>
  </si>
  <si>
    <t>For multiple-answer questions, block 'None'/'Refuse'/'NA'/'Don't know' if 'Other (Specify)' or any listed option is chosen.</t>
  </si>
  <si>
    <t>Fixed — at the time of XJ's review the F4 exclusivity check was a soft warning; it now HARD-blocks the combination (exclusive options like None / I don't know / N/A cannot be kept alongside real answers), applied class-wide in the F4 generator (pretest fix wave #1075–#1080, 2026-08-05).</t>
  </si>
  <si>
    <t>#891</t>
  </si>
  <si>
    <t>For multiple-answer questions, prevent simultaneous selection of the exclusive options.</t>
  </si>
  <si>
    <t>Fixed — simultaneous selection of exclusive options is now hard-blocked class-wide (same generator guard; was a soft warning at review time; upgraded in the pretest fix wave, 2026-08-05).</t>
  </si>
  <si>
    <t>#892</t>
  </si>
  <si>
    <t>Check questions needing only one answer that allow multiple selection, and vice versa.</t>
  </si>
  <si>
    <t>No build change — to be answered with the evidence pack (skip/validation matrix + test login). Verify via validation matrix.</t>
  </si>
  <si>
    <t>#893</t>
  </si>
  <si>
    <t>travel-duration</t>
  </si>
  <si>
    <t>For travel-duration questions, clarify the hour/minute limit. Year-1 SurveyCTO rejected &gt;1440 minutes; Year-2 must allow travel time exceeding one day, particularly in GIDA households.</t>
  </si>
  <si>
    <t>No build change — change candidate parked per Dr. Myra Silva-Javier's ruling (2026-06-12; April-20 questionnaire is the accepted baseline); needs an ASPSI/DOH decision before building. Verify the range validation; adjust if capped.</t>
  </si>
  <si>
    <t>#894</t>
  </si>
  <si>
    <t>automate-notes</t>
  </si>
  <si>
    <t>Manual notes that should be system logic are still displayed. Convert to skip rules/eligibility/validation and remove from the enumerator view; contextualize retained notes for CAPI (e.g., 'tick'-&gt;'select').</t>
  </si>
  <si>
    <t>No build change — change candidate parked per Dr. Myra Silva-Javier's ruling (2026-06-12; April-20 questionnaire is the accepted baseline); needs an ASPSI/DOH decision before building. Broad presentation/logic cleanup; candidate.</t>
  </si>
  <si>
    <t>#895</t>
  </si>
  <si>
    <t>select-all</t>
  </si>
  <si>
    <t>Clarify questions that appear to have a missing 'Select all that apply' instruction.</t>
  </si>
  <si>
    <t>No build change — change candidate parked per Dr. Myra Silva-Javier's ruling (2026-06-12; April-20 questionnaire is the accepted baseline); needs an ASPSI/DOH decision before building. Verify multi-select items; add instruction.</t>
  </si>
  <si>
    <t>#896</t>
  </si>
  <si>
    <t>Q1</t>
  </si>
  <si>
    <t>The instruction 'Ask all questions in this section unless a skip rule applies' appears retained at most questions (e.g. Q1). If all skips are programmed, this may be unnecessary; if kept as guidance, retain section titles/context.</t>
  </si>
  <si>
    <t>No build change — change candidate parked per Dr. Myra Silva-Javier's ruling (2026-06-12; April-20 questionnaire is the accepted baseline); needs an ASPSI/DOH decision before building. Presentation cleanup; candidate.</t>
  </si>
  <si>
    <t>#897</t>
  </si>
  <si>
    <t>In Q15, clarify whether the list is external to CAPI; if incorporated, 'A list will be provided...' may be unnecessary. Q15 appears open-text — consider a dropdown/searchable selection to reduce encoding errors.</t>
  </si>
  <si>
    <t>No build change — change candidate parked per Dr. Myra Silva-Javier's ruling (2026-06-12; April-20 questionnaire is the accepted baseline); needs an ASPSI/DOH decision before building. Candidate UX/data-quality change.</t>
  </si>
  <si>
    <t>#898</t>
  </si>
  <si>
    <t>For Q18: the enumerator note for the first question (approximate amount) is not applicable and should be removed; the income-bracket note kept PAPI 'tick' (revise to 'select'); dropdown options not shown; consider auto-deriving the bracket from the amount entered.</t>
  </si>
  <si>
    <t>No build change — change candidate parked per Dr. Myra Silva-Javier's ruling (2026-06-12; April-20 questionnaire is the accepted baseline); needs an ASPSI/DOH decision before building. Multiple candidate changes on one item.</t>
  </si>
  <si>
    <t>#899</t>
  </si>
  <si>
    <t>Q45.1/45.2/78/117/118</t>
  </si>
  <si>
    <t>For Q45.1, Q45.2, Q78, Q117, Q118 the PAPI filter instruction appears retained in the question text and may be misread as part of the question. Automate via display logic/skip rules, or clearly distinguish as an enumerator note (blue font/styling).</t>
  </si>
  <si>
    <t>No build change — change candidate parked per Dr. Myra Silva-Javier's ruling (2026-06-12; April-20 questionnaire is the accepted baseline); needs an ASPSI/DOH decision before building. Presentation; candidate. Verify these are programmed skips.</t>
  </si>
  <si>
    <t>#900</t>
  </si>
  <si>
    <t>Q57/Q69-73</t>
  </si>
  <si>
    <t>For Q57 and Q69-73, if eligibility is determinable from previously collected info (address), implement as an automated rule rather than a manual instruction.</t>
  </si>
  <si>
    <t>No build change — change candidate parked per Dr. Myra Silva-Javier's ruling (2026-06-12; April-20 questionnaire is the accepted baseline); needs an ASPSI/DOH decision before building. Candidate logic change.</t>
  </si>
  <si>
    <t>#901</t>
  </si>
  <si>
    <t>Q11-order</t>
  </si>
  <si>
    <t>Inconsistent order of options for Q11.</t>
  </si>
  <si>
    <t>No build change — change candidate parked per Dr. Myra Silva-Javier's ruling (2026-06-12; April-20 questionnaire is the accepted baseline); needs an ASPSI/DOH decision before building. Verify option order; align.</t>
  </si>
  <si>
    <t>#902</t>
  </si>
  <si>
    <t>Inconsistent question for Q22 (house vs. household).</t>
  </si>
  <si>
    <t>No build change — change candidate parked per Dr. Myra Silva-Javier's ruling (2026-06-12; April-20 questionnaire is the accepted baseline); needs an ASPSI/DOH decision before building. Wording fix; verify.</t>
  </si>
  <si>
    <t>#903</t>
  </si>
  <si>
    <t>Q29</t>
  </si>
  <si>
    <t>No 'Refuse to answer' option in CAPI for Q29.</t>
  </si>
  <si>
    <t>No build change — change candidate parked per Dr. Myra Silva-Javier's ruling (2026-06-12; April-20 questionnaire is the accepted baseline); needs an ASPSI/DOH decision before building. Verify; add if intended.</t>
  </si>
  <si>
    <t>#904</t>
  </si>
  <si>
    <t>Q103-opt</t>
  </si>
  <si>
    <t>For Q103, missing option: 'No, I haven't accessed any form of medical care'.</t>
  </si>
  <si>
    <t>#905</t>
  </si>
  <si>
    <t>Q199-range</t>
  </si>
  <si>
    <t>Amount range not shown for Q199.</t>
  </si>
  <si>
    <t>No build change — change candidate parked per Dr. Myra Silva-Javier's ruling (2026-06-12; April-20 questionnaire is the accepted baseline); needs an ASPSI/DOH decision before building. Verify; add range.</t>
  </si>
  <si>
    <t>#906</t>
  </si>
  <si>
    <t>Q30-Q50</t>
  </si>
  <si>
    <t>Clarify the roster programming logic — is it a member-level loop (input a member, complete all applicable questions, then next member)? Add controls to prevent mixing/duplication across members; only Q48 seems to show the member name/roster line — confirm a member identifier is shown throughout.</t>
  </si>
  <si>
    <t>Already implemented in the current build — F4 uses the C_HOUSEHOLD_ROSTER repeating record; member-name display was addressed in the roster rebuild. Document the workflow. No code change needed; evidence = current screens.</t>
  </si>
  <si>
    <t>#907</t>
  </si>
  <si>
    <t>roster-prefill</t>
  </si>
  <si>
    <t>Respondent information already collected should auto-populate in the roster module, with the enumerator only confirming pre-filled info.</t>
  </si>
  <si>
    <t>No build change — change candidate parked per Dr. Myra Silva-Javier's ruling (2026-06-12; April-20 questionnaire is the accepted baseline); needs an ASPSI/DOH decision before building. Candidate UX; verify prefill.</t>
  </si>
  <si>
    <t>#908</t>
  </si>
  <si>
    <t>Q67</t>
  </si>
  <si>
    <t>Q67 changed from a single HH:MM field to separate Hours and Minutes. Clarify whether they combine into one duration and stay consistent with PAPI; consider a grouped time field and displaying the main question once (currently repeated).</t>
  </si>
  <si>
    <t>No build change — change candidate parked per Dr. Myra Silva-Javier's ruling (2026-06-12; April-20 questionnaire is the accepted baseline); needs an ASPSI/DOH decision before building. Candidate presentation/data-structure change.</t>
  </si>
  <si>
    <t>#909</t>
  </si>
  <si>
    <t>expenditure</t>
  </si>
  <si>
    <t>The Household Expenditure translation repeats item/question text heavily, making the data elements (consumed / amount purchased / estimated in-kind value) hard to distinguish. Group all questions for a single item under one labeled screen with concise field labels.</t>
  </si>
  <si>
    <t>No build change — change candidate parked per Dr. Myra Silva-Javier's ruling (2026-06-12; April-20 questionnaire is the accepted baseline); needs an ASPSI/DOH decision before building. Candidate presentation redesign.</t>
  </si>
  <si>
    <t>#910</t>
  </si>
  <si>
    <t>Q186-Q194</t>
  </si>
  <si>
    <t>The section introduction, instructions, and overarching question for Q186-Q194 are not observed in CAPI, so items read as standalone Yes/No. Clarify whether displayed elsewhere; if not, retain.</t>
  </si>
  <si>
    <t>No build change — change candidate parked per Dr. Myra Silva-Javier's ruling (2026-06-12; April-20 questionnaire is the accepted baseline); needs an ASPSI/DOH decision before building. Presentation/context; candidate.</t>
  </si>
  <si>
    <t>#911</t>
  </si>
  <si>
    <t>VERIFIED in current build (2026-08 audit of the live F4 dictionary) — free-text capture present as Q5_GROUP_OTHER_TXT.</t>
  </si>
  <si>
    <t>#950</t>
  </si>
  <si>
    <t>Q10</t>
  </si>
  <si>
    <t>XJ flags that all questions with an 'Other (specify)' option lack the 'specify' data field; Q10 is on that list. Ensure the 'Other' option exposes a free-text capture.</t>
  </si>
  <si>
    <t>VERIFIED in current build (2026-08 audit of the live F4 dictionary) — free-text capture present as Q10_DISABILITY_OTHER_TXT.</t>
  </si>
  <si>
    <t>#951</t>
  </si>
  <si>
    <t>Q11</t>
  </si>
  <si>
    <t>XJ flags that all questions with an 'Other (specify)' option lack the 'specify' data field; Q11 is on that list. Ensure the 'Other' option exposes a free-text capture.</t>
  </si>
  <si>
    <t>VERIFIED in current build (2026-08 audit of the live F4 dictionary) — free-text capture present as Q11_EDUCATION_OTHER_TXT.</t>
  </si>
  <si>
    <t>#952</t>
  </si>
  <si>
    <t>VERIFIED in current build (2026-08 audit of the live F4 dictionary) — free-text capture present as Q17_DECISION_MAKER_OTHER_TXT.</t>
  </si>
  <si>
    <t>#953</t>
  </si>
  <si>
    <t>VERIFIED in current build (2026-08 audit of the live F4 dictionary) — free-text capture present as Q23_WATER_OTHER_TXT.</t>
  </si>
  <si>
    <t>#954</t>
  </si>
  <si>
    <t>XJ flags that all questions with an 'Other (specify)' option lack the 'specify' data field; Q38 is on that list. Ensure the 'Other' option exposes a free-text capture.</t>
  </si>
  <si>
    <t>VERIFIED in current build (2026-08 audit of the live F4 dictionary) — free-text capture present as Q38_DISABILITY_OTHER_TXT.</t>
  </si>
  <si>
    <t>#955</t>
  </si>
  <si>
    <t>Q45.2</t>
  </si>
  <si>
    <t>XJ flags that all questions with an 'Other (specify)' option lack the 'specify' data field; Q45.2 is on that list. Ensure the 'Other' option exposes a free-text capture.</t>
  </si>
  <si>
    <t>VERIFIED in current build (2026-08 audit of the live F4 dictionary) — free-text capture present as Q45_2_WHY_NOT_REG_OTHER_TXT.</t>
  </si>
  <si>
    <t>#956</t>
  </si>
  <si>
    <t>VERIFIED in current build (2026-08 audit of the live F4 dictionary) — free-text capture present as Q46_MEMBER_OTHER_TXT.</t>
  </si>
  <si>
    <t>#957</t>
  </si>
  <si>
    <t>VERIFIED in current build (2026-08 audit of the live F4 dictionary) — free-text capture present as Q52_UHC_SOURCE_OTHER_TXT.</t>
  </si>
  <si>
    <t>#958</t>
  </si>
  <si>
    <t>Q53</t>
  </si>
  <si>
    <t>XJ flags that all questions with an 'Other (specify)' option lack the 'specify' data field; Q53 is on that list. Ensure the 'Other' option exposes a free-text capture.</t>
  </si>
  <si>
    <t>VERIFIED in current build (2026-08 audit of the live F4 dictionary) — free-text capture present as Q53_UHC_UNDERSTAND_OTHER_TXT.</t>
  </si>
  <si>
    <t>#959</t>
  </si>
  <si>
    <t>VERIFIED in current build (2026-08 audit of the live F4 dictionary) — free-text capture present as Q55_YAKAP_SOURCE_OTHER_TXT.</t>
  </si>
  <si>
    <t>#960</t>
  </si>
  <si>
    <t>VERIFIED in current build (2026-08 audit of the live F4 dictionary) — free-text capture present as Q56_YAKAP_UNDERSTAND_OTHER_TXT.</t>
  </si>
  <si>
    <t>#961</t>
  </si>
  <si>
    <t>Q58</t>
  </si>
  <si>
    <t>XJ flags that all questions with an 'Other (specify)' option lack the 'specify' data field; Q58 is on that list. Ensure the 'Other' option exposes a free-text capture.</t>
  </si>
  <si>
    <t>VERIFIED in current build (2026-08 audit of the live F4 dictionary) — free-text capture present as Q58_BUCAS_SOURCE_OTHER_TXT.</t>
  </si>
  <si>
    <t>#962</t>
  </si>
  <si>
    <t>Q59</t>
  </si>
  <si>
    <t>XJ flags that all questions with an 'Other (specify)' option lack the 'specify' data field; Q59 is on that list. Ensure the 'Other' option exposes a free-text capture.</t>
  </si>
  <si>
    <t>VERIFIED in current build (2026-08 audit of the live F4 dictionary) — free-text capture present as Q59_BUCAS_UNDERSTAND_OTHER_TXT.</t>
  </si>
  <si>
    <t>#963</t>
  </si>
  <si>
    <t>Q61</t>
  </si>
  <si>
    <t>XJ flags that all questions with an 'Other (specify)' option lack the 'specify' data field; Q61 is on that list. Ensure the 'Other' option exposes a free-text capture.</t>
  </si>
  <si>
    <t>VERIFIED in current build (2026-08 audit of the live F4 dictionary) — free-text capture present as Q61_BUCAS_SERVICES_OTHER_TXT.</t>
  </si>
  <si>
    <t>#964</t>
  </si>
  <si>
    <t>Q65</t>
  </si>
  <si>
    <t>XJ flags that all questions with an 'Other (specify)' option lack the 'specify' data field; Q65 is on that list. Ensure the 'Other' option exposes a free-text capture.</t>
  </si>
  <si>
    <t>VERIFIED in current build (2026-08 audit of the live F4 dictionary) — free-text capture present as Q65_CONDITIONS_OTHER_TXT.</t>
  </si>
  <si>
    <t>#965</t>
  </si>
  <si>
    <t>Q66</t>
  </si>
  <si>
    <t>XJ flags that all questions with an 'Other (specify)' option lack the 'specify' data field; Q66 is on that list. Ensure the 'Other' option exposes a free-text capture.</t>
  </si>
  <si>
    <t>VERIFIED in current build (2026-08 audit of the live F4 dictionary) — free-text capture present as Q66_WHERE_BUY_OTHER_TXT.</t>
  </si>
  <si>
    <t>#966</t>
  </si>
  <si>
    <t>Q70</t>
  </si>
  <si>
    <t>XJ flags that all questions with an 'Other (specify)' option lack the 'specify' data field; Q70 is on that list. Ensure the 'Other' option exposes a free-text capture.</t>
  </si>
  <si>
    <t>VERIFIED in current build (2026-08 audit of the live F4 dictionary) — free-text capture present as Q70_GAMOT_SOURCE_OTHER_TXT.</t>
  </si>
  <si>
    <t>#967</t>
  </si>
  <si>
    <t>XJ flags that all questions with an 'Other (specify)' option lack the 'specify' data field; Q71 is on that list. Ensure the 'Other' option exposes a free-text capture.</t>
  </si>
  <si>
    <t>VERIFIED in current build (2026-08 audit of the live F4 dictionary) — free-text capture present as Q71_GAMOT_UNDERSTAND_OTHER_TXT.</t>
  </si>
  <si>
    <t>#968</t>
  </si>
  <si>
    <t>Q74</t>
  </si>
  <si>
    <t>XJ flags that all questions with an 'Other (specify)' option lack the 'specify' data field; Q74 is on that list. Ensure the 'Other' option exposes a free-text capture.</t>
  </si>
  <si>
    <t>VERIFIED in current build (2026-08 audit of the live F4 dictionary) — free-text capture present as Q74_WHERE_REST_OTHER_TXT.</t>
  </si>
  <si>
    <t>#969</t>
  </si>
  <si>
    <t>Q77</t>
  </si>
  <si>
    <t>XJ flags that all questions with an 'Other (specify)' option lack the 'specify' data field; Q77 is on that list. Ensure the 'Other' option exposes a free-text capture.</t>
  </si>
  <si>
    <t>VERIFIED in current build (2026-08 audit of the live F4 dictionary) — free-text capture present as Q77_WHY_GENERIC_OTHER_TXT.</t>
  </si>
  <si>
    <t>#970</t>
  </si>
  <si>
    <t>Q78</t>
  </si>
  <si>
    <t>XJ flags that all questions with an 'Other (specify)' option lack the 'specify' data field; Q78 is on that list. Ensure the 'Other' option exposes a free-text capture.</t>
  </si>
  <si>
    <t>VERIFIED in current build (2026-08 audit of the live F4 dictionary) — free-text capture present as Q78_WHY_BRANDED_OTHER_TXT.</t>
  </si>
  <si>
    <t>#971</t>
  </si>
  <si>
    <t>Q79</t>
  </si>
  <si>
    <t>XJ flags that all questions with an 'Other (specify)' option lack the 'specify' data field; Q79 is on that list. Ensure the 'Other' option exposes a free-text capture.</t>
  </si>
  <si>
    <t>VERIFIED in current build (2026-08 audit of the live F4 dictionary) — free-text capture present as Q79_REG_SOURCE_OTHER_TXT.</t>
  </si>
  <si>
    <t>#972</t>
  </si>
  <si>
    <t>Q80</t>
  </si>
  <si>
    <t>XJ flags that all questions with an 'Other (specify)' option lack the 'specify' data field; Q80 is on that list. Ensure the 'Other' option exposes a free-text capture.</t>
  </si>
  <si>
    <t>VERIFIED in current build (2026-08 audit of the live F4 dictionary) — free-text capture present as Q80_ASSIST_OTHER_TXT.</t>
  </si>
  <si>
    <t>#973</t>
  </si>
  <si>
    <t>Q82</t>
  </si>
  <si>
    <t>XJ flags that all questions with an 'Other (specify)' option lack the 'specify' data field; Q82 is on that list. Ensure the 'Other' option exposes a free-text capture.</t>
  </si>
  <si>
    <t>VERIFIED in current build (2026-08 audit of the live F4 dictionary) — free-text capture present as Q82_DIFFICULTY_REASONS_OTHER_TXT.</t>
  </si>
  <si>
    <t>#974</t>
  </si>
  <si>
    <t>Q85</t>
  </si>
  <si>
    <t>XJ flags that all questions with an 'Other (specify)' option lack the 'specify' data field; Q85 is on that list. Ensure the 'Other' option exposes a free-text capture.</t>
  </si>
  <si>
    <t>VERIFIED in current build (2026-08 audit of the live F4 dictionary) — free-text capture present as Q85_BENEFITS_OTHER_TXT.</t>
  </si>
  <si>
    <t>#975</t>
  </si>
  <si>
    <t>Q88</t>
  </si>
  <si>
    <t>XJ flags that all questions with an 'Other (specify)' option lack the 'specify' data field; Q88 is on that list. Ensure the 'Other' option exposes a free-text capture.</t>
  </si>
  <si>
    <t>VERIFIED in current build (2026-08 audit of the live F4 dictionary) — free-text capture present as Q88_DIFF_PAYING_OTHER_TXT.</t>
  </si>
  <si>
    <t>#976</t>
  </si>
  <si>
    <t>Q91</t>
  </si>
  <si>
    <t>XJ flags that all questions with an 'Other (specify)' option lack the 'specify' data field; Q91 is on that list. Ensure the 'Other' option exposes a free-text capture.</t>
  </si>
  <si>
    <t>VERIFIED in current build (2026-08 audit of the live F4 dictionary) — free-text capture present as Q91_WHY_WENT_OTHER_TXT.</t>
  </si>
  <si>
    <t>#977</t>
  </si>
  <si>
    <t>VERIFIED in current build (2026-08 audit of the live F4 dictionary) — free-text capture present as Q92_FACILITY_TYPE_OTHER_TXT.</t>
  </si>
  <si>
    <t>#978</t>
  </si>
  <si>
    <t>VERIFIED in current build (2026-08 audit of the live F4 dictionary) — free-text capture present as Q93_WHY_NOT_OTHER_TXT.</t>
  </si>
  <si>
    <t>#979</t>
  </si>
  <si>
    <t>VERIFIED in current build (2026-08 audit of the live F4 dictionary) — free-text capture present as Q94_TRANSPORT_OTHER_TXT.</t>
  </si>
  <si>
    <t>#980</t>
  </si>
  <si>
    <t>Q101</t>
  </si>
  <si>
    <t>XJ flags that all questions with an 'Other (specify)' option lack the 'specify' data field; Q101 is on that list. Ensure the 'Other' option exposes a free-text capture.</t>
  </si>
  <si>
    <t>VERIFIED in current build (2026-08 audit of the live F4 dictionary) — free-text capture present as Q101_CHECKUP_FREQ_OTHER_TXT.</t>
  </si>
  <si>
    <t>#981</t>
  </si>
  <si>
    <t>Q102</t>
  </si>
  <si>
    <t>XJ flags that all questions with an 'Other (specify)' option lack the 'specify' data field; Q102 is on that list. Ensure the 'Other' option exposes a free-text capture.</t>
  </si>
  <si>
    <t>VERIFIED in current build (2026-08 audit of the live F4 dictionary) — free-text capture present as Q102_VISIT_REASON_OTHER_TXT.</t>
  </si>
  <si>
    <t>#982</t>
  </si>
  <si>
    <t>Q103</t>
  </si>
  <si>
    <t>XJ flags that all questions with an 'Other (specify)' option lack the 'specify' data field; Q103 is on that list. Ensure the 'Other' option exposes a free-text capture.</t>
  </si>
  <si>
    <t>VERIFIED in current build (2026-08 audit of the live F4 dictionary) — free-text capture present as Q103_CARE_TYPE_OTHER_TXT.</t>
  </si>
  <si>
    <t>#983</t>
  </si>
  <si>
    <t>Q106</t>
  </si>
  <si>
    <t>XJ flags that all questions with an 'Other (specify)' option lack the 'specify' data field; Q106 is on that list. Ensure the 'Other' option exposes a free-text capture.</t>
  </si>
  <si>
    <t>VERIFIED in current build (2026-08 audit of the live F4 dictionary) — free-text capture present as Q106_FORGONE_WHY_OTHER_TXT.</t>
  </si>
  <si>
    <t>#984</t>
  </si>
  <si>
    <t>Q107</t>
  </si>
  <si>
    <t>XJ flags that all questions with an 'Other (specify)' option lack the 'specify' data field; Q107 is on that list. Ensure the 'Other' option exposes a free-text capture.</t>
  </si>
  <si>
    <t>VERIFIED in current build (2026-08 audit of the live F4 dictionary) — free-text capture present as Q107_OTHER_ACTIONS, Q107_OTHER_ACTIONS_OTHER_TXT.</t>
  </si>
  <si>
    <t>#985</t>
  </si>
  <si>
    <t>VERIFIED in current build (2026-08 audit of the live F4 dictionary) — free-text capture present as Q109_TYPE_OTHER_TXT.</t>
  </si>
  <si>
    <t>#986</t>
  </si>
  <si>
    <t>VERIFIED in current build (2026-08 audit of the live F4 dictionary) — free-text capture present as Q110_SPECIALIST_OTHER_TXT.</t>
  </si>
  <si>
    <t>#987</t>
  </si>
  <si>
    <t>Q111</t>
  </si>
  <si>
    <t>XJ flags that all questions with an 'Other (specify)' option lack the 'specify' data field; Q111 is on that list. Ensure the 'Other' option exposes a free-text capture.</t>
  </si>
  <si>
    <t>VERIFIED in current build (2026-08 audit of the live F4 dictionary) — free-text capture present as Q111_METHOD_OTHER_TXT.</t>
  </si>
  <si>
    <t>#988</t>
  </si>
  <si>
    <t>XJ flags that all questions with an 'Other (specify)' option lack the 'specify' data field; Q113 is on that list. Ensure the 'Other' option exposes a free-text capture.</t>
  </si>
  <si>
    <t>VERIFIED in current build (2026-08 audit of the live F4 dictionary) — free-text capture present as Q113_WHY_NOT_OTHER_TXT.</t>
  </si>
  <si>
    <t>#989</t>
  </si>
  <si>
    <t>Q121</t>
  </si>
  <si>
    <t>XJ flags that all questions with an 'Other (specify)' option lack the 'specify' data field; Q121 is on that list. Ensure the 'Other' option exposes a free-text capture.</t>
  </si>
  <si>
    <t>VERIFIED in current build (2026-08 audit of the live F4 dictionary) — free-text capture present as Q121_WHY_HOSPITAL_OTHER_TXT.</t>
  </si>
  <si>
    <t>#990</t>
  </si>
  <si>
    <t>Q127</t>
  </si>
  <si>
    <t>XJ flags that all questions with an 'Other (specify)' option lack the 'specify' data field; Q127 is on that list. Ensure the 'Other' option exposes a free-text capture.</t>
  </si>
  <si>
    <t>VERIFIED in current build (2026-08 audit of the live F4 dictionary) — free-text capture present as Q127_NBB_SOURCE_OTHER_TXT.</t>
  </si>
  <si>
    <t>#991</t>
  </si>
  <si>
    <t>Q128</t>
  </si>
  <si>
    <t>XJ flags that all questions with an 'Other (specify)' option lack the 'specify' data field; Q128 is on that list. Ensure the 'Other' option exposes a free-text capture.</t>
  </si>
  <si>
    <t>VERIFIED in current build (2026-08 audit of the live F4 dictionary) — free-text capture present as Q128_NBB_UNDERSTAND_OTHER_TXT.</t>
  </si>
  <si>
    <t>#992</t>
  </si>
  <si>
    <t>Q133</t>
  </si>
  <si>
    <t>XJ flags that all questions with an 'Other (specify)' option lack the 'specify' data field; Q133 is on that list. Ensure the 'Other' option exposes a free-text capture.</t>
  </si>
  <si>
    <t>VERIFIED in current build (2026-08 audit of the live F4 dictionary) — free-text capture present as Q133_ZBB_SOURCE_OTHER_TXT.</t>
  </si>
  <si>
    <t>#993</t>
  </si>
  <si>
    <t>Q134</t>
  </si>
  <si>
    <t>XJ flags that all questions with an 'Other (specify)' option lack the 'specify' data field; Q134 is on that list. Ensure the 'Other' option exposes a free-text capture.</t>
  </si>
  <si>
    <t>VERIFIED in current build (2026-08 audit of the live F4 dictionary) — free-text capture present as Q134_ZBB_UNDERSTAND_OTHER_TXT.</t>
  </si>
  <si>
    <t>#994</t>
  </si>
  <si>
    <t>Q137</t>
  </si>
  <si>
    <t>XJ flags that all questions with an 'Other (specify)' option lack the 'specify' data field; Q137 is on that list. Ensure the 'Other' option exposes a free-text capture.</t>
  </si>
  <si>
    <t>VERIFIED in current build (2026-08 audit of the live F4 dictionary) — free-text capture present as Q137_MAIFIP_SOURCE_OTHER_TXT.</t>
  </si>
  <si>
    <t>#995</t>
  </si>
  <si>
    <t>Q141</t>
  </si>
  <si>
    <t>XJ flags that all questions with an 'Other (specify)' option lack the 'specify' data field; Q141 is on that list. Ensure the 'Other' option exposes a free-text capture.</t>
  </si>
  <si>
    <t>VERIFIED in current build (2026-08 audit of the live F4 dictionary) — free-text capture present as Q141_BILL_ITEMS_OTHER_TXT.</t>
  </si>
  <si>
    <t>#996</t>
  </si>
  <si>
    <t>Q143</t>
  </si>
  <si>
    <t>XJ flags that all questions with an 'Other (specify)' option lack the 'specify' data field; Q143 is on that list. Ensure the 'Other' option exposes a free-text capture.</t>
  </si>
  <si>
    <t>VERIFIED in current build (2026-08 audit of the live F4 dictionary) — free-text capture present as Q143_HOW_PAID_OTHER_TXT.</t>
  </si>
  <si>
    <t>#997</t>
  </si>
  <si>
    <t>Q194</t>
  </si>
  <si>
    <t>XJ flags that all questions with an 'Other (specify)' option lack the 'specify' data field; Q194 is on that list. Ensure the 'Other' option exposes a free-text capture.</t>
  </si>
  <si>
    <t>VERIFIED in current build (2026-08 audit of the live F4 dictionary) — free-text capture present as Q194_OTHER_SOURCE, Q194_OTHER_TXT.</t>
  </si>
  <si>
    <t>#998</t>
  </si>
  <si>
    <t>Q199</t>
  </si>
  <si>
    <t>XJ flags that all questions with an 'Other (specify)' option lack the 'specify' data field; Q199 is on that list. Ensure the 'Other' option exposes a free-text capture.</t>
  </si>
  <si>
    <t>VERIFIED in current build (2026-08 audit of the live F4 dictionary) — free-text capture present as Q199_WTP_OTHER_TXT.</t>
  </si>
  <si>
    <t>#999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</si>
</sst>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name val="Arial"/>
    </font>
    <font>
      <sz val="10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b/>
      <sz val="13"/>
      <color rgb="FF1F3864"/>
      <name val="Arial"/>
    </font>
    <font>
      <i/>
      <sz val="9"/>
      <color rgb="FF59595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3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/>
  </sheetViews>
  <sheetFormatPr defaultRowHeight="15" x14ac:dyDescent="0.25"/>
  <cols>
    <col min="1" max="1" width="100" customWidth="1"/>
    <col min="2" max="6" width="8" customWidth="1"/>
  </cols>
  <sheetData>
    <row r="1" spans="1:8" ht="18" x14ac:dyDescent="0.25">
      <c r="A1" s="1" t="s">
        <v>0</v>
      </c>
    </row>
    <row r="2" spans="1:8" x14ac:dyDescent="0.25">
      <c r="A2" s="2" t="s">
        <v>1</v>
      </c>
    </row>
    <row r="4" spans="1:8" x14ac:dyDescent="0.25">
      <c r="A4" s="22" t="s">
        <v>2</v>
      </c>
      <c r="B4" s="23"/>
      <c r="C4" s="23"/>
      <c r="D4" s="23"/>
      <c r="E4" s="23"/>
      <c r="F4" s="23"/>
      <c r="G4" s="23"/>
      <c r="H4" s="23"/>
    </row>
    <row r="5" spans="1:8" ht="26.1" customHeight="1" x14ac:dyDescent="0.25">
      <c r="A5" s="24" t="s">
        <v>3</v>
      </c>
      <c r="B5" s="23"/>
      <c r="C5" s="23"/>
      <c r="D5" s="23"/>
      <c r="E5" s="23"/>
      <c r="F5" s="23"/>
      <c r="G5" s="23"/>
      <c r="H5" s="23"/>
    </row>
    <row r="6" spans="1:8" ht="26.1" customHeight="1" x14ac:dyDescent="0.25">
      <c r="A6" s="24" t="s">
        <v>4</v>
      </c>
      <c r="B6" s="23"/>
      <c r="C6" s="23"/>
      <c r="D6" s="23"/>
      <c r="E6" s="23"/>
      <c r="F6" s="23"/>
      <c r="G6" s="23"/>
      <c r="H6" s="23"/>
    </row>
    <row r="7" spans="1:8" ht="26.1" customHeight="1" x14ac:dyDescent="0.25">
      <c r="A7" s="24" t="s">
        <v>5</v>
      </c>
      <c r="B7" s="23"/>
      <c r="C7" s="23"/>
      <c r="D7" s="23"/>
      <c r="E7" s="23"/>
      <c r="F7" s="23"/>
      <c r="G7" s="23"/>
      <c r="H7" s="23"/>
    </row>
    <row r="8" spans="1:8" x14ac:dyDescent="0.25">
      <c r="A8" s="24"/>
      <c r="B8" s="23"/>
      <c r="C8" s="23"/>
      <c r="D8" s="23"/>
      <c r="E8" s="23"/>
      <c r="F8" s="23"/>
      <c r="G8" s="23"/>
      <c r="H8" s="23"/>
    </row>
    <row r="9" spans="1:8" x14ac:dyDescent="0.25">
      <c r="A9" s="22" t="s">
        <v>6</v>
      </c>
      <c r="B9" s="23"/>
      <c r="C9" s="23"/>
      <c r="D9" s="23"/>
      <c r="E9" s="23"/>
      <c r="F9" s="23"/>
      <c r="G9" s="23"/>
      <c r="H9" s="23"/>
    </row>
    <row r="10" spans="1:8" ht="26.1" customHeight="1" x14ac:dyDescent="0.25">
      <c r="A10" s="24" t="s">
        <v>7</v>
      </c>
      <c r="B10" s="23"/>
      <c r="C10" s="23"/>
      <c r="D10" s="23"/>
      <c r="E10" s="23"/>
      <c r="F10" s="23"/>
      <c r="G10" s="23"/>
      <c r="H10" s="23"/>
    </row>
    <row r="11" spans="1:8" ht="26.1" customHeight="1" x14ac:dyDescent="0.25">
      <c r="A11" s="24" t="s">
        <v>8</v>
      </c>
      <c r="B11" s="23"/>
      <c r="C11" s="23"/>
      <c r="D11" s="23"/>
      <c r="E11" s="23"/>
      <c r="F11" s="23"/>
      <c r="G11" s="23"/>
      <c r="H11" s="23"/>
    </row>
    <row r="12" spans="1:8" ht="26.1" customHeight="1" x14ac:dyDescent="0.25">
      <c r="A12" s="24" t="s">
        <v>9</v>
      </c>
      <c r="B12" s="23"/>
      <c r="C12" s="23"/>
      <c r="D12" s="23"/>
      <c r="E12" s="23"/>
      <c r="F12" s="23"/>
      <c r="G12" s="23"/>
      <c r="H12" s="23"/>
    </row>
    <row r="13" spans="1:8" x14ac:dyDescent="0.25">
      <c r="A13" s="24"/>
      <c r="B13" s="23"/>
      <c r="C13" s="23"/>
      <c r="D13" s="23"/>
      <c r="E13" s="23"/>
      <c r="F13" s="23"/>
      <c r="G13" s="23"/>
      <c r="H13" s="23"/>
    </row>
    <row r="14" spans="1:8" x14ac:dyDescent="0.25">
      <c r="A14" s="22" t="s">
        <v>10</v>
      </c>
      <c r="B14" s="23"/>
      <c r="C14" s="23"/>
      <c r="D14" s="23"/>
      <c r="E14" s="23"/>
      <c r="F14" s="23"/>
      <c r="G14" s="23"/>
      <c r="H14" s="23"/>
    </row>
    <row r="15" spans="1:8" ht="26.1" customHeight="1" x14ac:dyDescent="0.25">
      <c r="A15" s="24" t="s">
        <v>11</v>
      </c>
      <c r="B15" s="23"/>
      <c r="C15" s="23"/>
      <c r="D15" s="23"/>
      <c r="E15" s="23"/>
      <c r="F15" s="23"/>
      <c r="G15" s="23"/>
      <c r="H15" s="23"/>
    </row>
    <row r="16" spans="1:8" ht="26.1" customHeight="1" x14ac:dyDescent="0.25">
      <c r="A16" s="24" t="s">
        <v>12</v>
      </c>
      <c r="B16" s="23"/>
      <c r="C16" s="23"/>
      <c r="D16" s="23"/>
      <c r="E16" s="23"/>
      <c r="F16" s="23"/>
      <c r="G16" s="23"/>
      <c r="H16" s="23"/>
    </row>
    <row r="17" spans="1:8" ht="26.1" customHeight="1" x14ac:dyDescent="0.25">
      <c r="A17" s="24" t="s">
        <v>13</v>
      </c>
      <c r="B17" s="23"/>
      <c r="C17" s="23"/>
      <c r="D17" s="23"/>
      <c r="E17" s="23"/>
      <c r="F17" s="23"/>
      <c r="G17" s="23"/>
      <c r="H17" s="23"/>
    </row>
    <row r="19" spans="1:8" x14ac:dyDescent="0.25">
      <c r="A19" s="3" t="s">
        <v>14</v>
      </c>
    </row>
    <row r="20" spans="1:8" x14ac:dyDescent="0.25">
      <c r="A20" s="4" t="s">
        <v>15</v>
      </c>
      <c r="B20" s="4" t="s">
        <v>16</v>
      </c>
      <c r="C20" s="4" t="s">
        <v>17</v>
      </c>
      <c r="D20" s="4" t="s">
        <v>18</v>
      </c>
      <c r="E20" s="4" t="s">
        <v>19</v>
      </c>
      <c r="F20" s="4" t="s">
        <v>20</v>
      </c>
    </row>
    <row r="21" spans="1:8" x14ac:dyDescent="0.25">
      <c r="A21" s="5" t="s">
        <v>21</v>
      </c>
      <c r="B21" s="6">
        <f>COUNTIF('Facility Head (F1)'!$E$4:$E$200,$A21)</f>
        <v>0</v>
      </c>
      <c r="C21" s="6">
        <f>COUNTIF('HCW (F2)'!$E$4:$E$200,$A21)</f>
        <v>0</v>
      </c>
      <c r="D21" s="6">
        <f>COUNTIF('Patient (F3)'!$E$4:$E$200,$A21)</f>
        <v>2</v>
      </c>
      <c r="E21" s="6">
        <f>COUNTIF('Household (F4)'!$E$4:$E$200,$A21)</f>
        <v>3</v>
      </c>
      <c r="F21" s="7">
        <f t="shared" ref="F21:F28" si="0">SUM(B21:E21)</f>
        <v>5</v>
      </c>
    </row>
    <row r="22" spans="1:8" x14ac:dyDescent="0.25">
      <c r="A22" s="5" t="s">
        <v>22</v>
      </c>
      <c r="B22" s="6">
        <f>COUNTIF('Facility Head (F1)'!$E$4:$E$200,$A22)</f>
        <v>0</v>
      </c>
      <c r="C22" s="6">
        <f>COUNTIF('HCW (F2)'!$E$4:$E$200,$A22)</f>
        <v>35</v>
      </c>
      <c r="D22" s="6">
        <f>COUNTIF('Patient (F3)'!$E$4:$E$200,$A22)</f>
        <v>0</v>
      </c>
      <c r="E22" s="6">
        <f>COUNTIF('Household (F4)'!$E$4:$E$200,$A22)</f>
        <v>50</v>
      </c>
      <c r="F22" s="7">
        <f t="shared" si="0"/>
        <v>85</v>
      </c>
    </row>
    <row r="23" spans="1:8" x14ac:dyDescent="0.25">
      <c r="A23" s="8" t="s">
        <v>23</v>
      </c>
      <c r="B23" s="6">
        <f>COUNTIF('Facility Head (F1)'!$E$4:$E$200,$A23)</f>
        <v>0</v>
      </c>
      <c r="C23" s="6">
        <f>COUNTIF('HCW (F2)'!$E$4:$E$200,$A23)</f>
        <v>8</v>
      </c>
      <c r="D23" s="6">
        <f>COUNTIF('Patient (F3)'!$E$4:$E$200,$A23)</f>
        <v>0</v>
      </c>
      <c r="E23" s="6">
        <f>COUNTIF('Household (F4)'!$E$4:$E$200,$A23)</f>
        <v>8</v>
      </c>
      <c r="F23" s="7">
        <f t="shared" si="0"/>
        <v>16</v>
      </c>
    </row>
    <row r="24" spans="1:8" x14ac:dyDescent="0.25">
      <c r="A24" s="9" t="s">
        <v>24</v>
      </c>
      <c r="B24" s="6">
        <f>COUNTIF('Facility Head (F1)'!$E$4:$E$200,$A24)</f>
        <v>0</v>
      </c>
      <c r="C24" s="6">
        <f>COUNTIF('HCW (F2)'!$E$4:$E$200,$A24)</f>
        <v>2</v>
      </c>
      <c r="D24" s="6">
        <f>COUNTIF('Patient (F3)'!$E$4:$E$200,$A24)</f>
        <v>0</v>
      </c>
      <c r="E24" s="6">
        <f>COUNTIF('Household (F4)'!$E$4:$E$200,$A24)</f>
        <v>4</v>
      </c>
      <c r="F24" s="7">
        <f t="shared" si="0"/>
        <v>6</v>
      </c>
    </row>
    <row r="25" spans="1:8" x14ac:dyDescent="0.25">
      <c r="A25" s="10" t="s">
        <v>25</v>
      </c>
      <c r="B25" s="6">
        <f>COUNTIF('Facility Head (F1)'!$E$4:$E$200,$A25)</f>
        <v>0</v>
      </c>
      <c r="C25" s="6">
        <f>COUNTIF('HCW (F2)'!$E$4:$E$200,$A25)</f>
        <v>7</v>
      </c>
      <c r="D25" s="6">
        <f>COUNTIF('Patient (F3)'!$E$4:$E$200,$A25)</f>
        <v>0</v>
      </c>
      <c r="E25" s="6">
        <f>COUNTIF('Household (F4)'!$E$4:$E$200,$A25)</f>
        <v>3</v>
      </c>
      <c r="F25" s="7">
        <f t="shared" si="0"/>
        <v>10</v>
      </c>
    </row>
    <row r="26" spans="1:8" x14ac:dyDescent="0.25">
      <c r="A26" s="11" t="s">
        <v>26</v>
      </c>
      <c r="B26" s="6">
        <f>COUNTIF('Facility Head (F1)'!$E$4:$E$200,$A26)</f>
        <v>1</v>
      </c>
      <c r="C26" s="6">
        <f>COUNTIF('HCW (F2)'!$E$4:$E$200,$A26)</f>
        <v>8</v>
      </c>
      <c r="D26" s="6">
        <f>COUNTIF('Patient (F3)'!$E$4:$E$200,$A26)</f>
        <v>1</v>
      </c>
      <c r="E26" s="6">
        <f>COUNTIF('Household (F4)'!$E$4:$E$200,$A26)</f>
        <v>20</v>
      </c>
      <c r="F26" s="7">
        <f t="shared" si="0"/>
        <v>30</v>
      </c>
    </row>
    <row r="27" spans="1:8" x14ac:dyDescent="0.25">
      <c r="A27" s="12" t="s">
        <v>27</v>
      </c>
      <c r="B27" s="6">
        <f>COUNTIF('Facility Head (F1)'!$E$4:$E$200,$A27)</f>
        <v>0</v>
      </c>
      <c r="C27" s="6">
        <f>COUNTIF('HCW (F2)'!$E$4:$E$200,$A27)</f>
        <v>3</v>
      </c>
      <c r="D27" s="6">
        <f>COUNTIF('Patient (F3)'!$E$4:$E$200,$A27)</f>
        <v>0</v>
      </c>
      <c r="E27" s="6">
        <f>COUNTIF('Household (F4)'!$E$4:$E$200,$A27)</f>
        <v>0</v>
      </c>
      <c r="F27" s="7">
        <f t="shared" si="0"/>
        <v>3</v>
      </c>
    </row>
    <row r="28" spans="1:8" x14ac:dyDescent="0.25">
      <c r="A28" s="13" t="s">
        <v>28</v>
      </c>
      <c r="B28" s="7">
        <f>SUM(B21:B27)</f>
        <v>1</v>
      </c>
      <c r="C28" s="7">
        <f>SUM(C21:C27)</f>
        <v>63</v>
      </c>
      <c r="D28" s="7">
        <f>SUM(D21:D27)</f>
        <v>3</v>
      </c>
      <c r="E28" s="7">
        <f>SUM(E21:E27)</f>
        <v>88</v>
      </c>
      <c r="F28" s="7">
        <f t="shared" si="0"/>
        <v>155</v>
      </c>
    </row>
  </sheetData>
  <mergeCells count="14">
    <mergeCell ref="A17:H17"/>
    <mergeCell ref="A16:H16"/>
    <mergeCell ref="A10:H10"/>
    <mergeCell ref="A13:H13"/>
    <mergeCell ref="A11:H11"/>
    <mergeCell ref="A14:H14"/>
    <mergeCell ref="A9:H9"/>
    <mergeCell ref="A4:H4"/>
    <mergeCell ref="A12:H12"/>
    <mergeCell ref="A15:H15"/>
    <mergeCell ref="A7:H7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62" customWidth="1"/>
    <col min="3" max="3" width="30" customWidth="1"/>
    <col min="4" max="4" width="62" customWidth="1"/>
    <col min="5" max="5" width="22" customWidth="1"/>
    <col min="6" max="6" width="11" customWidth="1"/>
  </cols>
  <sheetData>
    <row r="1" spans="1:6" ht="16.5" x14ac:dyDescent="0.25">
      <c r="A1" s="26" t="s">
        <v>29</v>
      </c>
      <c r="B1" s="23"/>
      <c r="C1" s="23"/>
      <c r="D1" s="23"/>
      <c r="E1" s="23"/>
      <c r="F1" s="23"/>
    </row>
    <row r="2" spans="1:6" ht="26.1" customHeight="1" x14ac:dyDescent="0.25">
      <c r="A2" s="25" t="s">
        <v>30</v>
      </c>
      <c r="B2" s="23"/>
      <c r="C2" s="23"/>
      <c r="D2" s="23"/>
      <c r="E2" s="23"/>
      <c r="F2" s="23"/>
    </row>
    <row r="3" spans="1:6" x14ac:dyDescent="0.25">
      <c r="A3" s="14" t="s">
        <v>31</v>
      </c>
      <c r="B3" s="14" t="s">
        <v>32</v>
      </c>
      <c r="C3" s="14" t="s">
        <v>33</v>
      </c>
      <c r="D3" s="14" t="s">
        <v>34</v>
      </c>
      <c r="E3" s="14" t="s">
        <v>15</v>
      </c>
      <c r="F3" s="14" t="s">
        <v>35</v>
      </c>
    </row>
    <row r="4" spans="1:6" ht="89.25" x14ac:dyDescent="0.25">
      <c r="A4" s="15" t="s">
        <v>36</v>
      </c>
      <c r="B4" s="15" t="s">
        <v>37</v>
      </c>
      <c r="C4" s="15" t="s">
        <v>38</v>
      </c>
      <c r="D4" s="15" t="s">
        <v>39</v>
      </c>
      <c r="E4" s="16" t="s">
        <v>26</v>
      </c>
      <c r="F4" s="15" t="s">
        <v>40</v>
      </c>
    </row>
  </sheetData>
  <autoFilter ref="A3:F4" xr:uid="{00000000-0009-0000-0000-000001000000}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62" customWidth="1"/>
    <col min="3" max="3" width="30" customWidth="1"/>
    <col min="4" max="4" width="62" customWidth="1"/>
    <col min="5" max="5" width="22" customWidth="1"/>
    <col min="6" max="6" width="11" customWidth="1"/>
  </cols>
  <sheetData>
    <row r="1" spans="1:6" ht="16.5" x14ac:dyDescent="0.25">
      <c r="A1" s="26" t="s">
        <v>41</v>
      </c>
      <c r="B1" s="23"/>
      <c r="C1" s="23"/>
      <c r="D1" s="23"/>
      <c r="E1" s="23"/>
      <c r="F1" s="23"/>
    </row>
    <row r="2" spans="1:6" ht="26.1" customHeight="1" x14ac:dyDescent="0.25">
      <c r="A2" s="25" t="s">
        <v>42</v>
      </c>
      <c r="B2" s="23"/>
      <c r="C2" s="23"/>
      <c r="D2" s="23"/>
      <c r="E2" s="23"/>
      <c r="F2" s="23"/>
    </row>
    <row r="3" spans="1:6" x14ac:dyDescent="0.25">
      <c r="A3" s="14" t="s">
        <v>31</v>
      </c>
      <c r="B3" s="14" t="s">
        <v>32</v>
      </c>
      <c r="C3" s="14" t="s">
        <v>33</v>
      </c>
      <c r="D3" s="14" t="s">
        <v>34</v>
      </c>
      <c r="E3" s="14" t="s">
        <v>15</v>
      </c>
      <c r="F3" s="14" t="s">
        <v>35</v>
      </c>
    </row>
    <row r="4" spans="1:6" ht="63.75" x14ac:dyDescent="0.25">
      <c r="A4" s="15" t="s">
        <v>43</v>
      </c>
      <c r="B4" s="15" t="s">
        <v>44</v>
      </c>
      <c r="C4" s="15" t="s">
        <v>45</v>
      </c>
      <c r="D4" s="15" t="s">
        <v>46</v>
      </c>
      <c r="E4" s="17" t="s">
        <v>24</v>
      </c>
      <c r="F4" s="15" t="s">
        <v>47</v>
      </c>
    </row>
    <row r="5" spans="1:6" ht="51" x14ac:dyDescent="0.25">
      <c r="A5" s="15" t="s">
        <v>48</v>
      </c>
      <c r="B5" s="15" t="s">
        <v>49</v>
      </c>
      <c r="C5" s="15" t="s">
        <v>50</v>
      </c>
      <c r="D5" s="15" t="s">
        <v>51</v>
      </c>
      <c r="E5" s="18" t="s">
        <v>25</v>
      </c>
      <c r="F5" s="15" t="s">
        <v>52</v>
      </c>
    </row>
    <row r="6" spans="1:6" ht="51" x14ac:dyDescent="0.25">
      <c r="A6" s="15" t="s">
        <v>53</v>
      </c>
      <c r="B6" s="15" t="s">
        <v>54</v>
      </c>
      <c r="C6" s="15" t="s">
        <v>55</v>
      </c>
      <c r="D6" s="15" t="s">
        <v>56</v>
      </c>
      <c r="E6" s="19" t="s">
        <v>23</v>
      </c>
      <c r="F6" s="15" t="s">
        <v>57</v>
      </c>
    </row>
    <row r="7" spans="1:6" ht="38.25" x14ac:dyDescent="0.25">
      <c r="A7" s="15" t="s">
        <v>58</v>
      </c>
      <c r="B7" s="15" t="s">
        <v>59</v>
      </c>
      <c r="C7" s="15" t="s">
        <v>60</v>
      </c>
      <c r="D7" s="15" t="s">
        <v>61</v>
      </c>
      <c r="E7" s="19" t="s">
        <v>23</v>
      </c>
      <c r="F7" s="15" t="s">
        <v>62</v>
      </c>
    </row>
    <row r="8" spans="1:6" ht="38.25" x14ac:dyDescent="0.25">
      <c r="A8" s="15" t="s">
        <v>63</v>
      </c>
      <c r="B8" s="15" t="s">
        <v>64</v>
      </c>
      <c r="C8" s="15" t="s">
        <v>60</v>
      </c>
      <c r="D8" s="15" t="s">
        <v>65</v>
      </c>
      <c r="E8" s="19" t="s">
        <v>23</v>
      </c>
      <c r="F8" s="15" t="s">
        <v>66</v>
      </c>
    </row>
    <row r="9" spans="1:6" ht="38.25" x14ac:dyDescent="0.25">
      <c r="A9" s="15" t="s">
        <v>67</v>
      </c>
      <c r="B9" s="15" t="s">
        <v>68</v>
      </c>
      <c r="C9" s="15" t="s">
        <v>60</v>
      </c>
      <c r="D9" s="15" t="s">
        <v>69</v>
      </c>
      <c r="E9" s="19" t="s">
        <v>23</v>
      </c>
      <c r="F9" s="15" t="s">
        <v>70</v>
      </c>
    </row>
    <row r="10" spans="1:6" ht="25.5" x14ac:dyDescent="0.25">
      <c r="A10" s="15" t="s">
        <v>71</v>
      </c>
      <c r="B10" s="15" t="s">
        <v>72</v>
      </c>
      <c r="C10" s="15" t="s">
        <v>60</v>
      </c>
      <c r="D10" s="15" t="s">
        <v>73</v>
      </c>
      <c r="E10" s="17" t="s">
        <v>24</v>
      </c>
      <c r="F10" s="15" t="s">
        <v>74</v>
      </c>
    </row>
    <row r="11" spans="1:6" ht="51" x14ac:dyDescent="0.25">
      <c r="A11" s="15" t="s">
        <v>75</v>
      </c>
      <c r="B11" s="15" t="s">
        <v>76</v>
      </c>
      <c r="C11" s="15" t="s">
        <v>77</v>
      </c>
      <c r="D11" s="15" t="s">
        <v>78</v>
      </c>
      <c r="E11" s="16" t="s">
        <v>26</v>
      </c>
      <c r="F11" s="15" t="s">
        <v>79</v>
      </c>
    </row>
    <row r="12" spans="1:6" ht="51" x14ac:dyDescent="0.25">
      <c r="A12" s="15" t="s">
        <v>80</v>
      </c>
      <c r="B12" s="15" t="s">
        <v>81</v>
      </c>
      <c r="C12" s="15" t="s">
        <v>50</v>
      </c>
      <c r="D12" s="15" t="s">
        <v>82</v>
      </c>
      <c r="E12" s="18" t="s">
        <v>25</v>
      </c>
      <c r="F12" s="15" t="s">
        <v>83</v>
      </c>
    </row>
    <row r="13" spans="1:6" ht="51" x14ac:dyDescent="0.25">
      <c r="A13" s="15" t="s">
        <v>84</v>
      </c>
      <c r="B13" s="15" t="s">
        <v>85</v>
      </c>
      <c r="C13" s="15" t="s">
        <v>86</v>
      </c>
      <c r="D13" s="15" t="s">
        <v>87</v>
      </c>
      <c r="E13" s="19" t="s">
        <v>23</v>
      </c>
      <c r="F13" s="15" t="s">
        <v>88</v>
      </c>
    </row>
    <row r="14" spans="1:6" ht="38.25" x14ac:dyDescent="0.25">
      <c r="A14" s="15" t="s">
        <v>89</v>
      </c>
      <c r="B14" s="15" t="s">
        <v>90</v>
      </c>
      <c r="C14" s="15" t="s">
        <v>86</v>
      </c>
      <c r="D14" s="15" t="s">
        <v>91</v>
      </c>
      <c r="E14" s="19" t="s">
        <v>23</v>
      </c>
      <c r="F14" s="15" t="s">
        <v>92</v>
      </c>
    </row>
    <row r="15" spans="1:6" ht="25.5" x14ac:dyDescent="0.25">
      <c r="A15" s="15" t="s">
        <v>93</v>
      </c>
      <c r="B15" s="15" t="s">
        <v>94</v>
      </c>
      <c r="C15" s="15" t="s">
        <v>86</v>
      </c>
      <c r="D15" s="15" t="s">
        <v>95</v>
      </c>
      <c r="E15" s="18" t="s">
        <v>25</v>
      </c>
      <c r="F15" s="15" t="s">
        <v>96</v>
      </c>
    </row>
    <row r="16" spans="1:6" ht="38.25" x14ac:dyDescent="0.25">
      <c r="A16" s="15" t="s">
        <v>97</v>
      </c>
      <c r="B16" s="15" t="s">
        <v>98</v>
      </c>
      <c r="C16" s="15" t="s">
        <v>77</v>
      </c>
      <c r="D16" s="15" t="s">
        <v>99</v>
      </c>
      <c r="E16" s="19" t="s">
        <v>23</v>
      </c>
      <c r="F16" s="15" t="s">
        <v>100</v>
      </c>
    </row>
    <row r="17" spans="1:6" ht="38.25" x14ac:dyDescent="0.25">
      <c r="A17" s="15" t="s">
        <v>101</v>
      </c>
      <c r="B17" s="15" t="s">
        <v>102</v>
      </c>
      <c r="C17" s="15" t="s">
        <v>86</v>
      </c>
      <c r="D17" s="15" t="s">
        <v>103</v>
      </c>
      <c r="E17" s="18" t="s">
        <v>25</v>
      </c>
      <c r="F17" s="15" t="s">
        <v>104</v>
      </c>
    </row>
    <row r="18" spans="1:6" ht="51" x14ac:dyDescent="0.25">
      <c r="A18" s="15" t="s">
        <v>105</v>
      </c>
      <c r="B18" s="15" t="s">
        <v>106</v>
      </c>
      <c r="C18" s="15" t="s">
        <v>77</v>
      </c>
      <c r="D18" s="15" t="s">
        <v>107</v>
      </c>
      <c r="E18" s="16" t="s">
        <v>26</v>
      </c>
      <c r="F18" s="15" t="s">
        <v>108</v>
      </c>
    </row>
    <row r="19" spans="1:6" ht="51" x14ac:dyDescent="0.25">
      <c r="A19" s="15" t="s">
        <v>109</v>
      </c>
      <c r="B19" s="15" t="s">
        <v>110</v>
      </c>
      <c r="C19" s="15" t="s">
        <v>111</v>
      </c>
      <c r="D19" s="15" t="s">
        <v>112</v>
      </c>
      <c r="E19" s="16" t="s">
        <v>26</v>
      </c>
      <c r="F19" s="15" t="s">
        <v>113</v>
      </c>
    </row>
    <row r="20" spans="1:6" ht="51" x14ac:dyDescent="0.25">
      <c r="A20" s="15" t="s">
        <v>114</v>
      </c>
      <c r="B20" s="15" t="s">
        <v>115</v>
      </c>
      <c r="C20" s="15" t="s">
        <v>45</v>
      </c>
      <c r="D20" s="15" t="s">
        <v>116</v>
      </c>
      <c r="E20" s="16" t="s">
        <v>26</v>
      </c>
      <c r="F20" s="15" t="s">
        <v>117</v>
      </c>
    </row>
    <row r="21" spans="1:6" ht="51" x14ac:dyDescent="0.25">
      <c r="A21" s="15" t="s">
        <v>118</v>
      </c>
      <c r="B21" s="15" t="s">
        <v>119</v>
      </c>
      <c r="C21" s="15" t="s">
        <v>45</v>
      </c>
      <c r="D21" s="15" t="s">
        <v>116</v>
      </c>
      <c r="E21" s="16" t="s">
        <v>26</v>
      </c>
      <c r="F21" s="15" t="s">
        <v>120</v>
      </c>
    </row>
    <row r="22" spans="1:6" ht="38.25" x14ac:dyDescent="0.25">
      <c r="A22" s="15" t="s">
        <v>121</v>
      </c>
      <c r="B22" s="15" t="s">
        <v>122</v>
      </c>
      <c r="C22" s="15" t="s">
        <v>77</v>
      </c>
      <c r="D22" s="15" t="s">
        <v>123</v>
      </c>
      <c r="E22" s="18" t="s">
        <v>25</v>
      </c>
      <c r="F22" s="15" t="s">
        <v>124</v>
      </c>
    </row>
    <row r="23" spans="1:6" ht="25.5" x14ac:dyDescent="0.25">
      <c r="A23" s="15" t="s">
        <v>125</v>
      </c>
      <c r="B23" s="15" t="s">
        <v>126</v>
      </c>
      <c r="C23" s="15" t="s">
        <v>111</v>
      </c>
      <c r="D23" s="15" t="s">
        <v>127</v>
      </c>
      <c r="E23" s="18" t="s">
        <v>25</v>
      </c>
      <c r="F23" s="15" t="s">
        <v>128</v>
      </c>
    </row>
    <row r="24" spans="1:6" ht="38.25" x14ac:dyDescent="0.25">
      <c r="A24" s="15" t="s">
        <v>129</v>
      </c>
      <c r="B24" s="15" t="s">
        <v>130</v>
      </c>
      <c r="C24" s="15" t="s">
        <v>77</v>
      </c>
      <c r="D24" s="15" t="s">
        <v>131</v>
      </c>
      <c r="E24" s="19" t="s">
        <v>23</v>
      </c>
      <c r="F24" s="15" t="s">
        <v>132</v>
      </c>
    </row>
    <row r="25" spans="1:6" ht="51" x14ac:dyDescent="0.25">
      <c r="A25" s="15" t="s">
        <v>133</v>
      </c>
      <c r="B25" s="15" t="s">
        <v>134</v>
      </c>
      <c r="C25" s="15" t="s">
        <v>77</v>
      </c>
      <c r="D25" s="15" t="s">
        <v>135</v>
      </c>
      <c r="E25" s="16" t="s">
        <v>26</v>
      </c>
      <c r="F25" s="15" t="s">
        <v>136</v>
      </c>
    </row>
    <row r="26" spans="1:6" ht="51" x14ac:dyDescent="0.25">
      <c r="A26" s="15" t="s">
        <v>137</v>
      </c>
      <c r="B26" s="15" t="s">
        <v>138</v>
      </c>
      <c r="C26" s="15" t="s">
        <v>77</v>
      </c>
      <c r="D26" s="15" t="s">
        <v>135</v>
      </c>
      <c r="E26" s="16" t="s">
        <v>26</v>
      </c>
      <c r="F26" s="15" t="s">
        <v>139</v>
      </c>
    </row>
    <row r="27" spans="1:6" ht="38.25" x14ac:dyDescent="0.25">
      <c r="A27" s="15" t="s">
        <v>140</v>
      </c>
      <c r="B27" s="15" t="s">
        <v>141</v>
      </c>
      <c r="C27" s="15" t="s">
        <v>111</v>
      </c>
      <c r="D27" s="15" t="s">
        <v>142</v>
      </c>
      <c r="E27" s="18" t="s">
        <v>25</v>
      </c>
      <c r="F27" s="15" t="s">
        <v>143</v>
      </c>
    </row>
    <row r="28" spans="1:6" ht="38.25" x14ac:dyDescent="0.25">
      <c r="A28" s="15" t="s">
        <v>43</v>
      </c>
      <c r="B28" s="15" t="s">
        <v>144</v>
      </c>
      <c r="C28" s="15" t="s">
        <v>111</v>
      </c>
      <c r="D28" s="15" t="s">
        <v>145</v>
      </c>
      <c r="E28" s="16" t="s">
        <v>26</v>
      </c>
      <c r="F28" s="15" t="s">
        <v>146</v>
      </c>
    </row>
    <row r="29" spans="1:6" ht="38.25" x14ac:dyDescent="0.25">
      <c r="A29" s="15" t="s">
        <v>147</v>
      </c>
      <c r="B29" s="15" t="s">
        <v>148</v>
      </c>
      <c r="C29" s="15" t="s">
        <v>149</v>
      </c>
      <c r="D29" s="15" t="s">
        <v>150</v>
      </c>
      <c r="E29" s="20" t="s">
        <v>22</v>
      </c>
      <c r="F29" s="15" t="s">
        <v>151</v>
      </c>
    </row>
    <row r="30" spans="1:6" ht="38.25" x14ac:dyDescent="0.25">
      <c r="A30" s="15" t="s">
        <v>152</v>
      </c>
      <c r="B30" s="15" t="s">
        <v>153</v>
      </c>
      <c r="C30" s="15" t="s">
        <v>149</v>
      </c>
      <c r="D30" s="15" t="s">
        <v>154</v>
      </c>
      <c r="E30" s="20" t="s">
        <v>22</v>
      </c>
      <c r="F30" s="15" t="s">
        <v>155</v>
      </c>
    </row>
    <row r="31" spans="1:6" ht="38.25" x14ac:dyDescent="0.25">
      <c r="A31" s="15" t="s">
        <v>140</v>
      </c>
      <c r="B31" s="15" t="s">
        <v>156</v>
      </c>
      <c r="C31" s="15" t="s">
        <v>149</v>
      </c>
      <c r="D31" s="15" t="s">
        <v>157</v>
      </c>
      <c r="E31" s="20" t="s">
        <v>22</v>
      </c>
      <c r="F31" s="15" t="s">
        <v>158</v>
      </c>
    </row>
    <row r="32" spans="1:6" ht="38.25" x14ac:dyDescent="0.25">
      <c r="A32" s="15" t="s">
        <v>159</v>
      </c>
      <c r="B32" s="15" t="s">
        <v>160</v>
      </c>
      <c r="C32" s="15" t="s">
        <v>149</v>
      </c>
      <c r="D32" s="15" t="s">
        <v>161</v>
      </c>
      <c r="E32" s="20" t="s">
        <v>22</v>
      </c>
      <c r="F32" s="15" t="s">
        <v>162</v>
      </c>
    </row>
    <row r="33" spans="1:6" ht="38.25" x14ac:dyDescent="0.25">
      <c r="A33" s="15" t="s">
        <v>163</v>
      </c>
      <c r="B33" s="15" t="s">
        <v>164</v>
      </c>
      <c r="C33" s="15" t="s">
        <v>149</v>
      </c>
      <c r="D33" s="15" t="s">
        <v>165</v>
      </c>
      <c r="E33" s="20" t="s">
        <v>22</v>
      </c>
      <c r="F33" s="15" t="s">
        <v>166</v>
      </c>
    </row>
    <row r="34" spans="1:6" ht="38.25" x14ac:dyDescent="0.25">
      <c r="A34" s="15" t="s">
        <v>167</v>
      </c>
      <c r="B34" s="15" t="s">
        <v>168</v>
      </c>
      <c r="C34" s="15" t="s">
        <v>149</v>
      </c>
      <c r="D34" s="15" t="s">
        <v>169</v>
      </c>
      <c r="E34" s="20" t="s">
        <v>22</v>
      </c>
      <c r="F34" s="15" t="s">
        <v>170</v>
      </c>
    </row>
    <row r="35" spans="1:6" ht="38.25" x14ac:dyDescent="0.25">
      <c r="A35" s="15" t="s">
        <v>171</v>
      </c>
      <c r="B35" s="15" t="s">
        <v>172</v>
      </c>
      <c r="C35" s="15" t="s">
        <v>149</v>
      </c>
      <c r="D35" s="15" t="s">
        <v>173</v>
      </c>
      <c r="E35" s="20" t="s">
        <v>22</v>
      </c>
      <c r="F35" s="15" t="s">
        <v>174</v>
      </c>
    </row>
    <row r="36" spans="1:6" ht="38.25" x14ac:dyDescent="0.25">
      <c r="A36" s="15" t="s">
        <v>175</v>
      </c>
      <c r="B36" s="15" t="s">
        <v>176</v>
      </c>
      <c r="C36" s="15" t="s">
        <v>149</v>
      </c>
      <c r="D36" s="15" t="s">
        <v>177</v>
      </c>
      <c r="E36" s="20" t="s">
        <v>22</v>
      </c>
      <c r="F36" s="15" t="s">
        <v>178</v>
      </c>
    </row>
    <row r="37" spans="1:6" ht="38.25" x14ac:dyDescent="0.25">
      <c r="A37" s="15" t="s">
        <v>179</v>
      </c>
      <c r="B37" s="15" t="s">
        <v>180</v>
      </c>
      <c r="C37" s="15" t="s">
        <v>149</v>
      </c>
      <c r="D37" s="15" t="s">
        <v>181</v>
      </c>
      <c r="E37" s="20" t="s">
        <v>22</v>
      </c>
      <c r="F37" s="15" t="s">
        <v>182</v>
      </c>
    </row>
    <row r="38" spans="1:6" ht="38.25" x14ac:dyDescent="0.25">
      <c r="A38" s="15" t="s">
        <v>183</v>
      </c>
      <c r="B38" s="15" t="s">
        <v>184</v>
      </c>
      <c r="C38" s="15" t="s">
        <v>149</v>
      </c>
      <c r="D38" s="15" t="s">
        <v>185</v>
      </c>
      <c r="E38" s="20" t="s">
        <v>22</v>
      </c>
      <c r="F38" s="15" t="s">
        <v>186</v>
      </c>
    </row>
    <row r="39" spans="1:6" ht="38.25" x14ac:dyDescent="0.25">
      <c r="A39" s="15" t="s">
        <v>187</v>
      </c>
      <c r="B39" s="15" t="s">
        <v>188</v>
      </c>
      <c r="C39" s="15" t="s">
        <v>149</v>
      </c>
      <c r="D39" s="15" t="s">
        <v>189</v>
      </c>
      <c r="E39" s="20" t="s">
        <v>22</v>
      </c>
      <c r="F39" s="15" t="s">
        <v>190</v>
      </c>
    </row>
    <row r="40" spans="1:6" ht="38.25" x14ac:dyDescent="0.25">
      <c r="A40" s="15" t="s">
        <v>191</v>
      </c>
      <c r="B40" s="15" t="s">
        <v>192</v>
      </c>
      <c r="C40" s="15" t="s">
        <v>149</v>
      </c>
      <c r="D40" s="15" t="s">
        <v>193</v>
      </c>
      <c r="E40" s="20" t="s">
        <v>22</v>
      </c>
      <c r="F40" s="15" t="s">
        <v>194</v>
      </c>
    </row>
    <row r="41" spans="1:6" ht="38.25" x14ac:dyDescent="0.25">
      <c r="A41" s="15" t="s">
        <v>195</v>
      </c>
      <c r="B41" s="15" t="s">
        <v>196</v>
      </c>
      <c r="C41" s="15" t="s">
        <v>149</v>
      </c>
      <c r="D41" s="15" t="s">
        <v>197</v>
      </c>
      <c r="E41" s="20" t="s">
        <v>22</v>
      </c>
      <c r="F41" s="15" t="s">
        <v>198</v>
      </c>
    </row>
    <row r="42" spans="1:6" ht="38.25" x14ac:dyDescent="0.25">
      <c r="A42" s="15" t="s">
        <v>199</v>
      </c>
      <c r="B42" s="15" t="s">
        <v>200</v>
      </c>
      <c r="C42" s="15" t="s">
        <v>149</v>
      </c>
      <c r="D42" s="15" t="s">
        <v>201</v>
      </c>
      <c r="E42" s="20" t="s">
        <v>22</v>
      </c>
      <c r="F42" s="15" t="s">
        <v>202</v>
      </c>
    </row>
    <row r="43" spans="1:6" ht="38.25" x14ac:dyDescent="0.25">
      <c r="A43" s="15" t="s">
        <v>203</v>
      </c>
      <c r="B43" s="15" t="s">
        <v>204</v>
      </c>
      <c r="C43" s="15" t="s">
        <v>149</v>
      </c>
      <c r="D43" s="15" t="s">
        <v>205</v>
      </c>
      <c r="E43" s="20" t="s">
        <v>22</v>
      </c>
      <c r="F43" s="15" t="s">
        <v>206</v>
      </c>
    </row>
    <row r="44" spans="1:6" ht="38.25" x14ac:dyDescent="0.25">
      <c r="A44" s="15" t="s">
        <v>207</v>
      </c>
      <c r="B44" s="15" t="s">
        <v>208</v>
      </c>
      <c r="C44" s="15" t="s">
        <v>149</v>
      </c>
      <c r="D44" s="15" t="s">
        <v>209</v>
      </c>
      <c r="E44" s="20" t="s">
        <v>22</v>
      </c>
      <c r="F44" s="15" t="s">
        <v>210</v>
      </c>
    </row>
    <row r="45" spans="1:6" ht="38.25" x14ac:dyDescent="0.25">
      <c r="A45" s="15" t="s">
        <v>211</v>
      </c>
      <c r="B45" s="15" t="s">
        <v>212</v>
      </c>
      <c r="C45" s="15" t="s">
        <v>149</v>
      </c>
      <c r="D45" s="15" t="s">
        <v>213</v>
      </c>
      <c r="E45" s="20" t="s">
        <v>22</v>
      </c>
      <c r="F45" s="15" t="s">
        <v>214</v>
      </c>
    </row>
    <row r="46" spans="1:6" ht="38.25" x14ac:dyDescent="0.25">
      <c r="A46" s="15" t="s">
        <v>215</v>
      </c>
      <c r="B46" s="15" t="s">
        <v>216</v>
      </c>
      <c r="C46" s="15" t="s">
        <v>149</v>
      </c>
      <c r="D46" s="15" t="s">
        <v>217</v>
      </c>
      <c r="E46" s="20" t="s">
        <v>22</v>
      </c>
      <c r="F46" s="15" t="s">
        <v>218</v>
      </c>
    </row>
    <row r="47" spans="1:6" ht="38.25" x14ac:dyDescent="0.25">
      <c r="A47" s="15" t="s">
        <v>219</v>
      </c>
      <c r="B47" s="15" t="s">
        <v>220</v>
      </c>
      <c r="C47" s="15" t="s">
        <v>149</v>
      </c>
      <c r="D47" s="15" t="s">
        <v>221</v>
      </c>
      <c r="E47" s="20" t="s">
        <v>22</v>
      </c>
      <c r="F47" s="15" t="s">
        <v>222</v>
      </c>
    </row>
    <row r="48" spans="1:6" ht="38.25" x14ac:dyDescent="0.25">
      <c r="A48" s="15" t="s">
        <v>223</v>
      </c>
      <c r="B48" s="15" t="s">
        <v>224</v>
      </c>
      <c r="C48" s="15" t="s">
        <v>149</v>
      </c>
      <c r="D48" s="15" t="s">
        <v>225</v>
      </c>
      <c r="E48" s="20" t="s">
        <v>22</v>
      </c>
      <c r="F48" s="15" t="s">
        <v>226</v>
      </c>
    </row>
    <row r="49" spans="1:6" ht="38.25" x14ac:dyDescent="0.25">
      <c r="A49" s="15" t="s">
        <v>227</v>
      </c>
      <c r="B49" s="15" t="s">
        <v>228</v>
      </c>
      <c r="C49" s="15" t="s">
        <v>149</v>
      </c>
      <c r="D49" s="15" t="s">
        <v>229</v>
      </c>
      <c r="E49" s="20" t="s">
        <v>22</v>
      </c>
      <c r="F49" s="15" t="s">
        <v>230</v>
      </c>
    </row>
    <row r="50" spans="1:6" ht="38.25" x14ac:dyDescent="0.25">
      <c r="A50" s="15" t="s">
        <v>231</v>
      </c>
      <c r="B50" s="15" t="s">
        <v>232</v>
      </c>
      <c r="C50" s="15" t="s">
        <v>149</v>
      </c>
      <c r="D50" s="15" t="s">
        <v>233</v>
      </c>
      <c r="E50" s="20" t="s">
        <v>22</v>
      </c>
      <c r="F50" s="15" t="s">
        <v>234</v>
      </c>
    </row>
    <row r="51" spans="1:6" ht="38.25" x14ac:dyDescent="0.25">
      <c r="A51" s="15" t="s">
        <v>235</v>
      </c>
      <c r="B51" s="15" t="s">
        <v>236</v>
      </c>
      <c r="C51" s="15" t="s">
        <v>149</v>
      </c>
      <c r="D51" s="15" t="s">
        <v>237</v>
      </c>
      <c r="E51" s="20" t="s">
        <v>22</v>
      </c>
      <c r="F51" s="15" t="s">
        <v>238</v>
      </c>
    </row>
    <row r="52" spans="1:6" ht="38.25" x14ac:dyDescent="0.25">
      <c r="A52" s="15" t="s">
        <v>239</v>
      </c>
      <c r="B52" s="15" t="s">
        <v>240</v>
      </c>
      <c r="C52" s="15" t="s">
        <v>149</v>
      </c>
      <c r="D52" s="15" t="s">
        <v>241</v>
      </c>
      <c r="E52" s="20" t="s">
        <v>22</v>
      </c>
      <c r="F52" s="15" t="s">
        <v>242</v>
      </c>
    </row>
    <row r="53" spans="1:6" ht="38.25" x14ac:dyDescent="0.25">
      <c r="A53" s="15" t="s">
        <v>243</v>
      </c>
      <c r="B53" s="15" t="s">
        <v>244</v>
      </c>
      <c r="C53" s="15" t="s">
        <v>149</v>
      </c>
      <c r="D53" s="15" t="s">
        <v>245</v>
      </c>
      <c r="E53" s="20" t="s">
        <v>22</v>
      </c>
      <c r="F53" s="15" t="s">
        <v>246</v>
      </c>
    </row>
    <row r="54" spans="1:6" ht="38.25" x14ac:dyDescent="0.25">
      <c r="A54" s="15" t="s">
        <v>247</v>
      </c>
      <c r="B54" s="15" t="s">
        <v>248</v>
      </c>
      <c r="C54" s="15" t="s">
        <v>149</v>
      </c>
      <c r="D54" s="15" t="s">
        <v>249</v>
      </c>
      <c r="E54" s="20" t="s">
        <v>22</v>
      </c>
      <c r="F54" s="15" t="s">
        <v>250</v>
      </c>
    </row>
    <row r="55" spans="1:6" ht="38.25" x14ac:dyDescent="0.25">
      <c r="A55" s="15" t="s">
        <v>251</v>
      </c>
      <c r="B55" s="15" t="s">
        <v>252</v>
      </c>
      <c r="C55" s="15" t="s">
        <v>149</v>
      </c>
      <c r="D55" s="15" t="s">
        <v>253</v>
      </c>
      <c r="E55" s="20" t="s">
        <v>22</v>
      </c>
      <c r="F55" s="15" t="s">
        <v>254</v>
      </c>
    </row>
    <row r="56" spans="1:6" ht="38.25" x14ac:dyDescent="0.25">
      <c r="A56" s="15" t="s">
        <v>255</v>
      </c>
      <c r="B56" s="15" t="s">
        <v>256</v>
      </c>
      <c r="C56" s="15" t="s">
        <v>149</v>
      </c>
      <c r="D56" s="15" t="s">
        <v>257</v>
      </c>
      <c r="E56" s="20" t="s">
        <v>22</v>
      </c>
      <c r="F56" s="15" t="s">
        <v>258</v>
      </c>
    </row>
    <row r="57" spans="1:6" ht="38.25" x14ac:dyDescent="0.25">
      <c r="A57" s="15" t="s">
        <v>259</v>
      </c>
      <c r="B57" s="15" t="s">
        <v>260</v>
      </c>
      <c r="C57" s="15" t="s">
        <v>149</v>
      </c>
      <c r="D57" s="15" t="s">
        <v>261</v>
      </c>
      <c r="E57" s="20" t="s">
        <v>22</v>
      </c>
      <c r="F57" s="15" t="s">
        <v>262</v>
      </c>
    </row>
    <row r="58" spans="1:6" ht="38.25" x14ac:dyDescent="0.25">
      <c r="A58" s="15" t="s">
        <v>121</v>
      </c>
      <c r="B58" s="15" t="s">
        <v>263</v>
      </c>
      <c r="C58" s="15" t="s">
        <v>149</v>
      </c>
      <c r="D58" s="15" t="s">
        <v>264</v>
      </c>
      <c r="E58" s="20" t="s">
        <v>22</v>
      </c>
      <c r="F58" s="15" t="s">
        <v>265</v>
      </c>
    </row>
    <row r="59" spans="1:6" ht="38.25" x14ac:dyDescent="0.25">
      <c r="A59" s="15" t="s">
        <v>266</v>
      </c>
      <c r="B59" s="15" t="s">
        <v>267</v>
      </c>
      <c r="C59" s="15" t="s">
        <v>149</v>
      </c>
      <c r="D59" s="15" t="s">
        <v>268</v>
      </c>
      <c r="E59" s="20" t="s">
        <v>22</v>
      </c>
      <c r="F59" s="15" t="s">
        <v>269</v>
      </c>
    </row>
    <row r="60" spans="1:6" ht="38.25" x14ac:dyDescent="0.25">
      <c r="A60" s="15" t="s">
        <v>270</v>
      </c>
      <c r="B60" s="15" t="s">
        <v>271</v>
      </c>
      <c r="C60" s="15" t="s">
        <v>149</v>
      </c>
      <c r="D60" s="15" t="s">
        <v>272</v>
      </c>
      <c r="E60" s="20" t="s">
        <v>22</v>
      </c>
      <c r="F60" s="15" t="s">
        <v>273</v>
      </c>
    </row>
    <row r="61" spans="1:6" ht="38.25" x14ac:dyDescent="0.25">
      <c r="A61" s="15" t="s">
        <v>274</v>
      </c>
      <c r="B61" s="15" t="s">
        <v>275</v>
      </c>
      <c r="C61" s="15" t="s">
        <v>149</v>
      </c>
      <c r="D61" s="15" t="s">
        <v>276</v>
      </c>
      <c r="E61" s="20" t="s">
        <v>22</v>
      </c>
      <c r="F61" s="15" t="s">
        <v>277</v>
      </c>
    </row>
    <row r="62" spans="1:6" ht="38.25" x14ac:dyDescent="0.25">
      <c r="A62" s="15" t="s">
        <v>278</v>
      </c>
      <c r="B62" s="15" t="s">
        <v>279</v>
      </c>
      <c r="C62" s="15" t="s">
        <v>149</v>
      </c>
      <c r="D62" s="15" t="s">
        <v>280</v>
      </c>
      <c r="E62" s="21" t="s">
        <v>27</v>
      </c>
      <c r="F62" s="15" t="s">
        <v>281</v>
      </c>
    </row>
    <row r="63" spans="1:6" ht="38.25" x14ac:dyDescent="0.25">
      <c r="A63" s="15" t="s">
        <v>282</v>
      </c>
      <c r="B63" s="15" t="s">
        <v>283</v>
      </c>
      <c r="C63" s="15" t="s">
        <v>149</v>
      </c>
      <c r="D63" s="15" t="s">
        <v>284</v>
      </c>
      <c r="E63" s="20" t="s">
        <v>22</v>
      </c>
      <c r="F63" s="15" t="s">
        <v>285</v>
      </c>
    </row>
    <row r="64" spans="1:6" ht="38.25" x14ac:dyDescent="0.25">
      <c r="A64" s="15" t="s">
        <v>286</v>
      </c>
      <c r="B64" s="15" t="s">
        <v>287</v>
      </c>
      <c r="C64" s="15" t="s">
        <v>149</v>
      </c>
      <c r="D64" s="15" t="s">
        <v>288</v>
      </c>
      <c r="E64" s="21" t="s">
        <v>27</v>
      </c>
      <c r="F64" s="15" t="s">
        <v>289</v>
      </c>
    </row>
    <row r="65" spans="1:6" ht="38.25" x14ac:dyDescent="0.25">
      <c r="A65" s="15" t="s">
        <v>290</v>
      </c>
      <c r="B65" s="15" t="s">
        <v>291</v>
      </c>
      <c r="C65" s="15" t="s">
        <v>149</v>
      </c>
      <c r="D65" s="15" t="s">
        <v>292</v>
      </c>
      <c r="E65" s="21" t="s">
        <v>27</v>
      </c>
      <c r="F65" s="15" t="s">
        <v>293</v>
      </c>
    </row>
    <row r="66" spans="1:6" ht="38.25" x14ac:dyDescent="0.25">
      <c r="A66" s="15" t="s">
        <v>294</v>
      </c>
      <c r="B66" s="15" t="s">
        <v>295</v>
      </c>
      <c r="C66" s="15" t="s">
        <v>149</v>
      </c>
      <c r="D66" s="15" t="s">
        <v>296</v>
      </c>
      <c r="E66" s="20" t="s">
        <v>22</v>
      </c>
      <c r="F66" s="15" t="s">
        <v>297</v>
      </c>
    </row>
  </sheetData>
  <autoFilter ref="A3:F66" xr:uid="{00000000-0009-0000-0000-000002000000}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62" customWidth="1"/>
    <col min="3" max="3" width="30" customWidth="1"/>
    <col min="4" max="4" width="62" customWidth="1"/>
    <col min="5" max="5" width="22" customWidth="1"/>
    <col min="6" max="6" width="11" customWidth="1"/>
  </cols>
  <sheetData>
    <row r="1" spans="1:6" ht="16.5" x14ac:dyDescent="0.25">
      <c r="A1" s="26" t="s">
        <v>298</v>
      </c>
      <c r="B1" s="23"/>
      <c r="C1" s="23"/>
      <c r="D1" s="23"/>
      <c r="E1" s="23"/>
      <c r="F1" s="23"/>
    </row>
    <row r="2" spans="1:6" ht="26.1" customHeight="1" x14ac:dyDescent="0.25">
      <c r="A2" s="25" t="s">
        <v>299</v>
      </c>
      <c r="B2" s="23"/>
      <c r="C2" s="23"/>
      <c r="D2" s="23"/>
      <c r="E2" s="23"/>
      <c r="F2" s="23"/>
    </row>
    <row r="3" spans="1:6" x14ac:dyDescent="0.25">
      <c r="A3" s="14" t="s">
        <v>31</v>
      </c>
      <c r="B3" s="14" t="s">
        <v>32</v>
      </c>
      <c r="C3" s="14" t="s">
        <v>33</v>
      </c>
      <c r="D3" s="14" t="s">
        <v>34</v>
      </c>
      <c r="E3" s="14" t="s">
        <v>15</v>
      </c>
      <c r="F3" s="14" t="s">
        <v>35</v>
      </c>
    </row>
    <row r="4" spans="1:6" ht="51" x14ac:dyDescent="0.25">
      <c r="A4" s="15" t="s">
        <v>300</v>
      </c>
      <c r="B4" s="15" t="s">
        <v>301</v>
      </c>
      <c r="C4" s="15" t="s">
        <v>302</v>
      </c>
      <c r="D4" s="15" t="s">
        <v>303</v>
      </c>
      <c r="E4" s="20" t="s">
        <v>21</v>
      </c>
      <c r="F4" s="15" t="s">
        <v>304</v>
      </c>
    </row>
    <row r="5" spans="1:6" ht="51" x14ac:dyDescent="0.25">
      <c r="A5" s="15" t="s">
        <v>305</v>
      </c>
      <c r="B5" s="15" t="s">
        <v>306</v>
      </c>
      <c r="C5" s="15" t="s">
        <v>307</v>
      </c>
      <c r="D5" s="15" t="s">
        <v>308</v>
      </c>
      <c r="E5" s="20" t="s">
        <v>21</v>
      </c>
      <c r="F5" s="15" t="s">
        <v>309</v>
      </c>
    </row>
    <row r="6" spans="1:6" ht="63.75" x14ac:dyDescent="0.25">
      <c r="A6" s="15" t="s">
        <v>310</v>
      </c>
      <c r="B6" s="15" t="s">
        <v>311</v>
      </c>
      <c r="C6" s="15" t="s">
        <v>38</v>
      </c>
      <c r="D6" s="15" t="s">
        <v>312</v>
      </c>
      <c r="E6" s="16" t="s">
        <v>26</v>
      </c>
      <c r="F6" s="15" t="s">
        <v>40</v>
      </c>
    </row>
  </sheetData>
  <autoFilter ref="A3:F6" xr:uid="{00000000-0009-0000-0000-000003000000}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62" customWidth="1"/>
    <col min="3" max="3" width="30" customWidth="1"/>
    <col min="4" max="4" width="62" customWidth="1"/>
    <col min="5" max="5" width="22" customWidth="1"/>
    <col min="6" max="6" width="11" customWidth="1"/>
  </cols>
  <sheetData>
    <row r="1" spans="1:6" ht="16.5" x14ac:dyDescent="0.25">
      <c r="A1" s="26" t="s">
        <v>313</v>
      </c>
      <c r="B1" s="23"/>
      <c r="C1" s="23"/>
      <c r="D1" s="23"/>
      <c r="E1" s="23"/>
      <c r="F1" s="23"/>
    </row>
    <row r="2" spans="1:6" ht="26.1" customHeight="1" x14ac:dyDescent="0.25">
      <c r="A2" s="25" t="s">
        <v>314</v>
      </c>
      <c r="B2" s="23"/>
      <c r="C2" s="23"/>
      <c r="D2" s="23"/>
      <c r="E2" s="23"/>
      <c r="F2" s="23"/>
    </row>
    <row r="3" spans="1:6" x14ac:dyDescent="0.25">
      <c r="A3" s="14" t="s">
        <v>31</v>
      </c>
      <c r="B3" s="14" t="s">
        <v>32</v>
      </c>
      <c r="C3" s="14" t="s">
        <v>33</v>
      </c>
      <c r="D3" s="14" t="s">
        <v>34</v>
      </c>
      <c r="E3" s="14" t="s">
        <v>15</v>
      </c>
      <c r="F3" s="14" t="s">
        <v>35</v>
      </c>
    </row>
    <row r="4" spans="1:6" ht="51" x14ac:dyDescent="0.25">
      <c r="A4" s="15" t="s">
        <v>315</v>
      </c>
      <c r="B4" s="15" t="s">
        <v>316</v>
      </c>
      <c r="C4" s="15" t="s">
        <v>302</v>
      </c>
      <c r="D4" s="15" t="s">
        <v>317</v>
      </c>
      <c r="E4" s="20" t="s">
        <v>21</v>
      </c>
      <c r="F4" s="15" t="s">
        <v>318</v>
      </c>
    </row>
    <row r="5" spans="1:6" ht="38.25" x14ac:dyDescent="0.25">
      <c r="A5" s="15" t="s">
        <v>319</v>
      </c>
      <c r="B5" s="15" t="s">
        <v>320</v>
      </c>
      <c r="C5" s="15" t="s">
        <v>38</v>
      </c>
      <c r="D5" s="15" t="s">
        <v>321</v>
      </c>
      <c r="E5" s="16" t="s">
        <v>26</v>
      </c>
      <c r="F5" s="15" t="s">
        <v>40</v>
      </c>
    </row>
    <row r="6" spans="1:6" ht="38.25" x14ac:dyDescent="0.25">
      <c r="A6" s="15" t="s">
        <v>322</v>
      </c>
      <c r="B6" s="15" t="s">
        <v>323</v>
      </c>
      <c r="C6" s="15" t="s">
        <v>55</v>
      </c>
      <c r="D6" s="15" t="s">
        <v>324</v>
      </c>
      <c r="E6" s="19" t="s">
        <v>23</v>
      </c>
      <c r="F6" s="15" t="s">
        <v>325</v>
      </c>
    </row>
    <row r="7" spans="1:6" ht="51" x14ac:dyDescent="0.25">
      <c r="A7" s="15" t="s">
        <v>326</v>
      </c>
      <c r="B7" s="15" t="s">
        <v>327</v>
      </c>
      <c r="C7" s="15" t="s">
        <v>328</v>
      </c>
      <c r="D7" s="15" t="s">
        <v>329</v>
      </c>
      <c r="E7" s="19" t="s">
        <v>23</v>
      </c>
      <c r="F7" s="15" t="s">
        <v>330</v>
      </c>
    </row>
    <row r="8" spans="1:6" ht="51" x14ac:dyDescent="0.25">
      <c r="A8" s="15" t="s">
        <v>331</v>
      </c>
      <c r="B8" s="15" t="s">
        <v>332</v>
      </c>
      <c r="C8" s="15" t="s">
        <v>55</v>
      </c>
      <c r="D8" s="15" t="s">
        <v>333</v>
      </c>
      <c r="E8" s="17" t="s">
        <v>24</v>
      </c>
      <c r="F8" s="15" t="s">
        <v>334</v>
      </c>
    </row>
    <row r="9" spans="1:6" ht="25.5" x14ac:dyDescent="0.25">
      <c r="A9" s="15" t="s">
        <v>335</v>
      </c>
      <c r="B9" s="15" t="s">
        <v>336</v>
      </c>
      <c r="C9" s="15" t="s">
        <v>337</v>
      </c>
      <c r="D9" s="15" t="s">
        <v>338</v>
      </c>
      <c r="E9" s="17" t="s">
        <v>24</v>
      </c>
      <c r="F9" s="15" t="s">
        <v>339</v>
      </c>
    </row>
    <row r="10" spans="1:6" ht="38.25" x14ac:dyDescent="0.25">
      <c r="A10" s="15" t="s">
        <v>340</v>
      </c>
      <c r="B10" s="15" t="s">
        <v>341</v>
      </c>
      <c r="C10" s="15" t="s">
        <v>328</v>
      </c>
      <c r="D10" s="15" t="s">
        <v>342</v>
      </c>
      <c r="E10" s="18" t="s">
        <v>25</v>
      </c>
      <c r="F10" s="15" t="s">
        <v>343</v>
      </c>
    </row>
    <row r="11" spans="1:6" ht="38.25" x14ac:dyDescent="0.25">
      <c r="A11" s="15" t="s">
        <v>58</v>
      </c>
      <c r="B11" s="15" t="s">
        <v>344</v>
      </c>
      <c r="C11" s="15" t="s">
        <v>60</v>
      </c>
      <c r="D11" s="15" t="s">
        <v>345</v>
      </c>
      <c r="E11" s="19" t="s">
        <v>23</v>
      </c>
      <c r="F11" s="15" t="s">
        <v>346</v>
      </c>
    </row>
    <row r="12" spans="1:6" ht="25.5" x14ac:dyDescent="0.25">
      <c r="A12" s="15" t="s">
        <v>63</v>
      </c>
      <c r="B12" s="15" t="s">
        <v>347</v>
      </c>
      <c r="C12" s="15" t="s">
        <v>60</v>
      </c>
      <c r="D12" s="15" t="s">
        <v>348</v>
      </c>
      <c r="E12" s="19" t="s">
        <v>23</v>
      </c>
      <c r="F12" s="15" t="s">
        <v>349</v>
      </c>
    </row>
    <row r="13" spans="1:6" ht="25.5" x14ac:dyDescent="0.25">
      <c r="A13" s="15" t="s">
        <v>67</v>
      </c>
      <c r="B13" s="15" t="s">
        <v>350</v>
      </c>
      <c r="C13" s="15" t="s">
        <v>60</v>
      </c>
      <c r="D13" s="15" t="s">
        <v>351</v>
      </c>
      <c r="E13" s="19" t="s">
        <v>23</v>
      </c>
      <c r="F13" s="15" t="s">
        <v>352</v>
      </c>
    </row>
    <row r="14" spans="1:6" ht="25.5" x14ac:dyDescent="0.25">
      <c r="A14" s="15" t="s">
        <v>71</v>
      </c>
      <c r="B14" s="15" t="s">
        <v>353</v>
      </c>
      <c r="C14" s="15" t="s">
        <v>60</v>
      </c>
      <c r="D14" s="15" t="s">
        <v>354</v>
      </c>
      <c r="E14" s="17" t="s">
        <v>24</v>
      </c>
      <c r="F14" s="15" t="s">
        <v>355</v>
      </c>
    </row>
    <row r="15" spans="1:6" ht="25.5" x14ac:dyDescent="0.25">
      <c r="A15" s="15" t="s">
        <v>356</v>
      </c>
      <c r="B15" s="15" t="s">
        <v>357</v>
      </c>
      <c r="C15" s="15" t="s">
        <v>337</v>
      </c>
      <c r="D15" s="15" t="s">
        <v>358</v>
      </c>
      <c r="E15" s="17" t="s">
        <v>24</v>
      </c>
      <c r="F15" s="15" t="s">
        <v>359</v>
      </c>
    </row>
    <row r="16" spans="1:6" ht="63.75" x14ac:dyDescent="0.25">
      <c r="A16" s="15" t="s">
        <v>360</v>
      </c>
      <c r="B16" s="15" t="s">
        <v>361</v>
      </c>
      <c r="C16" s="15" t="s">
        <v>362</v>
      </c>
      <c r="D16" s="15" t="s">
        <v>363</v>
      </c>
      <c r="E16" s="19" t="s">
        <v>23</v>
      </c>
      <c r="F16" s="15" t="s">
        <v>364</v>
      </c>
    </row>
    <row r="17" spans="1:6" ht="38.25" x14ac:dyDescent="0.25">
      <c r="A17" s="15" t="s">
        <v>365</v>
      </c>
      <c r="B17" s="15" t="s">
        <v>366</v>
      </c>
      <c r="C17" s="15" t="s">
        <v>337</v>
      </c>
      <c r="D17" s="15" t="s">
        <v>367</v>
      </c>
      <c r="E17" s="19" t="s">
        <v>23</v>
      </c>
      <c r="F17" s="15" t="s">
        <v>368</v>
      </c>
    </row>
    <row r="18" spans="1:6" ht="51" x14ac:dyDescent="0.25">
      <c r="A18" s="15" t="s">
        <v>369</v>
      </c>
      <c r="B18" s="15" t="s">
        <v>370</v>
      </c>
      <c r="C18" s="15" t="s">
        <v>77</v>
      </c>
      <c r="D18" s="15" t="s">
        <v>371</v>
      </c>
      <c r="E18" s="16" t="s">
        <v>26</v>
      </c>
      <c r="F18" s="15" t="s">
        <v>372</v>
      </c>
    </row>
    <row r="19" spans="1:6" ht="51" x14ac:dyDescent="0.25">
      <c r="A19" s="15" t="s">
        <v>373</v>
      </c>
      <c r="B19" s="15" t="s">
        <v>374</v>
      </c>
      <c r="C19" s="15" t="s">
        <v>45</v>
      </c>
      <c r="D19" s="15" t="s">
        <v>375</v>
      </c>
      <c r="E19" s="16" t="s">
        <v>26</v>
      </c>
      <c r="F19" s="15" t="s">
        <v>376</v>
      </c>
    </row>
    <row r="20" spans="1:6" ht="38.25" x14ac:dyDescent="0.25">
      <c r="A20" s="15" t="s">
        <v>80</v>
      </c>
      <c r="B20" s="15" t="s">
        <v>377</v>
      </c>
      <c r="C20" s="15" t="s">
        <v>50</v>
      </c>
      <c r="D20" s="15" t="s">
        <v>378</v>
      </c>
      <c r="E20" s="18" t="s">
        <v>25</v>
      </c>
      <c r="F20" s="15" t="s">
        <v>379</v>
      </c>
    </row>
    <row r="21" spans="1:6" ht="63.75" x14ac:dyDescent="0.25">
      <c r="A21" s="15" t="s">
        <v>84</v>
      </c>
      <c r="B21" s="15" t="s">
        <v>380</v>
      </c>
      <c r="C21" s="15" t="s">
        <v>86</v>
      </c>
      <c r="D21" s="15" t="s">
        <v>381</v>
      </c>
      <c r="E21" s="20" t="s">
        <v>21</v>
      </c>
      <c r="F21" s="15" t="s">
        <v>382</v>
      </c>
    </row>
    <row r="22" spans="1:6" ht="38.25" x14ac:dyDescent="0.25">
      <c r="A22" s="15" t="s">
        <v>89</v>
      </c>
      <c r="B22" s="15" t="s">
        <v>383</v>
      </c>
      <c r="C22" s="15" t="s">
        <v>86</v>
      </c>
      <c r="D22" s="15" t="s">
        <v>384</v>
      </c>
      <c r="E22" s="20" t="s">
        <v>21</v>
      </c>
      <c r="F22" s="15" t="s">
        <v>385</v>
      </c>
    </row>
    <row r="23" spans="1:6" ht="25.5" x14ac:dyDescent="0.25">
      <c r="A23" s="15" t="s">
        <v>93</v>
      </c>
      <c r="B23" s="15" t="s">
        <v>386</v>
      </c>
      <c r="C23" s="15" t="s">
        <v>86</v>
      </c>
      <c r="D23" s="15" t="s">
        <v>387</v>
      </c>
      <c r="E23" s="18" t="s">
        <v>25</v>
      </c>
      <c r="F23" s="15" t="s">
        <v>388</v>
      </c>
    </row>
    <row r="24" spans="1:6" ht="51" x14ac:dyDescent="0.25">
      <c r="A24" s="15" t="s">
        <v>389</v>
      </c>
      <c r="B24" s="15" t="s">
        <v>390</v>
      </c>
      <c r="C24" s="15" t="s">
        <v>111</v>
      </c>
      <c r="D24" s="15" t="s">
        <v>391</v>
      </c>
      <c r="E24" s="16" t="s">
        <v>26</v>
      </c>
      <c r="F24" s="15" t="s">
        <v>392</v>
      </c>
    </row>
    <row r="25" spans="1:6" ht="51" x14ac:dyDescent="0.25">
      <c r="A25" s="15" t="s">
        <v>393</v>
      </c>
      <c r="B25" s="15" t="s">
        <v>394</v>
      </c>
      <c r="C25" s="15" t="s">
        <v>111</v>
      </c>
      <c r="D25" s="15" t="s">
        <v>395</v>
      </c>
      <c r="E25" s="16" t="s">
        <v>26</v>
      </c>
      <c r="F25" s="15" t="s">
        <v>396</v>
      </c>
    </row>
    <row r="26" spans="1:6" ht="51" x14ac:dyDescent="0.25">
      <c r="A26" s="15" t="s">
        <v>397</v>
      </c>
      <c r="B26" s="15" t="s">
        <v>398</v>
      </c>
      <c r="C26" s="15" t="s">
        <v>77</v>
      </c>
      <c r="D26" s="15" t="s">
        <v>399</v>
      </c>
      <c r="E26" s="16" t="s">
        <v>26</v>
      </c>
      <c r="F26" s="15" t="s">
        <v>400</v>
      </c>
    </row>
    <row r="27" spans="1:6" ht="51" x14ac:dyDescent="0.25">
      <c r="A27" s="15" t="s">
        <v>401</v>
      </c>
      <c r="B27" s="15" t="s">
        <v>402</v>
      </c>
      <c r="C27" s="15" t="s">
        <v>45</v>
      </c>
      <c r="D27" s="15" t="s">
        <v>403</v>
      </c>
      <c r="E27" s="16" t="s">
        <v>26</v>
      </c>
      <c r="F27" s="15" t="s">
        <v>404</v>
      </c>
    </row>
    <row r="28" spans="1:6" ht="51" x14ac:dyDescent="0.25">
      <c r="A28" s="15" t="s">
        <v>163</v>
      </c>
      <c r="B28" s="15" t="s">
        <v>405</v>
      </c>
      <c r="C28" s="15" t="s">
        <v>111</v>
      </c>
      <c r="D28" s="15" t="s">
        <v>406</v>
      </c>
      <c r="E28" s="16" t="s">
        <v>26</v>
      </c>
      <c r="F28" s="15" t="s">
        <v>407</v>
      </c>
    </row>
    <row r="29" spans="1:6" ht="51" x14ac:dyDescent="0.25">
      <c r="A29" s="15" t="s">
        <v>171</v>
      </c>
      <c r="B29" s="15" t="s">
        <v>408</v>
      </c>
      <c r="C29" s="15" t="s">
        <v>111</v>
      </c>
      <c r="D29" s="15" t="s">
        <v>409</v>
      </c>
      <c r="E29" s="16" t="s">
        <v>26</v>
      </c>
      <c r="F29" s="15" t="s">
        <v>410</v>
      </c>
    </row>
    <row r="30" spans="1:6" ht="51" x14ac:dyDescent="0.25">
      <c r="A30" s="15" t="s">
        <v>411</v>
      </c>
      <c r="B30" s="15" t="s">
        <v>412</v>
      </c>
      <c r="C30" s="15" t="s">
        <v>77</v>
      </c>
      <c r="D30" s="15" t="s">
        <v>413</v>
      </c>
      <c r="E30" s="16" t="s">
        <v>26</v>
      </c>
      <c r="F30" s="15" t="s">
        <v>414</v>
      </c>
    </row>
    <row r="31" spans="1:6" ht="38.25" x14ac:dyDescent="0.25">
      <c r="A31" s="15" t="s">
        <v>415</v>
      </c>
      <c r="B31" s="15" t="s">
        <v>416</v>
      </c>
      <c r="C31" s="15" t="s">
        <v>77</v>
      </c>
      <c r="D31" s="15" t="s">
        <v>417</v>
      </c>
      <c r="E31" s="16" t="s">
        <v>26</v>
      </c>
      <c r="F31" s="15" t="s">
        <v>418</v>
      </c>
    </row>
    <row r="32" spans="1:6" ht="51" x14ac:dyDescent="0.25">
      <c r="A32" s="15" t="s">
        <v>419</v>
      </c>
      <c r="B32" s="15" t="s">
        <v>420</v>
      </c>
      <c r="C32" s="15" t="s">
        <v>111</v>
      </c>
      <c r="D32" s="15" t="s">
        <v>421</v>
      </c>
      <c r="E32" s="16" t="s">
        <v>26</v>
      </c>
      <c r="F32" s="15" t="s">
        <v>422</v>
      </c>
    </row>
    <row r="33" spans="1:6" ht="38.25" x14ac:dyDescent="0.25">
      <c r="A33" s="15" t="s">
        <v>187</v>
      </c>
      <c r="B33" s="15" t="s">
        <v>423</v>
      </c>
      <c r="C33" s="15" t="s">
        <v>77</v>
      </c>
      <c r="D33" s="15" t="s">
        <v>424</v>
      </c>
      <c r="E33" s="16" t="s">
        <v>26</v>
      </c>
      <c r="F33" s="15" t="s">
        <v>425</v>
      </c>
    </row>
    <row r="34" spans="1:6" ht="38.25" x14ac:dyDescent="0.25">
      <c r="A34" s="15" t="s">
        <v>426</v>
      </c>
      <c r="B34" s="15" t="s">
        <v>427</v>
      </c>
      <c r="C34" s="15" t="s">
        <v>111</v>
      </c>
      <c r="D34" s="15" t="s">
        <v>428</v>
      </c>
      <c r="E34" s="16" t="s">
        <v>26</v>
      </c>
      <c r="F34" s="15" t="s">
        <v>429</v>
      </c>
    </row>
    <row r="35" spans="1:6" ht="38.25" x14ac:dyDescent="0.25">
      <c r="A35" s="15" t="s">
        <v>430</v>
      </c>
      <c r="B35" s="15" t="s">
        <v>431</v>
      </c>
      <c r="C35" s="15" t="s">
        <v>111</v>
      </c>
      <c r="D35" s="15" t="s">
        <v>428</v>
      </c>
      <c r="E35" s="16" t="s">
        <v>26</v>
      </c>
      <c r="F35" s="15" t="s">
        <v>432</v>
      </c>
    </row>
    <row r="36" spans="1:6" ht="38.25" x14ac:dyDescent="0.25">
      <c r="A36" s="15" t="s">
        <v>433</v>
      </c>
      <c r="B36" s="15" t="s">
        <v>434</v>
      </c>
      <c r="C36" s="15" t="s">
        <v>111</v>
      </c>
      <c r="D36" s="15" t="s">
        <v>435</v>
      </c>
      <c r="E36" s="16" t="s">
        <v>26</v>
      </c>
      <c r="F36" s="15" t="s">
        <v>436</v>
      </c>
    </row>
    <row r="37" spans="1:6" ht="63.75" x14ac:dyDescent="0.25">
      <c r="A37" s="15" t="s">
        <v>437</v>
      </c>
      <c r="B37" s="15" t="s">
        <v>438</v>
      </c>
      <c r="C37" s="15" t="s">
        <v>111</v>
      </c>
      <c r="D37" s="15" t="s">
        <v>439</v>
      </c>
      <c r="E37" s="19" t="s">
        <v>23</v>
      </c>
      <c r="F37" s="15" t="s">
        <v>440</v>
      </c>
    </row>
    <row r="38" spans="1:6" ht="51" x14ac:dyDescent="0.25">
      <c r="A38" s="15" t="s">
        <v>441</v>
      </c>
      <c r="B38" s="15" t="s">
        <v>442</v>
      </c>
      <c r="C38" s="15" t="s">
        <v>337</v>
      </c>
      <c r="D38" s="15" t="s">
        <v>443</v>
      </c>
      <c r="E38" s="16" t="s">
        <v>26</v>
      </c>
      <c r="F38" s="15" t="s">
        <v>444</v>
      </c>
    </row>
    <row r="39" spans="1:6" ht="51" x14ac:dyDescent="0.25">
      <c r="A39" s="15" t="s">
        <v>445</v>
      </c>
      <c r="B39" s="15" t="s">
        <v>446</v>
      </c>
      <c r="C39" s="15" t="s">
        <v>111</v>
      </c>
      <c r="D39" s="15" t="s">
        <v>447</v>
      </c>
      <c r="E39" s="16" t="s">
        <v>26</v>
      </c>
      <c r="F39" s="15" t="s">
        <v>448</v>
      </c>
    </row>
    <row r="40" spans="1:6" ht="51" x14ac:dyDescent="0.25">
      <c r="A40" s="15" t="s">
        <v>449</v>
      </c>
      <c r="B40" s="15" t="s">
        <v>450</v>
      </c>
      <c r="C40" s="15" t="s">
        <v>77</v>
      </c>
      <c r="D40" s="15" t="s">
        <v>451</v>
      </c>
      <c r="E40" s="16" t="s">
        <v>26</v>
      </c>
      <c r="F40" s="15" t="s">
        <v>452</v>
      </c>
    </row>
    <row r="41" spans="1:6" ht="51" x14ac:dyDescent="0.25">
      <c r="A41" s="15" t="s">
        <v>453</v>
      </c>
      <c r="B41" s="15" t="s">
        <v>454</v>
      </c>
      <c r="C41" s="15" t="s">
        <v>45</v>
      </c>
      <c r="D41" s="15" t="s">
        <v>455</v>
      </c>
      <c r="E41" s="16" t="s">
        <v>26</v>
      </c>
      <c r="F41" s="15" t="s">
        <v>456</v>
      </c>
    </row>
    <row r="42" spans="1:6" ht="38.25" x14ac:dyDescent="0.25">
      <c r="A42" s="15" t="s">
        <v>152</v>
      </c>
      <c r="B42" s="15" t="s">
        <v>153</v>
      </c>
      <c r="C42" s="15" t="s">
        <v>149</v>
      </c>
      <c r="D42" s="15" t="s">
        <v>457</v>
      </c>
      <c r="E42" s="20" t="s">
        <v>22</v>
      </c>
      <c r="F42" s="15" t="s">
        <v>458</v>
      </c>
    </row>
    <row r="43" spans="1:6" ht="38.25" x14ac:dyDescent="0.25">
      <c r="A43" s="15" t="s">
        <v>459</v>
      </c>
      <c r="B43" s="15" t="s">
        <v>460</v>
      </c>
      <c r="C43" s="15" t="s">
        <v>149</v>
      </c>
      <c r="D43" s="15" t="s">
        <v>461</v>
      </c>
      <c r="E43" s="20" t="s">
        <v>22</v>
      </c>
      <c r="F43" s="15" t="s">
        <v>462</v>
      </c>
    </row>
    <row r="44" spans="1:6" ht="38.25" x14ac:dyDescent="0.25">
      <c r="A44" s="15" t="s">
        <v>463</v>
      </c>
      <c r="B44" s="15" t="s">
        <v>464</v>
      </c>
      <c r="C44" s="15" t="s">
        <v>149</v>
      </c>
      <c r="D44" s="15" t="s">
        <v>465</v>
      </c>
      <c r="E44" s="20" t="s">
        <v>22</v>
      </c>
      <c r="F44" s="15" t="s">
        <v>466</v>
      </c>
    </row>
    <row r="45" spans="1:6" ht="38.25" x14ac:dyDescent="0.25">
      <c r="A45" s="15" t="s">
        <v>167</v>
      </c>
      <c r="B45" s="15" t="s">
        <v>168</v>
      </c>
      <c r="C45" s="15" t="s">
        <v>149</v>
      </c>
      <c r="D45" s="15" t="s">
        <v>467</v>
      </c>
      <c r="E45" s="20" t="s">
        <v>22</v>
      </c>
      <c r="F45" s="15" t="s">
        <v>468</v>
      </c>
    </row>
    <row r="46" spans="1:6" ht="38.25" x14ac:dyDescent="0.25">
      <c r="A46" s="15" t="s">
        <v>191</v>
      </c>
      <c r="B46" s="15" t="s">
        <v>192</v>
      </c>
      <c r="C46" s="15" t="s">
        <v>149</v>
      </c>
      <c r="D46" s="15" t="s">
        <v>469</v>
      </c>
      <c r="E46" s="20" t="s">
        <v>22</v>
      </c>
      <c r="F46" s="15" t="s">
        <v>470</v>
      </c>
    </row>
    <row r="47" spans="1:6" ht="38.25" x14ac:dyDescent="0.25">
      <c r="A47" s="15" t="s">
        <v>109</v>
      </c>
      <c r="B47" s="15" t="s">
        <v>471</v>
      </c>
      <c r="C47" s="15" t="s">
        <v>149</v>
      </c>
      <c r="D47" s="15" t="s">
        <v>472</v>
      </c>
      <c r="E47" s="20" t="s">
        <v>22</v>
      </c>
      <c r="F47" s="15" t="s">
        <v>473</v>
      </c>
    </row>
    <row r="48" spans="1:6" ht="38.25" x14ac:dyDescent="0.25">
      <c r="A48" s="15" t="s">
        <v>474</v>
      </c>
      <c r="B48" s="15" t="s">
        <v>475</v>
      </c>
      <c r="C48" s="15" t="s">
        <v>149</v>
      </c>
      <c r="D48" s="15" t="s">
        <v>476</v>
      </c>
      <c r="E48" s="20" t="s">
        <v>22</v>
      </c>
      <c r="F48" s="15" t="s">
        <v>477</v>
      </c>
    </row>
    <row r="49" spans="1:6" ht="38.25" x14ac:dyDescent="0.25">
      <c r="A49" s="15" t="s">
        <v>231</v>
      </c>
      <c r="B49" s="15" t="s">
        <v>232</v>
      </c>
      <c r="C49" s="15" t="s">
        <v>149</v>
      </c>
      <c r="D49" s="15" t="s">
        <v>478</v>
      </c>
      <c r="E49" s="20" t="s">
        <v>22</v>
      </c>
      <c r="F49" s="15" t="s">
        <v>479</v>
      </c>
    </row>
    <row r="50" spans="1:6" ht="38.25" x14ac:dyDescent="0.25">
      <c r="A50" s="15" t="s">
        <v>243</v>
      </c>
      <c r="B50" s="15" t="s">
        <v>244</v>
      </c>
      <c r="C50" s="15" t="s">
        <v>149</v>
      </c>
      <c r="D50" s="15" t="s">
        <v>480</v>
      </c>
      <c r="E50" s="20" t="s">
        <v>22</v>
      </c>
      <c r="F50" s="15" t="s">
        <v>481</v>
      </c>
    </row>
    <row r="51" spans="1:6" ht="38.25" x14ac:dyDescent="0.25">
      <c r="A51" s="15" t="s">
        <v>482</v>
      </c>
      <c r="B51" s="15" t="s">
        <v>483</v>
      </c>
      <c r="C51" s="15" t="s">
        <v>149</v>
      </c>
      <c r="D51" s="15" t="s">
        <v>484</v>
      </c>
      <c r="E51" s="20" t="s">
        <v>22</v>
      </c>
      <c r="F51" s="15" t="s">
        <v>485</v>
      </c>
    </row>
    <row r="52" spans="1:6" ht="38.25" x14ac:dyDescent="0.25">
      <c r="A52" s="15" t="s">
        <v>247</v>
      </c>
      <c r="B52" s="15" t="s">
        <v>248</v>
      </c>
      <c r="C52" s="15" t="s">
        <v>149</v>
      </c>
      <c r="D52" s="15" t="s">
        <v>486</v>
      </c>
      <c r="E52" s="20" t="s">
        <v>22</v>
      </c>
      <c r="F52" s="15" t="s">
        <v>487</v>
      </c>
    </row>
    <row r="53" spans="1:6" ht="38.25" x14ac:dyDescent="0.25">
      <c r="A53" s="15" t="s">
        <v>251</v>
      </c>
      <c r="B53" s="15" t="s">
        <v>252</v>
      </c>
      <c r="C53" s="15" t="s">
        <v>149</v>
      </c>
      <c r="D53" s="15" t="s">
        <v>488</v>
      </c>
      <c r="E53" s="20" t="s">
        <v>22</v>
      </c>
      <c r="F53" s="15" t="s">
        <v>489</v>
      </c>
    </row>
    <row r="54" spans="1:6" ht="38.25" x14ac:dyDescent="0.25">
      <c r="A54" s="15" t="s">
        <v>490</v>
      </c>
      <c r="B54" s="15" t="s">
        <v>491</v>
      </c>
      <c r="C54" s="15" t="s">
        <v>149</v>
      </c>
      <c r="D54" s="15" t="s">
        <v>492</v>
      </c>
      <c r="E54" s="20" t="s">
        <v>22</v>
      </c>
      <c r="F54" s="15" t="s">
        <v>493</v>
      </c>
    </row>
    <row r="55" spans="1:6" ht="38.25" x14ac:dyDescent="0.25">
      <c r="A55" s="15" t="s">
        <v>494</v>
      </c>
      <c r="B55" s="15" t="s">
        <v>495</v>
      </c>
      <c r="C55" s="15" t="s">
        <v>149</v>
      </c>
      <c r="D55" s="15" t="s">
        <v>496</v>
      </c>
      <c r="E55" s="20" t="s">
        <v>22</v>
      </c>
      <c r="F55" s="15" t="s">
        <v>497</v>
      </c>
    </row>
    <row r="56" spans="1:6" ht="38.25" x14ac:dyDescent="0.25">
      <c r="A56" s="15" t="s">
        <v>498</v>
      </c>
      <c r="B56" s="15" t="s">
        <v>499</v>
      </c>
      <c r="C56" s="15" t="s">
        <v>149</v>
      </c>
      <c r="D56" s="15" t="s">
        <v>500</v>
      </c>
      <c r="E56" s="20" t="s">
        <v>22</v>
      </c>
      <c r="F56" s="15" t="s">
        <v>501</v>
      </c>
    </row>
    <row r="57" spans="1:6" ht="38.25" x14ac:dyDescent="0.25">
      <c r="A57" s="15" t="s">
        <v>502</v>
      </c>
      <c r="B57" s="15" t="s">
        <v>503</v>
      </c>
      <c r="C57" s="15" t="s">
        <v>149</v>
      </c>
      <c r="D57" s="15" t="s">
        <v>504</v>
      </c>
      <c r="E57" s="20" t="s">
        <v>22</v>
      </c>
      <c r="F57" s="15" t="s">
        <v>505</v>
      </c>
    </row>
    <row r="58" spans="1:6" ht="38.25" x14ac:dyDescent="0.25">
      <c r="A58" s="15" t="s">
        <v>506</v>
      </c>
      <c r="B58" s="15" t="s">
        <v>507</v>
      </c>
      <c r="C58" s="15" t="s">
        <v>149</v>
      </c>
      <c r="D58" s="15" t="s">
        <v>508</v>
      </c>
      <c r="E58" s="20" t="s">
        <v>22</v>
      </c>
      <c r="F58" s="15" t="s">
        <v>509</v>
      </c>
    </row>
    <row r="59" spans="1:6" ht="38.25" x14ac:dyDescent="0.25">
      <c r="A59" s="15" t="s">
        <v>510</v>
      </c>
      <c r="B59" s="15" t="s">
        <v>511</v>
      </c>
      <c r="C59" s="15" t="s">
        <v>149</v>
      </c>
      <c r="D59" s="15" t="s">
        <v>512</v>
      </c>
      <c r="E59" s="20" t="s">
        <v>22</v>
      </c>
      <c r="F59" s="15" t="s">
        <v>513</v>
      </c>
    </row>
    <row r="60" spans="1:6" ht="38.25" x14ac:dyDescent="0.25">
      <c r="A60" s="15" t="s">
        <v>125</v>
      </c>
      <c r="B60" s="15" t="s">
        <v>514</v>
      </c>
      <c r="C60" s="15" t="s">
        <v>149</v>
      </c>
      <c r="D60" s="15" t="s">
        <v>515</v>
      </c>
      <c r="E60" s="20" t="s">
        <v>22</v>
      </c>
      <c r="F60" s="15" t="s">
        <v>516</v>
      </c>
    </row>
    <row r="61" spans="1:6" ht="38.25" x14ac:dyDescent="0.25">
      <c r="A61" s="15" t="s">
        <v>517</v>
      </c>
      <c r="B61" s="15" t="s">
        <v>518</v>
      </c>
      <c r="C61" s="15" t="s">
        <v>149</v>
      </c>
      <c r="D61" s="15" t="s">
        <v>519</v>
      </c>
      <c r="E61" s="20" t="s">
        <v>22</v>
      </c>
      <c r="F61" s="15" t="s">
        <v>520</v>
      </c>
    </row>
    <row r="62" spans="1:6" ht="38.25" x14ac:dyDescent="0.25">
      <c r="A62" s="15" t="s">
        <v>521</v>
      </c>
      <c r="B62" s="15" t="s">
        <v>522</v>
      </c>
      <c r="C62" s="15" t="s">
        <v>149</v>
      </c>
      <c r="D62" s="15" t="s">
        <v>523</v>
      </c>
      <c r="E62" s="20" t="s">
        <v>22</v>
      </c>
      <c r="F62" s="15" t="s">
        <v>524</v>
      </c>
    </row>
    <row r="63" spans="1:6" ht="38.25" x14ac:dyDescent="0.25">
      <c r="A63" s="15" t="s">
        <v>525</v>
      </c>
      <c r="B63" s="15" t="s">
        <v>526</v>
      </c>
      <c r="C63" s="15" t="s">
        <v>149</v>
      </c>
      <c r="D63" s="15" t="s">
        <v>527</v>
      </c>
      <c r="E63" s="20" t="s">
        <v>22</v>
      </c>
      <c r="F63" s="15" t="s">
        <v>528</v>
      </c>
    </row>
    <row r="64" spans="1:6" ht="38.25" x14ac:dyDescent="0.25">
      <c r="A64" s="15" t="s">
        <v>529</v>
      </c>
      <c r="B64" s="15" t="s">
        <v>530</v>
      </c>
      <c r="C64" s="15" t="s">
        <v>149</v>
      </c>
      <c r="D64" s="15" t="s">
        <v>531</v>
      </c>
      <c r="E64" s="20" t="s">
        <v>22</v>
      </c>
      <c r="F64" s="15" t="s">
        <v>532</v>
      </c>
    </row>
    <row r="65" spans="1:6" ht="38.25" x14ac:dyDescent="0.25">
      <c r="A65" s="15" t="s">
        <v>533</v>
      </c>
      <c r="B65" s="15" t="s">
        <v>534</v>
      </c>
      <c r="C65" s="15" t="s">
        <v>149</v>
      </c>
      <c r="D65" s="15" t="s">
        <v>535</v>
      </c>
      <c r="E65" s="20" t="s">
        <v>22</v>
      </c>
      <c r="F65" s="15" t="s">
        <v>536</v>
      </c>
    </row>
    <row r="66" spans="1:6" ht="38.25" x14ac:dyDescent="0.25">
      <c r="A66" s="15" t="s">
        <v>537</v>
      </c>
      <c r="B66" s="15" t="s">
        <v>538</v>
      </c>
      <c r="C66" s="15" t="s">
        <v>149</v>
      </c>
      <c r="D66" s="15" t="s">
        <v>539</v>
      </c>
      <c r="E66" s="20" t="s">
        <v>22</v>
      </c>
      <c r="F66" s="15" t="s">
        <v>540</v>
      </c>
    </row>
    <row r="67" spans="1:6" ht="38.25" x14ac:dyDescent="0.25">
      <c r="A67" s="15" t="s">
        <v>541</v>
      </c>
      <c r="B67" s="15" t="s">
        <v>542</v>
      </c>
      <c r="C67" s="15" t="s">
        <v>149</v>
      </c>
      <c r="D67" s="15" t="s">
        <v>543</v>
      </c>
      <c r="E67" s="20" t="s">
        <v>22</v>
      </c>
      <c r="F67" s="15" t="s">
        <v>544</v>
      </c>
    </row>
    <row r="68" spans="1:6" ht="38.25" x14ac:dyDescent="0.25">
      <c r="A68" s="15" t="s">
        <v>545</v>
      </c>
      <c r="B68" s="15" t="s">
        <v>546</v>
      </c>
      <c r="C68" s="15" t="s">
        <v>149</v>
      </c>
      <c r="D68" s="15" t="s">
        <v>547</v>
      </c>
      <c r="E68" s="20" t="s">
        <v>22</v>
      </c>
      <c r="F68" s="15" t="s">
        <v>548</v>
      </c>
    </row>
    <row r="69" spans="1:6" ht="38.25" x14ac:dyDescent="0.25">
      <c r="A69" s="15" t="s">
        <v>549</v>
      </c>
      <c r="B69" s="15" t="s">
        <v>550</v>
      </c>
      <c r="C69" s="15" t="s">
        <v>149</v>
      </c>
      <c r="D69" s="15" t="s">
        <v>551</v>
      </c>
      <c r="E69" s="20" t="s">
        <v>22</v>
      </c>
      <c r="F69" s="15" t="s">
        <v>552</v>
      </c>
    </row>
    <row r="70" spans="1:6" ht="38.25" x14ac:dyDescent="0.25">
      <c r="A70" s="15" t="s">
        <v>266</v>
      </c>
      <c r="B70" s="15" t="s">
        <v>267</v>
      </c>
      <c r="C70" s="15" t="s">
        <v>149</v>
      </c>
      <c r="D70" s="15" t="s">
        <v>553</v>
      </c>
      <c r="E70" s="20" t="s">
        <v>22</v>
      </c>
      <c r="F70" s="15" t="s">
        <v>554</v>
      </c>
    </row>
    <row r="71" spans="1:6" ht="38.25" x14ac:dyDescent="0.25">
      <c r="A71" s="15" t="s">
        <v>270</v>
      </c>
      <c r="B71" s="15" t="s">
        <v>271</v>
      </c>
      <c r="C71" s="15" t="s">
        <v>149</v>
      </c>
      <c r="D71" s="15" t="s">
        <v>555</v>
      </c>
      <c r="E71" s="20" t="s">
        <v>22</v>
      </c>
      <c r="F71" s="15" t="s">
        <v>556</v>
      </c>
    </row>
    <row r="72" spans="1:6" ht="38.25" x14ac:dyDescent="0.25">
      <c r="A72" s="15" t="s">
        <v>274</v>
      </c>
      <c r="B72" s="15" t="s">
        <v>275</v>
      </c>
      <c r="C72" s="15" t="s">
        <v>149</v>
      </c>
      <c r="D72" s="15" t="s">
        <v>557</v>
      </c>
      <c r="E72" s="20" t="s">
        <v>22</v>
      </c>
      <c r="F72" s="15" t="s">
        <v>558</v>
      </c>
    </row>
    <row r="73" spans="1:6" ht="38.25" x14ac:dyDescent="0.25">
      <c r="A73" s="15" t="s">
        <v>559</v>
      </c>
      <c r="B73" s="15" t="s">
        <v>560</v>
      </c>
      <c r="C73" s="15" t="s">
        <v>149</v>
      </c>
      <c r="D73" s="15" t="s">
        <v>561</v>
      </c>
      <c r="E73" s="20" t="s">
        <v>22</v>
      </c>
      <c r="F73" s="15" t="s">
        <v>562</v>
      </c>
    </row>
    <row r="74" spans="1:6" ht="38.25" x14ac:dyDescent="0.25">
      <c r="A74" s="15" t="s">
        <v>563</v>
      </c>
      <c r="B74" s="15" t="s">
        <v>564</v>
      </c>
      <c r="C74" s="15" t="s">
        <v>149</v>
      </c>
      <c r="D74" s="15" t="s">
        <v>565</v>
      </c>
      <c r="E74" s="20" t="s">
        <v>22</v>
      </c>
      <c r="F74" s="15" t="s">
        <v>566</v>
      </c>
    </row>
    <row r="75" spans="1:6" ht="38.25" x14ac:dyDescent="0.25">
      <c r="A75" s="15" t="s">
        <v>567</v>
      </c>
      <c r="B75" s="15" t="s">
        <v>568</v>
      </c>
      <c r="C75" s="15" t="s">
        <v>149</v>
      </c>
      <c r="D75" s="15" t="s">
        <v>569</v>
      </c>
      <c r="E75" s="20" t="s">
        <v>22</v>
      </c>
      <c r="F75" s="15" t="s">
        <v>570</v>
      </c>
    </row>
    <row r="76" spans="1:6" ht="38.25" x14ac:dyDescent="0.25">
      <c r="A76" s="15" t="s">
        <v>571</v>
      </c>
      <c r="B76" s="15" t="s">
        <v>572</v>
      </c>
      <c r="C76" s="15" t="s">
        <v>149</v>
      </c>
      <c r="D76" s="15" t="s">
        <v>573</v>
      </c>
      <c r="E76" s="20" t="s">
        <v>22</v>
      </c>
      <c r="F76" s="15" t="s">
        <v>574</v>
      </c>
    </row>
    <row r="77" spans="1:6" ht="38.25" x14ac:dyDescent="0.25">
      <c r="A77" s="15" t="s">
        <v>575</v>
      </c>
      <c r="B77" s="15" t="s">
        <v>576</v>
      </c>
      <c r="C77" s="15" t="s">
        <v>149</v>
      </c>
      <c r="D77" s="15" t="s">
        <v>577</v>
      </c>
      <c r="E77" s="20" t="s">
        <v>22</v>
      </c>
      <c r="F77" s="15" t="s">
        <v>578</v>
      </c>
    </row>
    <row r="78" spans="1:6" ht="38.25" x14ac:dyDescent="0.25">
      <c r="A78" s="15" t="s">
        <v>278</v>
      </c>
      <c r="B78" s="15" t="s">
        <v>279</v>
      </c>
      <c r="C78" s="15" t="s">
        <v>149</v>
      </c>
      <c r="D78" s="15" t="s">
        <v>579</v>
      </c>
      <c r="E78" s="20" t="s">
        <v>22</v>
      </c>
      <c r="F78" s="15" t="s">
        <v>580</v>
      </c>
    </row>
    <row r="79" spans="1:6" ht="38.25" x14ac:dyDescent="0.25">
      <c r="A79" s="15" t="s">
        <v>282</v>
      </c>
      <c r="B79" s="15" t="s">
        <v>283</v>
      </c>
      <c r="C79" s="15" t="s">
        <v>149</v>
      </c>
      <c r="D79" s="15" t="s">
        <v>581</v>
      </c>
      <c r="E79" s="20" t="s">
        <v>22</v>
      </c>
      <c r="F79" s="15" t="s">
        <v>582</v>
      </c>
    </row>
    <row r="80" spans="1:6" ht="38.25" x14ac:dyDescent="0.25">
      <c r="A80" s="15" t="s">
        <v>583</v>
      </c>
      <c r="B80" s="15" t="s">
        <v>584</v>
      </c>
      <c r="C80" s="15" t="s">
        <v>149</v>
      </c>
      <c r="D80" s="15" t="s">
        <v>585</v>
      </c>
      <c r="E80" s="20" t="s">
        <v>22</v>
      </c>
      <c r="F80" s="15" t="s">
        <v>586</v>
      </c>
    </row>
    <row r="81" spans="1:6" ht="38.25" x14ac:dyDescent="0.25">
      <c r="A81" s="15" t="s">
        <v>137</v>
      </c>
      <c r="B81" s="15" t="s">
        <v>587</v>
      </c>
      <c r="C81" s="15" t="s">
        <v>149</v>
      </c>
      <c r="D81" s="15" t="s">
        <v>588</v>
      </c>
      <c r="E81" s="20" t="s">
        <v>22</v>
      </c>
      <c r="F81" s="15" t="s">
        <v>589</v>
      </c>
    </row>
    <row r="82" spans="1:6" ht="38.25" x14ac:dyDescent="0.25">
      <c r="A82" s="15" t="s">
        <v>590</v>
      </c>
      <c r="B82" s="15" t="s">
        <v>591</v>
      </c>
      <c r="C82" s="15" t="s">
        <v>149</v>
      </c>
      <c r="D82" s="15" t="s">
        <v>592</v>
      </c>
      <c r="E82" s="20" t="s">
        <v>22</v>
      </c>
      <c r="F82" s="15" t="s">
        <v>593</v>
      </c>
    </row>
    <row r="83" spans="1:6" ht="38.25" x14ac:dyDescent="0.25">
      <c r="A83" s="15" t="s">
        <v>594</v>
      </c>
      <c r="B83" s="15" t="s">
        <v>595</v>
      </c>
      <c r="C83" s="15" t="s">
        <v>149</v>
      </c>
      <c r="D83" s="15" t="s">
        <v>596</v>
      </c>
      <c r="E83" s="20" t="s">
        <v>22</v>
      </c>
      <c r="F83" s="15" t="s">
        <v>597</v>
      </c>
    </row>
    <row r="84" spans="1:6" ht="38.25" x14ac:dyDescent="0.25">
      <c r="A84" s="15" t="s">
        <v>598</v>
      </c>
      <c r="B84" s="15" t="s">
        <v>599</v>
      </c>
      <c r="C84" s="15" t="s">
        <v>149</v>
      </c>
      <c r="D84" s="15" t="s">
        <v>600</v>
      </c>
      <c r="E84" s="20" t="s">
        <v>22</v>
      </c>
      <c r="F84" s="15" t="s">
        <v>601</v>
      </c>
    </row>
    <row r="85" spans="1:6" ht="38.25" x14ac:dyDescent="0.25">
      <c r="A85" s="15" t="s">
        <v>602</v>
      </c>
      <c r="B85" s="15" t="s">
        <v>603</v>
      </c>
      <c r="C85" s="15" t="s">
        <v>149</v>
      </c>
      <c r="D85" s="15" t="s">
        <v>604</v>
      </c>
      <c r="E85" s="20" t="s">
        <v>22</v>
      </c>
      <c r="F85" s="15" t="s">
        <v>605</v>
      </c>
    </row>
    <row r="86" spans="1:6" ht="38.25" x14ac:dyDescent="0.25">
      <c r="A86" s="15" t="s">
        <v>606</v>
      </c>
      <c r="B86" s="15" t="s">
        <v>607</v>
      </c>
      <c r="C86" s="15" t="s">
        <v>149</v>
      </c>
      <c r="D86" s="15" t="s">
        <v>608</v>
      </c>
      <c r="E86" s="20" t="s">
        <v>22</v>
      </c>
      <c r="F86" s="15" t="s">
        <v>609</v>
      </c>
    </row>
    <row r="87" spans="1:6" ht="38.25" x14ac:dyDescent="0.25">
      <c r="A87" s="15" t="s">
        <v>610</v>
      </c>
      <c r="B87" s="15" t="s">
        <v>611</v>
      </c>
      <c r="C87" s="15" t="s">
        <v>149</v>
      </c>
      <c r="D87" s="15" t="s">
        <v>612</v>
      </c>
      <c r="E87" s="20" t="s">
        <v>22</v>
      </c>
      <c r="F87" s="15" t="s">
        <v>613</v>
      </c>
    </row>
    <row r="88" spans="1:6" ht="38.25" x14ac:dyDescent="0.25">
      <c r="A88" s="15" t="s">
        <v>614</v>
      </c>
      <c r="B88" s="15" t="s">
        <v>615</v>
      </c>
      <c r="C88" s="15" t="s">
        <v>149</v>
      </c>
      <c r="D88" s="15" t="s">
        <v>616</v>
      </c>
      <c r="E88" s="20" t="s">
        <v>22</v>
      </c>
      <c r="F88" s="15" t="s">
        <v>617</v>
      </c>
    </row>
    <row r="89" spans="1:6" ht="38.25" x14ac:dyDescent="0.25">
      <c r="A89" s="15" t="s">
        <v>618</v>
      </c>
      <c r="B89" s="15" t="s">
        <v>619</v>
      </c>
      <c r="C89" s="15" t="s">
        <v>149</v>
      </c>
      <c r="D89" s="15" t="s">
        <v>620</v>
      </c>
      <c r="E89" s="20" t="s">
        <v>22</v>
      </c>
      <c r="F89" s="15" t="s">
        <v>621</v>
      </c>
    </row>
    <row r="90" spans="1:6" ht="38.25" x14ac:dyDescent="0.25">
      <c r="A90" s="15" t="s">
        <v>622</v>
      </c>
      <c r="B90" s="15" t="s">
        <v>623</v>
      </c>
      <c r="C90" s="15" t="s">
        <v>149</v>
      </c>
      <c r="D90" s="15" t="s">
        <v>624</v>
      </c>
      <c r="E90" s="20" t="s">
        <v>22</v>
      </c>
      <c r="F90" s="15" t="s">
        <v>625</v>
      </c>
    </row>
    <row r="91" spans="1:6" ht="38.25" x14ac:dyDescent="0.25">
      <c r="A91" s="15" t="s">
        <v>626</v>
      </c>
      <c r="B91" s="15" t="s">
        <v>627</v>
      </c>
      <c r="C91" s="15" t="s">
        <v>149</v>
      </c>
      <c r="D91" s="15" t="s">
        <v>628</v>
      </c>
      <c r="E91" s="20" t="s">
        <v>22</v>
      </c>
      <c r="F91" s="15" t="s">
        <v>629</v>
      </c>
    </row>
  </sheetData>
  <autoFilter ref="A3:F91" xr:uid="{00000000-0009-0000-0000-000004000000}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Facility Head (F1)</vt:lpstr>
      <vt:lpstr>HCW (F2)</vt:lpstr>
      <vt:lpstr>Patient (F3)</vt:lpstr>
      <vt:lpstr>Household (F4)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 Patrick Reyes</cp:lastModifiedBy>
  <dcterms:created xsi:type="dcterms:W3CDTF">2026-08-14T07:41:45Z</dcterms:created>
  <dcterms:modified xsi:type="dcterms:W3CDTF">2026-08-14T07:41:48Z</dcterms:modified>
</cp:coreProperties>
</file>