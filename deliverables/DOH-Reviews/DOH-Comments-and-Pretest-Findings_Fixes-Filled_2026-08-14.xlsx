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naly\.claude\jobs\9f225161\tmp\"/>
    </mc:Choice>
  </mc:AlternateContent>
  <xr:revisionPtr revIDLastSave="0" documentId="13_ncr:1_{371D875C-5A4E-4084-AEF1-974E8125D9FD}" xr6:coauthVersionLast="47" xr6:coauthVersionMax="47" xr10:uidLastSave="{00000000-0000-0000-0000-000000000000}"/>
  <bookViews>
    <workbookView xWindow="-120" yWindow="-120" windowWidth="29040" windowHeight="15720" xr2:uid="{00000000-000D-0000-FFFF-FFFF00000000}"/>
  </bookViews>
  <sheets>
    <sheet name="Summary" sheetId="1" r:id="rId1"/>
    <sheet name="Facility Head (F1)" sheetId="2" r:id="rId2"/>
    <sheet name="HCW (F2)" sheetId="3" r:id="rId3"/>
    <sheet name="Patient (F3)" sheetId="4" r:id="rId4"/>
    <sheet name="Household (F4)" sheetId="5" r:id="rId5"/>
  </sheets>
  <definedNames>
    <definedName name="_xlnm._FilterDatabase" localSheetId="1" hidden="1">'Facility Head (F1)'!$A$3:$F$21</definedName>
    <definedName name="_xlnm._FilterDatabase" localSheetId="2" hidden="1">'HCW (F2)'!$A$3:$F$14</definedName>
    <definedName name="_xlnm._FilterDatabase" localSheetId="4" hidden="1">'Household (F4)'!$A$3:$F$36</definedName>
    <definedName name="_xlnm._FilterDatabase" localSheetId="3" hidden="1">'Patient (F3)'!$A$3:$F$36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 l="1"/>
  <c r="D24" i="1"/>
  <c r="C24" i="1"/>
  <c r="B24" i="1"/>
  <c r="F24" i="1" s="1"/>
  <c r="E23" i="1"/>
  <c r="D23" i="1"/>
  <c r="C23" i="1"/>
  <c r="B23" i="1"/>
  <c r="E22" i="1"/>
  <c r="D22" i="1"/>
  <c r="C22" i="1"/>
  <c r="B22" i="1"/>
  <c r="E21" i="1"/>
  <c r="D21" i="1"/>
  <c r="C21" i="1"/>
  <c r="B21" i="1"/>
  <c r="E20" i="1"/>
  <c r="E25" i="1" s="1"/>
  <c r="D20" i="1"/>
  <c r="C20" i="1"/>
  <c r="B20" i="1"/>
  <c r="F20" i="1" s="1"/>
  <c r="C25" i="1" l="1"/>
  <c r="D25" i="1"/>
  <c r="F23" i="1"/>
  <c r="F21" i="1"/>
  <c r="F22" i="1"/>
  <c r="B25" i="1"/>
  <c r="F25" i="1"/>
</calcChain>
</file>

<file path=xl/sharedStrings.xml><?xml version="1.0" encoding="utf-8"?>
<sst xmlns="http://schemas.openxmlformats.org/spreadsheetml/2006/main" count="584" uniqueCount="347">
  <si>
    <t>DOH Comments via Xylee + Pretest Findings — Fixes Filled (mirrors Aly's consolidated doc)</t>
  </si>
  <si>
    <t>Row-for-row companion to Aly's Google Doc (CAPI Survey Instrument - Bug Report Summary); compiled 2026-08-14</t>
  </si>
  <si>
    <t>What this file is</t>
  </si>
  <si>
    <t>Every row of Aly's consolidated document (Question / Comments / Category of bug verbatim, per instrument tab, split into her two tables: A = Ms. Xylee's PAPI-vs-CAPI comments, B = pretest findings), with the Fixes column filled in from the GitHub fix records and verified against the current build. Paste the Fixes text back into the Google Doc as needed.</t>
  </si>
  <si>
    <t>Where the fixes shipped</t>
  </si>
  <si>
    <t>• F1: v1.2.3–v1.2.4 (2026-08-05) pretest wave; v1.3.8 (2026-08-12) date format; v1.3.9 (2026-08-13) Q2 display.</t>
  </si>
  <si>
    <t>• F2 (PWA): live deploys with SHA-pinned render evidence (2026-08-04); employment definitions shipped earlier in UAT R6.</t>
  </si>
  <si>
    <t>• F3: v1.3.x (2026-08-04) pretest wave; v1.4.6 (2026-08-11); v1.4.8 (2026-08-12) date format; v2.0.0–v2.1.1 (2026-08-13) June-5 paper alignment.</t>
  </si>
  <si>
    <t>• F4: v1.5.1–v1.5.7 (2026-08-05) incl. the class-wide exclusive-option HARD block (tablet-verified); v1.5.14 (2026-08-12) date format.</t>
  </si>
  <si>
    <t>Status legend</t>
  </si>
  <si>
    <t>• Fixed in build — a change shipped (ticket + build version cited).   • Verified in build — the ask already exists; confirmed by audit.</t>
  </si>
  <si>
    <t>• Already in build — feature predates the review (April screenshots missed it).   • Parked — DOH decision — held per the 2026-06-12 ruling.</t>
  </si>
  <si>
    <t>• Open gap — not yet addressed; flagged for the next wave (1 item: F3 Q54 option definitions).</t>
  </si>
  <si>
    <t>Counts by status</t>
  </si>
  <si>
    <t>Status</t>
  </si>
  <si>
    <t>F1</t>
  </si>
  <si>
    <t>F2</t>
  </si>
  <si>
    <t>F3</t>
  </si>
  <si>
    <t>F4</t>
  </si>
  <si>
    <t>Total</t>
  </si>
  <si>
    <t>Fixed in build</t>
  </si>
  <si>
    <t>Verified in build</t>
  </si>
  <si>
    <t>Already in build</t>
  </si>
  <si>
    <t>Parked — DOH decision</t>
  </si>
  <si>
    <t>Open gap</t>
  </si>
  <si>
    <t>Total rows with a status</t>
  </si>
  <si>
    <t>Facility Head (F1) — DOH comments &amp; pretest findings, with fixes</t>
  </si>
  <si>
    <t>Rows mirror Aly's consolidated document verbatim. Fixes filled from the GitHub fix records (pretest wave #1005–#1039, August re-review #1102–#1133) and current-build verification, 2026-08-14.</t>
  </si>
  <si>
    <t>Question</t>
  </si>
  <si>
    <t>Comments</t>
  </si>
  <si>
    <t>Category of bug</t>
  </si>
  <si>
    <t>Fixes</t>
  </si>
  <si>
    <t>GitHub ref</t>
  </si>
  <si>
    <t>A. Ms. Xylee's comments (PAPI-vs-CAPI review)</t>
  </si>
  <si>
    <t>Informed Consent Form</t>
  </si>
  <si>
    <t>Only Part II of the Consent Form section from PAPI is observed in the CAPI screenshots.</t>
  </si>
  <si>
    <t>Already in the build — F1 has an informed-consent capture screen (built early as E3-F1-040); the April screenshot set XJ reviewed omitted it. To be evidenced with current screens in the consolidated DOH response.</t>
  </si>
  <si>
    <t>#154</t>
  </si>
  <si>
    <t>Dates at the end of interview</t>
  </si>
  <si>
    <t>The format of date beside the question should be "MMDDYYYY" NOT "YYYYMMDD"</t>
  </si>
  <si>
    <t>CAPI Formatting Issue</t>
  </si>
  <si>
    <t>Fixed — end-of-interview date now displays MMDDYYYY. Fixed, verified, and deployed 2026-08-12 (F1 v1.3.8 / F3 v1.4.8 / F4 v1.5.14) with screenshot proof on the ticket.</t>
  </si>
  <si>
    <t>#1132, #1099</t>
  </si>
  <si>
    <t>ALL QUESTIONS</t>
  </si>
  <si>
    <t>All question text appears to be displayed twice. In addition, the section titles, introductory statements, and instructions that are present and properly sequenced in the PAPI instrument are not consistently observed or appear to be out of order in the CAPI version (i.e. the introductory statement appears after the question title, reducing the logical flow of the questionnaire).</t>
  </si>
  <si>
    <t>CAPI Formatting Issue 
(Repeating Question)</t>
  </si>
  <si>
    <t>No build change — the double display is CSEntry's presentation (the question prompt and the field caption both render); logged as an XJ candidate cleanup and parked pending an ASPSI/DOH decision. Genuinely missing section titles/intros were fixed where ticketed (see the per-question rows).</t>
  </si>
  <si>
    <t>#888</t>
  </si>
  <si>
    <t>163. What challenges in human resources do you have?</t>
  </si>
  <si>
    <t>Missing Options, out of order options</t>
  </si>
  <si>
    <t>Fixed — Q163 options completed and re-ordered to the paper (F1 v1.2.4, deployed 2026-08-05); re-verified in the August re-review with tablet proof.</t>
  </si>
  <si>
    <t>#1037, #1126, #1127</t>
  </si>
  <si>
    <t>57. Based on your knowledge, what is the capitation amount of the YAKAP/Konsulta package?</t>
  </si>
  <si>
    <t>Definition is part of the question text.</t>
  </si>
  <si>
    <t>Fixed — the definition was moved out of the Q57 question text (F1 v1.2.4, deployed 2026-08-05); re-verified in the August re-review.</t>
  </si>
  <si>
    <t>#1011, #1109</t>
  </si>
  <si>
    <t>63. How many month/s did you wait from application submission to accreditation approval?</t>
  </si>
  <si>
    <t>Inconsistent question: month/s in PAPI vs day/s in CAPI</t>
  </si>
  <si>
    <t>Fixed — the CAPI now asks “How many month/s did you wait from application submission to accreditation approval?”, matching the PAPI (verified in the current F1 build).</t>
  </si>
  <si>
    <t>—</t>
  </si>
  <si>
    <t>34. Which of the submitted reports are actually used for decision-making?</t>
  </si>
  <si>
    <t>The question appear to have missing instruction, “Select all that apply”</t>
  </si>
  <si>
    <t>Fixed — the “Read options out loud. Select all that apply” instruction was added to Q34 (F1 v1.2.3/v1.2.4, deployed 2026-08-05).</t>
  </si>
  <si>
    <t>#1008</t>
  </si>
  <si>
    <t>144. Why is this difficult to implement?</t>
  </si>
  <si>
    <t>The question appears to have a missing instruction, “Select all that apply”. Also, Q144 CAPI has variation of options with PAPI</t>
  </si>
  <si>
    <t>Fixed — select-all instruction added and Q144 options aligned to the paper (F1 v1.2.x pretest fix wave; SHA-pinned render evidence on the ticket).</t>
  </si>
  <si>
    <t>#1029</t>
  </si>
  <si>
    <t>160. Where do your patients go to get the services not available at this facility?</t>
  </si>
  <si>
    <t>The question appears to have a missing instruction, “Select all that apply”. Also, Q160 CAPI has variation of options with PAPI</t>
  </si>
  <si>
    <t>Fixed — select-all instruction added and Q160 options aligned to the paper (F1 v1.2.4, deployed 2026-08-05); re-verified in the August re-review.</t>
  </si>
  <si>
    <t>#1034, #1125</t>
  </si>
  <si>
    <t>Q18, Q49, Q50, Q58, Q64, Q76, Q78, Q94, Q96, Q137, Q140, Q143, Q146, Q147, Q151, Q162, Q165,</t>
  </si>
  <si>
    <t>The following have options with incomplete description, questions/options with slight variation or inconsistent with PAPI</t>
  </si>
  <si>
    <t>Fixed — every listed question was ticketed individually and aligned to the paper (descriptions completed, variations corrected), shipped across F1 v1.2.3–v1.2.4 (deployed 2026-08-05) with per-question render evidence; several re-verified in the August re-review.</t>
  </si>
  <si>
    <t>#1007–#1036 (per question)</t>
  </si>
  <si>
    <t>Q66-74 and Q122-134</t>
  </si>
  <si>
    <t>The addition of “the following” in Q66-74 and Q122-134 implies that the question stem “Why was it difficult to comply with the following:” will be displayed once and applied to multiple components with the same response options. However, the CAPI repeats the entire question for each component, resulting in unnecessary redundancy. 
Consider either removing “the following” as aligned with PAPI, or restructuring the question to display the question stem once and the components separately.</t>
  </si>
  <si>
    <t>Fixed — the question stem now displays with each item in the Q66–Q74 and Q122–Q134 batteries (F1 v1.2.4, deployed 2026-08-05); re-verified in the August re-review.</t>
  </si>
  <si>
    <t>#1015, #1016, #1119</t>
  </si>
  <si>
    <t>Q103, Q110</t>
  </si>
  <si>
    <t>Inconsistent order of options: “Others” and “Not applicable”, and/or with missing options</t>
  </si>
  <si>
    <t>Fixed — option order aligned to the paper for Q103 and Q110, and the “Other (specify)” gate works (F1 v1.2.x; render evidence on both tickets).</t>
  </si>
  <si>
    <t>#1023, #1024</t>
  </si>
  <si>
    <t>Q5, Q6, Q52</t>
  </si>
  <si>
    <t>For Q5-6 and 52, consider adopting the approach used in the Household Survey CAPI by presenting separate questions for the month and year, rather than repeating the full question text for each component.</t>
  </si>
  <si>
    <t>Fixed — Q5/Q6 split into separate month and year entries as suggested; deployed 2026-08-03 and verified against the package on CSWeb. A later comment that would have reversed this presentation was declined mid-pretest to protect the deployed design.</t>
  </si>
  <si>
    <t>#1006, #1103</t>
  </si>
  <si>
    <t>2. What is your official designation at this health facility?</t>
  </si>
  <si>
    <t>In Q2, not all options are shown</t>
  </si>
  <si>
    <t>Fixed — the full designation option set now shows (13 options incl. Rural Health Physician + Other (specify)); evidenced on the pretest ticket, and the display-together rendering completed in F1 v1.3.9 (2026-08-13, tablet-verified).</t>
  </si>
  <si>
    <t>#1005, #1102</t>
  </si>
  <si>
    <t>Q65, Q88, Q95, Q120, Q158, Q161</t>
  </si>
  <si>
    <t>The following questions have inconsistencies/variations with PAPI</t>
  </si>
  <si>
    <t>Fixed — per-question paper alignment for Q65/Q88/Q95/Q120/Q158/Q161 shipped in F1 v1.2.3–v1.2.4 (deployed 2026-08-05) with render evidence per ticket.</t>
  </si>
  <si>
    <t>#1014, #1019, #1022, #1025, #1033, #1035</t>
  </si>
  <si>
    <t>B. Pretest findings</t>
  </si>
  <si>
    <t>110. If no, what is the primary reason? 
☐ Application not yet submitted        
☐ Did not meet accreditation requirements      
☐ Awaiting assessment or approval
☐ Limited information on accreditation process        
☐ Not applicable
☐ Others (specify)</t>
  </si>
  <si>
    <t>Others (specify) text box does not appear when selected.</t>
  </si>
  <si>
    <t>CAPI Failure</t>
  </si>
  <si>
    <t>Fixed — the Q110 “Other (specify)” gate now opens the text box when the option is selected (render evidence on the ticket; paper option order aligned in the same fix).</t>
  </si>
  <si>
    <t>#1024</t>
  </si>
  <si>
    <t>HCW (F2) — DOH comments &amp; pretest findings, with fixes</t>
  </si>
  <si>
    <t>Rows mirror Aly's consolidated document verbatim. Fixes filled from the GitHub fix records (#1040–#1047 with SHA-pinned render evidence, 2026-08-04) and the R6 build record.</t>
  </si>
  <si>
    <t>Section E.1</t>
  </si>
  <si>
    <t>No sub-header “E1. Awareness of and perceptions on BUCAS”</t>
  </si>
  <si>
    <t>Fixed — the E1 sub-header now renders above its block in the live PWA (SHA-pinned render evidence, 2026-08-04).</t>
  </si>
  <si>
    <t>#1040</t>
  </si>
  <si>
    <t>Section E.2</t>
  </si>
  <si>
    <t>No sub-header “E2. Awareness of GAMOT Package”</t>
  </si>
  <si>
    <t>Fixed — the E2 sub-header now renders above its block in the live PWA (same fix and evidence as E1).</t>
  </si>
  <si>
    <t>Section G (Q63-Q70)</t>
  </si>
  <si>
    <t>Missing note/definition</t>
  </si>
  <si>
    <t>Fixed — the doctor's-fee definition/note now renders above its question in the live PWA (render evidence, 2026-08-04).</t>
  </si>
  <si>
    <t>#1041, #1044</t>
  </si>
  <si>
    <t>Q98-Q107</t>
  </si>
  <si>
    <t>Missing instruction before Q98 applicable up to Q107</t>
  </si>
  <si>
    <t>Fixed — the paper battery intro instruction now renders above Q98, applying through Q107 (render evidence, 2026-08-04).</t>
  </si>
  <si>
    <t>#1042</t>
  </si>
  <si>
    <t>Q113-Q120</t>
  </si>
  <si>
    <t>Missing instruction before Q113 applicable up to Q120</t>
  </si>
  <si>
    <t>Fixed — the paper battery intro instruction now renders above Q113, applying through Q120 (render evidence, 2026-08-04).</t>
  </si>
  <si>
    <t>#1043</t>
  </si>
  <si>
    <t>Q2 What type of employment do you have at this health facility?</t>
  </si>
  <si>
    <t>The employment type definitions provided in the PAPI are not shown in the CAPI. As the HCW survey is self-administered, consider making these definitions available within CAPI (e.g., through help text or tooltips) to promote consistent understanding of response options.</t>
  </si>
  <si>
    <t>Fixed — the seven employment-type definitions are attached to Q2 as an in-question help block visible to the self-administering respondent (shipped in UAT Round 6).</t>
  </si>
  <si>
    <t>#810 (R6)</t>
  </si>
  <si>
    <t>Q13, Q15, Q17, Q18, Q19, Q20, Q21, Q22, Q23, Q24</t>
  </si>
  <si>
    <t>For the following questions, consider highlighting the component being asked about (e.g., through bold or underlined text) similar to the PAPI instrument to improve readability. In addition, the instruction "Select one answer only" shown in the PAPI is not observed in the CAPI screenshots. Kindly confirm whether this instruction has been intentionally omitted or is enforced through the CAPI interface.</t>
  </si>
  <si>
    <t>Fixed — the component being asked about is bolded in Q13/Q15/Q17–Q24, mirroring the PAPI emphasis (render evidence, 2026-08-04).</t>
  </si>
  <si>
    <t>#1045</t>
  </si>
  <si>
    <t>Q4, Q9, Q10, Q11</t>
  </si>
  <si>
    <t>“Number of days” (Q10) and “Number of hours” (Q11) are missing in CAPI</t>
  </si>
  <si>
    <t>Fixed — input labels added: “Number of days” on Q10 and “Number of hours” on Q11 (Q4/Q9 already carried labels), live PWA (render evidence, 2026-08-04).</t>
  </si>
  <si>
    <t>#1046, #1047</t>
  </si>
  <si>
    <t>-</t>
  </si>
  <si>
    <t>NONE</t>
  </si>
  <si>
    <t>No pretest findings were filed for F2 — this table is intentionally empty in the source document.</t>
  </si>
  <si>
    <t>Patient (F3) — DOH comments &amp; pretest findings, with fixes</t>
  </si>
  <si>
    <t>Rows mirror Aly's consolidated document verbatim. Fixes filled from the GitHub fix records (pretest wave #1048–#1067, August waves #1134–#1212) and current-build verification, 2026-08-14.</t>
  </si>
  <si>
    <t>The Consent Form section from PAPI is not found in CAPI</t>
  </si>
  <si>
    <t>Already in the build — F3 captures consent in the instrument (CONSENT_FORM field in the live build); the April screenshot set omitted it. To be evidenced with current screens in the consolidated DOH response.</t>
  </si>
  <si>
    <t>Fixed — end-of-interview date now displays MMDDYYYY. Fixed, verified, and deployed 2026-08-12 (F3 v1.4.8, alongside F1/F4) with screenshot proof on the ticket.</t>
  </si>
  <si>
    <t>#1174, #1099</t>
  </si>
  <si>
    <t>18 In the past 6 months, what is the patient’s average monthly household income? Please specify in Philippine pesos.
Enumerator Note: Ensure that the respondent will provide a valid response. In case the respondent fails to provide one, input -98 for “I don’t know” and -99 for “Refuse to Answer”
Enumerator note: Tick the income category that corresponds to the respondent’s approximate household income.</t>
  </si>
  <si>
    <t>In Q18, the enumerator note for the first question  (approximate amount) is not applicable and should be removed.
For the second question (income bracket), PAPI terminology “tick” was retained in the note but should be revised to CAPI-appropriate terminology, "select".</t>
  </si>
  <si>
    <t>Fixed — the enumerator note now applies to the income bracket only, and DK/RF options were added to Q18 (render evidence on the ticket; F3 v1.3.x, 2026-08-04).</t>
  </si>
  <si>
    <t>#1048</t>
  </si>
  <si>
    <t>19 How many total individuals (including children) live in the patient's house now? 
Please count the patient and all the people who usually live with the patient. Please include those who are not living here now but will be back within six months, BUT do not include OFWs.</t>
  </si>
  <si>
    <t>Missing instructions</t>
  </si>
  <si>
    <t>Fixed — instruction added to Q19 (render evidence on the ticket).</t>
  </si>
  <si>
    <t>#1049</t>
  </si>
  <si>
    <t>33 Is the patient the main decision-maker on health care in your household?
The decision-maker is the person that takes responsibility on decisions regarding health in the family: for example, yearly immunizations, hospital finances, etc.</t>
  </si>
  <si>
    <t>Fixed — instruction added to Q33 (render evidence on the ticket).</t>
  </si>
  <si>
    <t>#1050</t>
  </si>
  <si>
    <t>34 Who takes the most responsibility for making the decisions regarding healthcare in the patient’s household? 
This is the person who makes decisions on health in the family: for example, yearly immunizations, manages hospital finances, etc.</t>
  </si>
  <si>
    <t>Fixed — instruction added to Q34 (render evidence on the ticket).</t>
  </si>
  <si>
    <t>#1051</t>
  </si>
  <si>
    <t>54 Who is your main primary care provider?</t>
  </si>
  <si>
    <t>Missing option definitions</t>
  </si>
  <si>
    <t>Not yet addressed — no ticket was filed for Q54 option definitions and the current build does not carry them. Flagged for the next fix wave / the consolidated DOH response.</t>
  </si>
  <si>
    <t>86 Which of the following happened during the patient’s most recent visit?</t>
  </si>
  <si>
    <t>Fixed — option definitions added to Q86 (render evidence on the ticket).</t>
  </si>
  <si>
    <t>#1052</t>
  </si>
  <si>
    <t>Note for Q92, Q96, Q97.1, Q97.2, Q98, Q107, Q109, Q112, Q113, Q149, Q157</t>
  </si>
  <si>
    <t>Please clarify whether "Tick" iQs the standard terminology used in this CAPI application, because “Select” is also used. If not, consider revising it to "Select" for consistency with the Year 1 CAPI instrument and the electronic data collection environment.</t>
  </si>
  <si>
    <t>Fixed — terminology standardized to “Select all that apply” across the listed questions (render evidence on the tickets).</t>
  </si>
  <si>
    <t>#1053, #1054</t>
  </si>
  <si>
    <t>Q59, Q61, Q70, Q73, Q75, Q82, Q85, Q86, Q87, Q90, Q93, Q100, Q103, Q128, Q129, Q148, Q153, Q154, Q160, Q161</t>
  </si>
  <si>
    <t>Questions appear to have missing instruction, “Select all that apply”</t>
  </si>
  <si>
    <t>Fixed — SELECT ALL THAT APPLY notes added across the listed questions (evidence shows Q59/Q148/Q153; F3 v1.3.x).</t>
  </si>
  <si>
    <t>#1055</t>
  </si>
  <si>
    <t>Q4, Q5</t>
  </si>
  <si>
    <t>For consistency with the Household Survey CAPI in Q5, consider adopting the approach of presenting separate questions for the month and year rather than repeating the full question text for each component.</t>
  </si>
  <si>
    <t>Fixed — separate month and year entries adopted for Q4/Q5; the Q5 refinement shipped in F3 v1.4.6 (2026-08-11, tablet proof).</t>
  </si>
  <si>
    <t>#1056, #1195</t>
  </si>
  <si>
    <t>15 What is the highest level of education the patient has attained?
☐ Early Childhood Education (Pre-school)
☐ Master Level Education or Equivalent
☐ Primary Education (Grade 1 to 6)
☐ Doctoral Level Education or Equivalent
☐ Lower Secondary Education (Grade 7 to 10)
☐ No schooling
☐ Upper Secondary Education (Grade 11 to 12)
☐ I don't know
☐ Post-Secondary Non-Tertiary Education (including Technical and Vocational degrees with a certificate)
☐ Not applicable</t>
  </si>
  <si>
    <t>Inconsistent order of options for Q15</t>
  </si>
  <si>
    <t>Fixed — Q15 options re-ordered to the paper, codes unchanged (render evidence on the ticket).</t>
  </si>
  <si>
    <t>#1057</t>
  </si>
  <si>
    <t>22 (PAPI) Does the patient have electricity in their house?
22 (CAPI) Does the patient have electricity in their household?</t>
  </si>
  <si>
    <t>Inconsistent question for Q22 (house vs. household)</t>
  </si>
  <si>
    <t>Fixed — Q22 wording aligned to the paper (“house”) (render evidence on the ticket).</t>
  </si>
  <si>
    <t>#1058</t>
  </si>
  <si>
    <t>47 Are you aware that there are PhilHealth packages for the following health services:
Physician check-up
☐ Yes
☐ No
Diagnostic tests (e.g. laboratory tests and imaging)
☐ Yes
☐ No
Hospital confinement
☐ Yes
☐ No
Outpatient drugs
☐ Yes
☐ No</t>
  </si>
  <si>
    <t>The translation of Q47 from the PAPI instrument to the CAPI version could be improved. Rather than repeatedly displaying the same question stem for each service category, consider adapting the question text to reflect the specific category being asked. 
For example:
Are you aware that there is/are PhilHealth package/s for physician check-up?
Are you aware that there is/are PhilHealth package/s for diagnostic tests (e.g., laboratory tests and imaging)?
Are you aware that there is/are PhilHealth package/s for hospital confinement?
Are you aware that there is/are PhilHealth package/s for outpatient drugs?</t>
  </si>
  <si>
    <t>Fixed — Q47 reworked into per-package respondent-facing questions instead of a repeated stem (render evidence on the ticket).</t>
  </si>
  <si>
    <t>#1059</t>
  </si>
  <si>
    <t>58 What is your waiting time, in days and/or minutes to set an appointment with your main primary care provider (FACILITY_NAME_INPUT)?
Day: ________
Minutes: ________</t>
  </si>
  <si>
    <t>For Q58, the CAPI translation also appears to function more as an encoding tool than a questionnaire. Consider presenting the question in a respondent-facing format and displaying the main question once with grouped fields for Days and Minutes, rather than repeating the question text for each component.</t>
  </si>
  <si>
    <t>Fixed — Q58 presented as a respondent-facing question (waiting time in days/hours), with further alignment in the August wave.</t>
  </si>
  <si>
    <t>#1060, #1142</t>
  </si>
  <si>
    <t>Q131-140</t>
  </si>
  <si>
    <t>Also, the CAPI translation for Q131-140 appears to function more as an encoding tool than a questionnaire. Consider presenting the question in a respondent-facing format consistent with PAPI</t>
  </si>
  <si>
    <t>Fixed — Q131–Q140 reworked as respondent-facing per-amenity questions (evidence shows Q131–134).</t>
  </si>
  <si>
    <t>#1061</t>
  </si>
  <si>
    <t>150 How much time does it take for you to reach the nearest pharmacy from your home?
Time 
(HH:MM)</t>
  </si>
  <si>
    <t>For Q150, the translation from PAPI to CAPI appears to have shifted from a respondent-facing question to an encoding-oriented data entry format.</t>
  </si>
  <si>
    <t>Fixed — Q150 presented as a respondent-facing question; refined in F3 v1.4.6 (2026-08-11, tablet proof).</t>
  </si>
  <si>
    <t>#1062, #1201</t>
  </si>
  <si>
    <t>In Q86 the response option “Other (specify)” appear to be missing from the CAPI version.</t>
  </si>
  <si>
    <t>Verified in current build — Q86 carries an “Other (specify)” capture (Q86_VISIT_EVENTS_OTHER_TXT in the live dictionary); the option-definitions fix also shipped on the same question.</t>
  </si>
  <si>
    <t>178 Overall, how would you rate your experience with the referral process?</t>
  </si>
  <si>
    <t>In Q178, the response option “Not applicable,” respectively, appear to be missing from the CAPI version.</t>
  </si>
  <si>
    <t>Fixed — “Not applicable” restored on Q178 (code 6) (render evidence on the ticket).</t>
  </si>
  <si>
    <t>#1063</t>
  </si>
  <si>
    <t>96 How much was spent for (NAME IN ___)’s prescribed medicines?</t>
  </si>
  <si>
    <t>For Q96, the translation from PAPI to CAPI appears to be inconsistent and may require clarification. In the PAPI instrument, only the response options "Out-of-pocket" and "Donation" have corresponding amount fields. However, the CAPI screenshots appear to capture an amount for "Out-of-pocket" and "In kind" instead, while no corresponding amount field for "Donation" is shown.</t>
  </si>
  <si>
    <t>Fixed — first pass desk-proven and deployed in F3 v1.3.1; Q96 option order then aligned to the June-5 Deliverable-2 paper in F3 v2.0.0 (2026-08-13).</t>
  </si>
  <si>
    <t>#1064, #1152</t>
  </si>
  <si>
    <t>104 Without BUCAS Center, where would you have gone? 
☐ Another DOH hospital
☐ Private clinic/hospital
☐ LGU hospital
☐ Rural Health Unit / Health Center
☐ Would not seek care
☐ Other (specify)</t>
  </si>
  <si>
    <t>In Q104, option “Others” should be “Other (specify)”</t>
  </si>
  <si>
    <t>Fixed — Q104 label corrected to “Other (specify)”, code 6 unchanged (render evidence on the ticket).</t>
  </si>
  <si>
    <t>#1065</t>
  </si>
  <si>
    <t>106 How long were you confined?
Nights _ _       Days _ _</t>
  </si>
  <si>
    <t>For Q106 (similar to Q58, Q67, Q69, and Q150), the CAPI translation appears to function more as an encoding-oriented data entry form than a respondent-facing questionnaire. Consider presenting the main question only once with grouped input fields for Nights and Days, rather than repeating the full question text for each component.</t>
  </si>
  <si>
    <t>Fixed — Q106 presented as a respondent-facing question; refined in F3 v1.4.6 (2026-08-11) and re-verified in the August wave.</t>
  </si>
  <si>
    <t>#1066, #1196, #1155</t>
  </si>
  <si>
    <t>Q107, Q109, Q112</t>
  </si>
  <si>
    <t>In Q107, 109, 112, option “Other” should be “Other (specify)”</t>
  </si>
  <si>
    <t>Fixed — Q107/Q109/Q112 labels corrected to “Other (specify)” (render evidence on the ticket).</t>
  </si>
  <si>
    <t>#1067</t>
  </si>
  <si>
    <t>Q128, Q144</t>
  </si>
  <si>
    <t>Q128 and Q144 appear to be inconsistent with the PAPI instrument, as the response options “None” and “Not applicable,” respectively, have been added in the CAPI version.</t>
  </si>
  <si>
    <t>Resolved for Q128 in the deployed build (August wave). Q144 had no separate ticket — the current build's option set stands; flag in the consolidated DOH response if strict paper parity is still required.</t>
  </si>
  <si>
    <t>#1165</t>
  </si>
  <si>
    <t>The CAPI translation for Q131-140 appears to function more as an encoding tool than a questionnaire. Consider presenting the question in a respondent-facing format consistent with PAPI</t>
  </si>
  <si>
    <t>53. Do you have a primary care provider?</t>
  </si>
  <si>
    <t>Add this definition
A primary care provider is your first contact healthcare provider (i.e., general practitioner doctor) for an undiagnosed concern or continuing care of varied medical conditions.</t>
  </si>
  <si>
    <t>Fixed — the primary-care-provider definition is in the live F3 question text/help (verified in the current build: “first contact healthcare provider…”).</t>
  </si>
  <si>
    <t>97.1 Other than the expenses above (e.g. consultation, laboratory tests, prescribed medicines, etc.), which of the following were also included in the bill?  How much were you charged or billed?</t>
  </si>
  <si>
    <t>Add the option "None"</t>
  </si>
  <si>
    <t>Option Revision</t>
  </si>
  <si>
    <t>Fixed — “NONE” option added to Q97.1 (fix-evidence on the ticket; deployed August 2026).</t>
  </si>
  <si>
    <t>#1208, #1054</t>
  </si>
  <si>
    <t>97.2 Did you pay for any other expenses during your OPD visit that were not included in the outpatient bill?
If yes, indicate the amount spent</t>
  </si>
  <si>
    <t>Fixed — “NONE” option added to Q97.2 (same ticket and evidence as Q97.1).</t>
  </si>
  <si>
    <t>There are text box in all of the options instead of OOP, Donation, or In kind only.</t>
  </si>
  <si>
    <t>Fixed — amount boxes now appear only for the amount-bearing options: the amount-box half deployed in F3 v1.4.6 (2026-08-11), the option-ordering half in F3 v2.0.0 (2026-08-13), and the Q112 roster wiring in F3 v2.1.1 (2026-08-13).</t>
  </si>
  <si>
    <t>#1198–#1200, #1156, #1158, #1212</t>
  </si>
  <si>
    <t>Q36, Q37, Q42, Q46, Q50, Q52, Q65, Q75, Q76, Q82, Q85, Q100, Q103, Q117, Q118, Q120, Q121, Q125, Q128, Q148, Q153, Q154, Q157, Q160, Q161, Q163, Q177</t>
  </si>
  <si>
    <t>When "I don't know/No/None”" is selected together with one or more other options, the CAPI only displays a soft warning, allowing the interview to proceed despite the invalid response.  
Suggestion: Consider implementing a hard validation for this question.</t>
  </si>
  <si>
    <t>CAPI Validation</t>
  </si>
  <si>
    <t>Fixed — exclusive options (I don't know / No / None) now HARD-block invalid combinations class-wide in the F3 generator (same guard as F4; verified in the current generator), deployed through the August F3 builds.</t>
  </si>
  <si>
    <t>class-wide</t>
  </si>
  <si>
    <t>Household (F4) — DOH comments &amp; pretest findings, with fixes</t>
  </si>
  <si>
    <t>Rows mirror Aly's consolidated document verbatim. Fixes filled from the GitHub fix records (pretest waves #1068–#1101, August wave #1176–#1207) and current-build verification, 2026-08-14.</t>
  </si>
  <si>
    <t>Fixed — end-of-interview date now displays MMDDYYYY. Fixed, verified, and deployed 2026-08-12 (F4 v1.5.14, alongside F1/F3) with screenshot proof on the ticket.</t>
  </si>
  <si>
    <t>#1099</t>
  </si>
  <si>
    <t>17  Who takes the most responsibility for making the decisions regarding healthcare in your household? 
This is the person who makes decisions on health in the family: for example, yearly immunizations, manages hospital finances, etc.</t>
  </si>
  <si>
    <t>Missing instruction</t>
  </si>
  <si>
    <t>Fixed — instruction added to Q17 (F4 v1.5.1, deployed 2026-08-05).</t>
  </si>
  <si>
    <t>#1068</t>
  </si>
  <si>
    <t>Q65, Q66, Q70, Q71, Q74, Q77, Q78, Q106, Q107, Q202,</t>
  </si>
  <si>
    <t>Fixed — “Select all that apply” instructions added across the listed questions (F4 v1.5.2, deployed 2026-08-05).</t>
  </si>
  <si>
    <t>#1069, #1070</t>
  </si>
  <si>
    <t>11 What is the highest level of education you have attained?
☐ Early Childhood Education (Pre-school)
☐ Primary Education  (Grade 1 to 6)
☐ Lower Secondary Education  (Grade 7 to 10)
☐ Upper Secondary Education  (Grade 11 to 12)
☐ Post-Secondary Non-Tertiary Education (including Technical and Vocational degrees with a certificate)
☐ Short-Cycle Tertiary Education or Equivalent (including Technical and Vocational degrees with a diploma)
☐ Bachelor Level Education or Equivalent
☐ Master Level Education or Equivalent
☐ Doctoral Level Education or Equivalent
☐ No schooling
☐ I don't know
☐ Not applicable
☐ Other (specify)</t>
  </si>
  <si>
    <t>Inconsistent order of options for Q11</t>
  </si>
  <si>
    <t>Fixed — Q11 option order aligned to the paper (F4 v1.5.3, deployed 2026-08-05).</t>
  </si>
  <si>
    <t>#1071</t>
  </si>
  <si>
    <t>Fixed — Q22 wording aligned to the paper (“house”) (F4 v1.5.3, deployed 2026-08-05).</t>
  </si>
  <si>
    <t>#1072</t>
  </si>
  <si>
    <t>67 How much time does it take for you to reach the nearest pharmacy from your home?
Time 
(HH:MM)</t>
  </si>
  <si>
    <t>For Q67, the translation from PAPI to CAPI appears to have changed from a single HH:MM response field to separate Hours and Minutes entries
If the intention is to capture a time duration in HH:MM format, consider presenting the response as a grouped time field rather than as two separate questions.</t>
  </si>
  <si>
    <t>Fixed — Q67 travel-time entry aligned (F4 v1.5.3, deployed 2026-08-05).</t>
  </si>
  <si>
    <t>#1073</t>
  </si>
  <si>
    <t>Q186-Q194</t>
  </si>
  <si>
    <t>The section introduction, instructions, and overarching question for Q186–Q194 in the PAPI instrument are not observed in the CAPI version. As a result, the individual items appear as standalone Yes/No questions and may lose their intended context</t>
  </si>
  <si>
    <t>No build change yet — the Q186–Q194 section intro/overarching question is logged as an XJ candidate change, parked pending an ASPSI/DOH decision. (The related Q196 exclusive-option validation in this section was hard-block fixed in the deployed build.)</t>
  </si>
  <si>
    <t>#911, #1178</t>
  </si>
  <si>
    <t>22. Do you have electricity in your household?</t>
  </si>
  <si>
    <t>The question in PAPI is " Do you have electricity in your house?" , replace the word "household" with "house".</t>
  </si>
  <si>
    <t>CAPI formatting issue</t>
  </si>
  <si>
    <t>46. What is his/her membership category?</t>
  </si>
  <si>
    <t>The descriptions of Philhealth membership response options are available on PAPI but missing in CAPI.</t>
  </si>
  <si>
    <t>Fixed — the PhilHealth membership option descriptions were added to Q46 (F4 v1.5.3, deployed 2026-08-05), with a display refinement deployed in the August wave.</t>
  </si>
  <si>
    <t>#1074, #1177</t>
  </si>
  <si>
    <t>52. What is your source of information about UHC?</t>
  </si>
  <si>
    <t>When "I don't know" is selected together with one or more other options, the CAPI only displays a soft warning, allowing the interview to proceed despite the invalid response. 
Suggestion: Consider implementing a hard validation for this question.</t>
  </si>
  <si>
    <t>Fixed — the exclusive option on Q52 now HARD-blocks the combination (the interview cannot proceed with an exclusive option ticked alongside real answers). F4 v1.5.3, deployed 2026-08-05; hard-block verified on tablet (#1075). The guard is class-wide in the F4 generator, so every exclusive-option question carries it.</t>
  </si>
  <si>
    <t>#1075</t>
  </si>
  <si>
    <t>53. What is your understanding about UHC?</t>
  </si>
  <si>
    <t>When "I don't know" is selected together with one or more other options, the CAPI only displays a soft warning, allowing the interview to proceed despite the invalid response.  
Suggestion: Consider implementing a hard validation for this question.</t>
  </si>
  <si>
    <t>Fixed — the exclusive option on Q53 now HARD-blocks the combination (the interview cannot proceed with an exclusive option ticked alongside real answers). F4 v1.5.3, deployed 2026-08-05; hard-block verified on tablet (#1076). The guard is class-wide in the F4 generator, so every exclusive-option question carries it.</t>
  </si>
  <si>
    <t>#1076</t>
  </si>
  <si>
    <t>56. What is your understanding about YAKAP/Konsulta package?</t>
  </si>
  <si>
    <t>Fixed — the exclusive option on Q56 now HARD-blocks the combination (the interview cannot proceed with an exclusive option ticked alongside real answers). F4 v1.5.3, deployed 2026-08-05; hard-block verified on tablet (#1078). The guard is class-wide in the F4 generator, so every exclusive-option question carries it.</t>
  </si>
  <si>
    <t>#1078</t>
  </si>
  <si>
    <t>58. If YES, what are your sources of information about this BUCAS Center?</t>
  </si>
  <si>
    <t>Fixed — the exclusive option on Q58 now HARD-blocks the combination (the interview cannot proceed with an exclusive option ticked alongside real answers). F4 v1.5.3, deployed 2026-08-05; hard-block verified on tablet (#1079). The guard is class-wide in the F4 generator, so every exclusive-option question carries it.</t>
  </si>
  <si>
    <t>#1079</t>
  </si>
  <si>
    <t>61. If YES, which of the services did you avail?</t>
  </si>
  <si>
    <t>Fixed — the exclusive option on Q61 now HARD-blocks the combination (the interview cannot proceed with an exclusive option ticked alongside real answers). F4 v1.5.3, deployed 2026-08-05; hard-block verified on tablet (#1080). The guard is class-wide in the F4 generator, so every exclusive-option question carries it.</t>
  </si>
  <si>
    <t>#1080</t>
  </si>
  <si>
    <t>65. What are the medical conditions that you/your household member/s take the medicine for?</t>
  </si>
  <si>
    <t>When "No Condition-Regular Check-up only" is selected together with one or more other options, the CAPI only displays a soft warning, allowing the interview to proceed despite the invalid response.  
Suggestion: Consider implementing a hard validation for this question.</t>
  </si>
  <si>
    <t>Fixed — the exclusive option on Q65 now HARD-blocks the combination (the interview cannot proceed with an exclusive option ticked alongside real answers). F4 v1.5.3, deployed 2026-08-05; hard-block verified on tablet (#1081). The guard is class-wide in the F4 generator, so every exclusive-option question carries it.</t>
  </si>
  <si>
    <t>#1081</t>
  </si>
  <si>
    <t>70. If YES, what are  your sources of information for GAMOT Package?</t>
  </si>
  <si>
    <t>Fixed — the exclusive option on Q70 now HARD-blocks the combination (the interview cannot proceed with an exclusive option ticked alongside real answers). F4 v1.5.3, deployed 2026-08-05; hard-block verified on tablet (#1082). The guard is class-wide in the F4 generator, so every exclusive-option question carries it.</t>
  </si>
  <si>
    <t>#1082</t>
  </si>
  <si>
    <t>74. Where did you get the rest of the medicines?</t>
  </si>
  <si>
    <t>When "Not Applicable" is selected together with one or more other options, the CAPI only displays a soft warning, allowing the interview to proceed despite the invalid response.  
Suggestion: Consider implementing a hard validation for this question.</t>
  </si>
  <si>
    <t>Fixed — the exclusive option on Q74 now HARD-blocks the combination (the interview cannot proceed with an exclusive option ticked alongside real answers). F4 v1.5.3, deployed 2026-08-05; hard-block verified on tablet (#1084). The guard is class-wide in the F4 generator, so every exclusive-option question carries it.</t>
  </si>
  <si>
    <t>#1084</t>
  </si>
  <si>
    <t>77. If generic, why did you buy generic medicine?</t>
  </si>
  <si>
    <t>Fixed — the exclusive option on Q77 now HARD-blocks the combination (the interview cannot proceed with an exclusive option ticked alongside real answers). F4 v1.5.3, deployed 2026-08-05; hard-block verified on tablet (#1085). The guard is class-wide in the F4 generator, so every exclusive-option question carries it.</t>
  </si>
  <si>
    <t>#1085</t>
  </si>
  <si>
    <t>78. If branded, why did you buy branded medicine?</t>
  </si>
  <si>
    <t>Fixed — the exclusive option on Q78 now HARD-blocks the combination (the interview cannot proceed with an exclusive option ticked alongside real answers). F4 v1.5.3, deployed 2026-08-05; hard-block verified on tablet (#1086). The guard is class-wide in the F4 generator, so every exclusive-option question carries it.</t>
  </si>
  <si>
    <t>#1086</t>
  </si>
  <si>
    <t>82. What did you find difficult about the process?</t>
  </si>
  <si>
    <t>Fixed — the exclusive option on Q82 now HARD-blocks the combination (the interview cannot proceed with an exclusive option ticked alongside real answers). F4 v1.5.3, deployed 2026-08-05; hard-block verified on tablet (#1087). The guard is class-wide in the F4 generator, so every exclusive-option question carries it.</t>
  </si>
  <si>
    <t>#1087</t>
  </si>
  <si>
    <t>85. What are some of the benefits that come with being Philhealth member?</t>
  </si>
  <si>
    <t>When "I don't know" is selected together with one or more other options, the CAPI only displays a soft warning, allowing the interview to proceed despite the invalid response.  
Suggestion: Consider implementing a hard validation for this question</t>
  </si>
  <si>
    <t>Fixed — the exclusive option on Q85 now HARD-blocks the combination (the interview cannot proceed with an exclusive option ticked alongside real answers). F4 v1.5.3, deployed 2026-08-05; hard-block verified on tablet (#1088). The guard is class-wide in the F4 generator, so every exclusive-option question carries it.</t>
  </si>
  <si>
    <t>#1088</t>
  </si>
  <si>
    <t>88. Why did you find it difficult??</t>
  </si>
  <si>
    <t>Fixed — the exclusive option on Q88 now HARD-blocks the combination (the interview cannot proceed with an exclusive option ticked alongside real answers). F4 v1.5.3, deployed 2026-08-05; hard-block verified on tablet (#1089). The guard is class-wide in the F4 generator, so every exclusive-option question carries it.</t>
  </si>
  <si>
    <t>#1089</t>
  </si>
  <si>
    <t>106. Why not?</t>
  </si>
  <si>
    <t>Fixed — the exclusive option on Q106 now HARD-blocks the combination (the interview cannot proceed with an exclusive option ticked alongside real answers). F4 v1.5.3, deployed 2026-08-05; hard-block verified on tablet (#1090). The guard is class-wide in the F4 generator, so every exclusive-option question carries it.</t>
  </si>
  <si>
    <t>#1090</t>
  </si>
  <si>
    <t>109. What type of  care was the referral for?</t>
  </si>
  <si>
    <t>When "None of the above" is selected together with one or more other options, the CAPI only displays a soft warning, allowing the interview to proceed despite the invalid response.  
Suggestion: Consider implementing a hard validation for this question.</t>
  </si>
  <si>
    <t>Fixed — the exclusive option on Q109 now HARD-blocks the combination (the interview cannot proceed with an exclusive option ticked alongside real answers). F4 v1.5.3, deployed 2026-08-05; hard-block verified on tablet (#1091). The guard is class-wide in the F4 generator, so every exclusive-option question carries it.</t>
  </si>
  <si>
    <t>#1091</t>
  </si>
  <si>
    <t>121. As it was not a referral, why did you decide to visit a hospital?</t>
  </si>
  <si>
    <t>Fixed — the exclusive option on Q121 now HARD-blocks the combination (the interview cannot proceed with an exclusive option ticked alongside real answers). F4 v1.5.3, deployed 2026-08-05; hard-block verified on tablet (#1092). The guard is class-wide in the F4 generator, so every exclusive-option question carries it.</t>
  </si>
  <si>
    <t>#1092</t>
  </si>
  <si>
    <t>127. If yes, what are the sources of information about NBB?</t>
  </si>
  <si>
    <t>Fixed — the exclusive option on Q127 now HARD-blocks the combination (the interview cannot proceed with an exclusive option ticked alongside real answers). F4 v1.5.3, deployed 2026-08-05; hard-block verified on tablet (#1093). The guard is class-wide in the F4 generator, so every exclusive-option question carries it.</t>
  </si>
  <si>
    <t>#1093</t>
  </si>
  <si>
    <t>128. What is your understanding about NBB?</t>
  </si>
  <si>
    <t>Fixed — the exclusive option on Q128 now HARD-blocks the combination (the interview cannot proceed with an exclusive option ticked alongside real answers). F4 v1.5.3, deployed 2026-08-05; hard-block verified on tablet (#1094). The guard is class-wide in the F4 generator, so every exclusive-option question carries it.</t>
  </si>
  <si>
    <t>#1094</t>
  </si>
  <si>
    <t>133. If yes, what are the sources of information about ZBB?</t>
  </si>
  <si>
    <t>Fixed — the exclusive option on Q133 now HARD-blocks the combination (the interview cannot proceed with an exclusive option ticked alongside real answers). F4 v1.5.3, deployed 2026-08-05; hard-block verified on tablet (#1095). The guard is class-wide in the F4 generator, so every exclusive-option question carries it.</t>
  </si>
  <si>
    <t>#1095</t>
  </si>
  <si>
    <t>134. What is your understanding about ZBB?</t>
  </si>
  <si>
    <t>Fixed — the exclusive option on Q134 now HARD-blocks the combination (the interview cannot proceed with an exclusive option ticked alongside real answers). F4 v1.5.3, deployed 2026-08-05; hard-block verified on tablet (#1096). The guard is class-wide in the F4 generator, so every exclusive-option question carries it.</t>
  </si>
  <si>
    <t>#1096</t>
  </si>
  <si>
    <t>141. From your most recent visit, which of the following were included in the bill?</t>
  </si>
  <si>
    <t>The option for other expenses follows requesting to specify other expenses even though the option was not ticked</t>
  </si>
  <si>
    <t>Fixed — the “Other (specify)” prompt on Q141 no longer fires when the option isn't ticked (F4 v1.5.4, deployed 2026-08-05).</t>
  </si>
  <si>
    <t>#1098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</si>
</sst>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3"/>
      <color rgb="FF1F3864"/>
      <name val="Arial"/>
    </font>
    <font>
      <i/>
      <sz val="9"/>
      <color rgb="FF595959"/>
      <name val="Arial"/>
    </font>
    <font>
      <b/>
      <sz val="10"/>
      <color rgb="FFFFFFFF"/>
      <name val="Arial"/>
    </font>
    <font>
      <b/>
      <sz val="10"/>
      <color rgb="FF1F3864"/>
      <name val="Arial"/>
    </font>
    <font>
      <sz val="10"/>
      <name val="Arial"/>
    </font>
    <font>
      <b/>
      <sz val="9"/>
      <name val="Arial"/>
    </font>
    <font>
      <b/>
      <sz val="14"/>
      <color rgb="FF1F3864"/>
      <name val="Arial"/>
    </font>
    <font>
      <i/>
      <sz val="10"/>
      <color rgb="FF595959"/>
      <name val="Arial"/>
    </font>
    <font>
      <b/>
      <sz val="10"/>
      <name val="Arial"/>
    </font>
    <font>
      <b/>
      <sz val="11"/>
      <color rgb="FF1F3864"/>
      <name val="Arial"/>
    </font>
  </fonts>
  <fills count="8">
    <fill>
      <patternFill patternType="none"/>
    </fill>
    <fill>
      <patternFill patternType="gray125"/>
    </fill>
    <fill>
      <patternFill patternType="solid">
        <fgColor rgb="FF1F3864"/>
      </patternFill>
    </fill>
    <fill>
      <patternFill patternType="solid">
        <fgColor rgb="FFD6E4F0"/>
      </patternFill>
    </fill>
    <fill>
      <patternFill patternType="solid">
        <fgColor rgb="FFDDEBF7"/>
      </patternFill>
    </fill>
    <fill>
      <patternFill patternType="solid">
        <fgColor rgb="FFC6EFCE"/>
      </patternFill>
    </fill>
    <fill>
      <patternFill patternType="solid">
        <fgColor rgb="FFFFF2CC"/>
      </patternFill>
    </fill>
    <fill>
      <patternFill patternType="solid">
        <f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7" fillId="0" borderId="0" xfId="0" applyFont="1"/>
    <xf numFmtId="0" fontId="8" fillId="0" borderId="0" xfId="0" applyFont="1"/>
    <xf numFmtId="0" fontId="10" fillId="0" borderId="0" xfId="0" applyFont="1"/>
    <xf numFmtId="0" fontId="3" fillId="2" borderId="1" xfId="0" applyFont="1" applyFill="1" applyBorder="1" applyAlignment="1">
      <alignment horizontal="center"/>
    </xf>
    <xf numFmtId="0" fontId="5" fillId="5" borderId="1" xfId="0" applyFont="1" applyFill="1" applyBorder="1"/>
    <xf numFmtId="0" fontId="5" fillId="0" borderId="1" xfId="0" applyFont="1" applyBorder="1" applyAlignment="1">
      <alignment horizontal="center"/>
    </xf>
    <xf numFmtId="0" fontId="9" fillId="0" borderId="1" xfId="0" applyFont="1" applyBorder="1" applyAlignment="1">
      <alignment horizontal="center"/>
    </xf>
    <xf numFmtId="0" fontId="5" fillId="4" borderId="1" xfId="0" applyFont="1" applyFill="1" applyBorder="1"/>
    <xf numFmtId="0" fontId="5" fillId="6" borderId="1" xfId="0" applyFont="1" applyFill="1" applyBorder="1"/>
    <xf numFmtId="0" fontId="5" fillId="7" borderId="1" xfId="0" applyFont="1" applyFill="1" applyBorder="1"/>
    <xf numFmtId="0" fontId="9" fillId="0" borderId="1" xfId="0" applyFont="1" applyBorder="1"/>
    <xf numFmtId="0" fontId="3" fillId="2" borderId="1" xfId="0" applyFont="1" applyFill="1" applyBorder="1" applyAlignment="1">
      <alignment horizontal="center" vertical="center" wrapText="1"/>
    </xf>
    <xf numFmtId="0" fontId="5" fillId="0" borderId="1" xfId="0" applyFont="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6" fillId="0" borderId="1" xfId="0" applyFont="1" applyBorder="1" applyAlignment="1">
      <alignment vertical="top" wrapText="1"/>
    </xf>
    <xf numFmtId="0" fontId="6" fillId="7" borderId="1" xfId="0" applyFont="1" applyFill="1" applyBorder="1" applyAlignment="1">
      <alignment vertical="top" wrapText="1"/>
    </xf>
    <xf numFmtId="0" fontId="5" fillId="0" borderId="0" xfId="0" applyFont="1" applyAlignment="1">
      <alignment vertical="top" wrapText="1"/>
    </xf>
    <xf numFmtId="0" fontId="0" fillId="0" borderId="0" xfId="0"/>
    <xf numFmtId="0" fontId="9" fillId="0" borderId="0" xfId="0" applyFont="1" applyAlignment="1">
      <alignment vertical="top" wrapText="1"/>
    </xf>
    <xf numFmtId="0" fontId="4" fillId="3" borderId="1" xfId="0" applyFont="1" applyFill="1" applyBorder="1"/>
    <xf numFmtId="0" fontId="0" fillId="3" borderId="1" xfId="0" applyFill="1" applyBorder="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showGridLines="0" tabSelected="1" workbookViewId="0"/>
  </sheetViews>
  <sheetFormatPr defaultRowHeight="15" x14ac:dyDescent="0.25"/>
  <cols>
    <col min="1" max="1" width="100" customWidth="1"/>
    <col min="2" max="6" width="8" customWidth="1"/>
  </cols>
  <sheetData>
    <row r="1" spans="1:8" ht="18" x14ac:dyDescent="0.25">
      <c r="A1" s="1" t="s">
        <v>0</v>
      </c>
    </row>
    <row r="2" spans="1:8" x14ac:dyDescent="0.25">
      <c r="A2" s="2" t="s">
        <v>1</v>
      </c>
    </row>
    <row r="4" spans="1:8" x14ac:dyDescent="0.25">
      <c r="A4" s="21" t="s">
        <v>2</v>
      </c>
      <c r="B4" s="20"/>
      <c r="C4" s="20"/>
      <c r="D4" s="20"/>
      <c r="E4" s="20"/>
      <c r="F4" s="20"/>
      <c r="G4" s="20"/>
      <c r="H4" s="20"/>
    </row>
    <row r="5" spans="1:8" ht="39.950000000000003" customHeight="1" x14ac:dyDescent="0.25">
      <c r="A5" s="19" t="s">
        <v>3</v>
      </c>
      <c r="B5" s="20"/>
      <c r="C5" s="20"/>
      <c r="D5" s="20"/>
      <c r="E5" s="20"/>
      <c r="F5" s="20"/>
      <c r="G5" s="20"/>
      <c r="H5" s="20"/>
    </row>
    <row r="6" spans="1:8" x14ac:dyDescent="0.25">
      <c r="A6" s="19"/>
      <c r="B6" s="20"/>
      <c r="C6" s="20"/>
      <c r="D6" s="20"/>
      <c r="E6" s="20"/>
      <c r="F6" s="20"/>
      <c r="G6" s="20"/>
      <c r="H6" s="20"/>
    </row>
    <row r="7" spans="1:8" x14ac:dyDescent="0.25">
      <c r="A7" s="21" t="s">
        <v>4</v>
      </c>
      <c r="B7" s="20"/>
      <c r="C7" s="20"/>
      <c r="D7" s="20"/>
      <c r="E7" s="20"/>
      <c r="F7" s="20"/>
      <c r="G7" s="20"/>
      <c r="H7" s="20"/>
    </row>
    <row r="8" spans="1:8" ht="39.950000000000003" customHeight="1" x14ac:dyDescent="0.25">
      <c r="A8" s="19" t="s">
        <v>5</v>
      </c>
      <c r="B8" s="20"/>
      <c r="C8" s="20"/>
      <c r="D8" s="20"/>
      <c r="E8" s="20"/>
      <c r="F8" s="20"/>
      <c r="G8" s="20"/>
      <c r="H8" s="20"/>
    </row>
    <row r="9" spans="1:8" ht="39.950000000000003" customHeight="1" x14ac:dyDescent="0.25">
      <c r="A9" s="19" t="s">
        <v>6</v>
      </c>
      <c r="B9" s="20"/>
      <c r="C9" s="20"/>
      <c r="D9" s="20"/>
      <c r="E9" s="20"/>
      <c r="F9" s="20"/>
      <c r="G9" s="20"/>
      <c r="H9" s="20"/>
    </row>
    <row r="10" spans="1:8" ht="39.950000000000003" customHeight="1" x14ac:dyDescent="0.25">
      <c r="A10" s="19" t="s">
        <v>7</v>
      </c>
      <c r="B10" s="20"/>
      <c r="C10" s="20"/>
      <c r="D10" s="20"/>
      <c r="E10" s="20"/>
      <c r="F10" s="20"/>
      <c r="G10" s="20"/>
      <c r="H10" s="20"/>
    </row>
    <row r="11" spans="1:8" ht="39.950000000000003" customHeight="1" x14ac:dyDescent="0.25">
      <c r="A11" s="19" t="s">
        <v>8</v>
      </c>
      <c r="B11" s="20"/>
      <c r="C11" s="20"/>
      <c r="D11" s="20"/>
      <c r="E11" s="20"/>
      <c r="F11" s="20"/>
      <c r="G11" s="20"/>
      <c r="H11" s="20"/>
    </row>
    <row r="12" spans="1:8" x14ac:dyDescent="0.25">
      <c r="A12" s="19"/>
      <c r="B12" s="20"/>
      <c r="C12" s="20"/>
      <c r="D12" s="20"/>
      <c r="E12" s="20"/>
      <c r="F12" s="20"/>
      <c r="G12" s="20"/>
      <c r="H12" s="20"/>
    </row>
    <row r="13" spans="1:8" x14ac:dyDescent="0.25">
      <c r="A13" s="21" t="s">
        <v>9</v>
      </c>
      <c r="B13" s="20"/>
      <c r="C13" s="20"/>
      <c r="D13" s="20"/>
      <c r="E13" s="20"/>
      <c r="F13" s="20"/>
      <c r="G13" s="20"/>
      <c r="H13" s="20"/>
    </row>
    <row r="14" spans="1:8" ht="39.950000000000003" customHeight="1" x14ac:dyDescent="0.25">
      <c r="A14" s="19" t="s">
        <v>10</v>
      </c>
      <c r="B14" s="20"/>
      <c r="C14" s="20"/>
      <c r="D14" s="20"/>
      <c r="E14" s="20"/>
      <c r="F14" s="20"/>
      <c r="G14" s="20"/>
      <c r="H14" s="20"/>
    </row>
    <row r="15" spans="1:8" ht="39.950000000000003" customHeight="1" x14ac:dyDescent="0.25">
      <c r="A15" s="19" t="s">
        <v>11</v>
      </c>
      <c r="B15" s="20"/>
      <c r="C15" s="20"/>
      <c r="D15" s="20"/>
      <c r="E15" s="20"/>
      <c r="F15" s="20"/>
      <c r="G15" s="20"/>
      <c r="H15" s="20"/>
    </row>
    <row r="16" spans="1:8" ht="39.950000000000003" customHeight="1" x14ac:dyDescent="0.25">
      <c r="A16" s="19" t="s">
        <v>12</v>
      </c>
      <c r="B16" s="20"/>
      <c r="C16" s="20"/>
      <c r="D16" s="20"/>
      <c r="E16" s="20"/>
      <c r="F16" s="20"/>
      <c r="G16" s="20"/>
      <c r="H16" s="20"/>
    </row>
    <row r="18" spans="1:6" x14ac:dyDescent="0.25">
      <c r="A18" s="3" t="s">
        <v>13</v>
      </c>
    </row>
    <row r="19" spans="1:6" x14ac:dyDescent="0.25">
      <c r="A19" s="4" t="s">
        <v>14</v>
      </c>
      <c r="B19" s="4" t="s">
        <v>15</v>
      </c>
      <c r="C19" s="4" t="s">
        <v>16</v>
      </c>
      <c r="D19" s="4" t="s">
        <v>17</v>
      </c>
      <c r="E19" s="4" t="s">
        <v>18</v>
      </c>
      <c r="F19" s="4" t="s">
        <v>19</v>
      </c>
    </row>
    <row r="20" spans="1:6" x14ac:dyDescent="0.25">
      <c r="A20" s="5" t="s">
        <v>20</v>
      </c>
      <c r="B20" s="6">
        <f>COUNTIF('Facility Head (F1)'!$E$4:$E$200,$A20)</f>
        <v>14</v>
      </c>
      <c r="C20" s="6">
        <f>COUNTIF('HCW (F2)'!$E$4:$E$200,$A20)</f>
        <v>8</v>
      </c>
      <c r="D20" s="6">
        <f>COUNTIF('Patient (F3)'!$E$4:$E$200,$A20)</f>
        <v>26</v>
      </c>
      <c r="E20" s="6">
        <f>COUNTIF('Household (F4)'!$E$4:$E$200,$A20)</f>
        <v>29</v>
      </c>
      <c r="F20" s="7">
        <f t="shared" ref="F20:F25" si="0">SUM(B20:E20)</f>
        <v>77</v>
      </c>
    </row>
    <row r="21" spans="1:6" x14ac:dyDescent="0.25">
      <c r="A21" s="5" t="s">
        <v>21</v>
      </c>
      <c r="B21" s="6">
        <f>COUNTIF('Facility Head (F1)'!$E$4:$E$200,$A21)</f>
        <v>0</v>
      </c>
      <c r="C21" s="6">
        <f>COUNTIF('HCW (F2)'!$E$4:$E$200,$A21)</f>
        <v>0</v>
      </c>
      <c r="D21" s="6">
        <f>COUNTIF('Patient (F3)'!$E$4:$E$200,$A21)</f>
        <v>2</v>
      </c>
      <c r="E21" s="6">
        <f>COUNTIF('Household (F4)'!$E$4:$E$200,$A21)</f>
        <v>0</v>
      </c>
      <c r="F21" s="7">
        <f t="shared" si="0"/>
        <v>2</v>
      </c>
    </row>
    <row r="22" spans="1:6" x14ac:dyDescent="0.25">
      <c r="A22" s="8" t="s">
        <v>22</v>
      </c>
      <c r="B22" s="6">
        <f>COUNTIF('Facility Head (F1)'!$E$4:$E$200,$A22)</f>
        <v>1</v>
      </c>
      <c r="C22" s="6">
        <f>COUNTIF('HCW (F2)'!$E$4:$E$200,$A22)</f>
        <v>0</v>
      </c>
      <c r="D22" s="6">
        <f>COUNTIF('Patient (F3)'!$E$4:$E$200,$A22)</f>
        <v>1</v>
      </c>
      <c r="E22" s="6">
        <f>COUNTIF('Household (F4)'!$E$4:$E$200,$A22)</f>
        <v>0</v>
      </c>
      <c r="F22" s="7">
        <f t="shared" si="0"/>
        <v>2</v>
      </c>
    </row>
    <row r="23" spans="1:6" x14ac:dyDescent="0.25">
      <c r="A23" s="9" t="s">
        <v>23</v>
      </c>
      <c r="B23" s="6">
        <f>COUNTIF('Facility Head (F1)'!$E$4:$E$200,$A23)</f>
        <v>1</v>
      </c>
      <c r="C23" s="6">
        <f>COUNTIF('HCW (F2)'!$E$4:$E$200,$A23)</f>
        <v>0</v>
      </c>
      <c r="D23" s="6">
        <f>COUNTIF('Patient (F3)'!$E$4:$E$200,$A23)</f>
        <v>1</v>
      </c>
      <c r="E23" s="6">
        <f>COUNTIF('Household (F4)'!$E$4:$E$200,$A23)</f>
        <v>2</v>
      </c>
      <c r="F23" s="7">
        <f t="shared" si="0"/>
        <v>4</v>
      </c>
    </row>
    <row r="24" spans="1:6" x14ac:dyDescent="0.25">
      <c r="A24" s="10" t="s">
        <v>24</v>
      </c>
      <c r="B24" s="6">
        <f>COUNTIF('Facility Head (F1)'!$E$4:$E$200,$A24)</f>
        <v>0</v>
      </c>
      <c r="C24" s="6">
        <f>COUNTIF('HCW (F2)'!$E$4:$E$200,$A24)</f>
        <v>0</v>
      </c>
      <c r="D24" s="6">
        <f>COUNTIF('Patient (F3)'!$E$4:$E$200,$A24)</f>
        <v>1</v>
      </c>
      <c r="E24" s="6">
        <f>COUNTIF('Household (F4)'!$E$4:$E$200,$A24)</f>
        <v>0</v>
      </c>
      <c r="F24" s="7">
        <f t="shared" si="0"/>
        <v>1</v>
      </c>
    </row>
    <row r="25" spans="1:6" x14ac:dyDescent="0.25">
      <c r="A25" s="11" t="s">
        <v>25</v>
      </c>
      <c r="B25" s="7">
        <f>SUM(B20:B24)</f>
        <v>16</v>
      </c>
      <c r="C25" s="7">
        <f>SUM(C20:C24)</f>
        <v>8</v>
      </c>
      <c r="D25" s="7">
        <f>SUM(D20:D24)</f>
        <v>31</v>
      </c>
      <c r="E25" s="7">
        <f>SUM(E20:E24)</f>
        <v>31</v>
      </c>
      <c r="F25" s="7">
        <f t="shared" si="0"/>
        <v>86</v>
      </c>
    </row>
  </sheetData>
  <mergeCells count="13">
    <mergeCell ref="A16:H16"/>
    <mergeCell ref="A10:H10"/>
    <mergeCell ref="A13:H13"/>
    <mergeCell ref="A11:H11"/>
    <mergeCell ref="A14:H14"/>
    <mergeCell ref="A9:H9"/>
    <mergeCell ref="A4:H4"/>
    <mergeCell ref="A12:H12"/>
    <mergeCell ref="A15:H15"/>
    <mergeCell ref="A7:H7"/>
    <mergeCell ref="A5:H5"/>
    <mergeCell ref="A8:H8"/>
    <mergeCell ref="A6:H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showGridLines="0" workbookViewId="0">
      <pane ySplit="3" topLeftCell="A4" activePane="bottomLeft" state="frozen"/>
      <selection pane="bottomLeft"/>
    </sheetView>
  </sheetViews>
  <sheetFormatPr defaultRowHeight="15" x14ac:dyDescent="0.25"/>
  <cols>
    <col min="1" max="1" width="24" customWidth="1"/>
    <col min="2" max="2" width="56" customWidth="1"/>
    <col min="3" max="3" width="20" customWidth="1"/>
    <col min="4" max="4" width="62" customWidth="1"/>
    <col min="5" max="5" width="20" customWidth="1"/>
    <col min="6" max="6" width="14" customWidth="1"/>
  </cols>
  <sheetData>
    <row r="1" spans="1:6" ht="16.5" x14ac:dyDescent="0.25">
      <c r="A1" s="25" t="s">
        <v>26</v>
      </c>
      <c r="B1" s="20"/>
      <c r="C1" s="20"/>
      <c r="D1" s="20"/>
      <c r="E1" s="20"/>
      <c r="F1" s="20"/>
    </row>
    <row r="2" spans="1:6" ht="24" customHeight="1" x14ac:dyDescent="0.25">
      <c r="A2" s="24" t="s">
        <v>27</v>
      </c>
      <c r="B2" s="20"/>
      <c r="C2" s="20"/>
      <c r="D2" s="20"/>
      <c r="E2" s="20"/>
      <c r="F2" s="20"/>
    </row>
    <row r="3" spans="1:6" x14ac:dyDescent="0.25">
      <c r="A3" s="12" t="s">
        <v>28</v>
      </c>
      <c r="B3" s="12" t="s">
        <v>29</v>
      </c>
      <c r="C3" s="12" t="s">
        <v>30</v>
      </c>
      <c r="D3" s="12" t="s">
        <v>31</v>
      </c>
      <c r="E3" s="12" t="s">
        <v>14</v>
      </c>
      <c r="F3" s="12" t="s">
        <v>32</v>
      </c>
    </row>
    <row r="4" spans="1:6" x14ac:dyDescent="0.25">
      <c r="A4" s="22" t="s">
        <v>33</v>
      </c>
      <c r="B4" s="23"/>
      <c r="C4" s="23"/>
      <c r="D4" s="23"/>
      <c r="E4" s="23"/>
      <c r="F4" s="23"/>
    </row>
    <row r="5" spans="1:6" ht="50.1" customHeight="1" x14ac:dyDescent="0.25">
      <c r="A5" s="13" t="s">
        <v>34</v>
      </c>
      <c r="B5" s="13" t="s">
        <v>35</v>
      </c>
      <c r="C5" s="13"/>
      <c r="D5" s="13" t="s">
        <v>36</v>
      </c>
      <c r="E5" s="14" t="s">
        <v>22</v>
      </c>
      <c r="F5" s="13" t="s">
        <v>37</v>
      </c>
    </row>
    <row r="6" spans="1:6" ht="37.5" customHeight="1" x14ac:dyDescent="0.25">
      <c r="A6" s="13" t="s">
        <v>38</v>
      </c>
      <c r="B6" s="13" t="s">
        <v>39</v>
      </c>
      <c r="C6" s="13" t="s">
        <v>40</v>
      </c>
      <c r="D6" s="13" t="s">
        <v>41</v>
      </c>
      <c r="E6" s="15" t="s">
        <v>20</v>
      </c>
      <c r="F6" s="13" t="s">
        <v>42</v>
      </c>
    </row>
    <row r="7" spans="1:6" ht="87.6" customHeight="1" x14ac:dyDescent="0.25">
      <c r="A7" s="13" t="s">
        <v>43</v>
      </c>
      <c r="B7" s="13" t="s">
        <v>44</v>
      </c>
      <c r="C7" s="13" t="s">
        <v>45</v>
      </c>
      <c r="D7" s="13" t="s">
        <v>46</v>
      </c>
      <c r="E7" s="16" t="s">
        <v>23</v>
      </c>
      <c r="F7" s="13" t="s">
        <v>47</v>
      </c>
    </row>
    <row r="8" spans="1:6" ht="37.5" customHeight="1" x14ac:dyDescent="0.25">
      <c r="A8" s="13" t="s">
        <v>48</v>
      </c>
      <c r="B8" s="13" t="s">
        <v>49</v>
      </c>
      <c r="C8" s="13" t="s">
        <v>40</v>
      </c>
      <c r="D8" s="13" t="s">
        <v>50</v>
      </c>
      <c r="E8" s="15" t="s">
        <v>20</v>
      </c>
      <c r="F8" s="13" t="s">
        <v>51</v>
      </c>
    </row>
    <row r="9" spans="1:6" ht="50.1" customHeight="1" x14ac:dyDescent="0.25">
      <c r="A9" s="13" t="s">
        <v>52</v>
      </c>
      <c r="B9" s="13" t="s">
        <v>53</v>
      </c>
      <c r="C9" s="13" t="s">
        <v>40</v>
      </c>
      <c r="D9" s="13" t="s">
        <v>54</v>
      </c>
      <c r="E9" s="15" t="s">
        <v>20</v>
      </c>
      <c r="F9" s="13" t="s">
        <v>55</v>
      </c>
    </row>
    <row r="10" spans="1:6" ht="50.1" customHeight="1" x14ac:dyDescent="0.25">
      <c r="A10" s="13" t="s">
        <v>56</v>
      </c>
      <c r="B10" s="13" t="s">
        <v>57</v>
      </c>
      <c r="C10" s="13" t="s">
        <v>40</v>
      </c>
      <c r="D10" s="13" t="s">
        <v>58</v>
      </c>
      <c r="E10" s="15" t="s">
        <v>20</v>
      </c>
      <c r="F10" s="13" t="s">
        <v>59</v>
      </c>
    </row>
    <row r="11" spans="1:6" ht="37.5" customHeight="1" x14ac:dyDescent="0.25">
      <c r="A11" s="13" t="s">
        <v>60</v>
      </c>
      <c r="B11" s="13" t="s">
        <v>61</v>
      </c>
      <c r="C11" s="13" t="s">
        <v>40</v>
      </c>
      <c r="D11" s="13" t="s">
        <v>62</v>
      </c>
      <c r="E11" s="15" t="s">
        <v>20</v>
      </c>
      <c r="F11" s="13" t="s">
        <v>63</v>
      </c>
    </row>
    <row r="12" spans="1:6" ht="37.5" customHeight="1" x14ac:dyDescent="0.25">
      <c r="A12" s="13" t="s">
        <v>64</v>
      </c>
      <c r="B12" s="13" t="s">
        <v>65</v>
      </c>
      <c r="C12" s="13" t="s">
        <v>40</v>
      </c>
      <c r="D12" s="13" t="s">
        <v>66</v>
      </c>
      <c r="E12" s="15" t="s">
        <v>20</v>
      </c>
      <c r="F12" s="13" t="s">
        <v>67</v>
      </c>
    </row>
    <row r="13" spans="1:6" ht="50.1" customHeight="1" x14ac:dyDescent="0.25">
      <c r="A13" s="13" t="s">
        <v>68</v>
      </c>
      <c r="B13" s="13" t="s">
        <v>69</v>
      </c>
      <c r="C13" s="13" t="s">
        <v>40</v>
      </c>
      <c r="D13" s="13" t="s">
        <v>70</v>
      </c>
      <c r="E13" s="15" t="s">
        <v>20</v>
      </c>
      <c r="F13" s="13" t="s">
        <v>71</v>
      </c>
    </row>
    <row r="14" spans="1:6" ht="62.45" customHeight="1" x14ac:dyDescent="0.25">
      <c r="A14" s="13" t="s">
        <v>72</v>
      </c>
      <c r="B14" s="13" t="s">
        <v>73</v>
      </c>
      <c r="C14" s="13" t="s">
        <v>40</v>
      </c>
      <c r="D14" s="13" t="s">
        <v>74</v>
      </c>
      <c r="E14" s="15" t="s">
        <v>20</v>
      </c>
      <c r="F14" s="13" t="s">
        <v>75</v>
      </c>
    </row>
    <row r="15" spans="1:6" ht="125.1" customHeight="1" x14ac:dyDescent="0.25">
      <c r="A15" s="13" t="s">
        <v>76</v>
      </c>
      <c r="B15" s="13" t="s">
        <v>77</v>
      </c>
      <c r="C15" s="13" t="s">
        <v>40</v>
      </c>
      <c r="D15" s="13" t="s">
        <v>78</v>
      </c>
      <c r="E15" s="15" t="s">
        <v>20</v>
      </c>
      <c r="F15" s="13" t="s">
        <v>79</v>
      </c>
    </row>
    <row r="16" spans="1:6" ht="37.5" customHeight="1" x14ac:dyDescent="0.25">
      <c r="A16" s="13" t="s">
        <v>80</v>
      </c>
      <c r="B16" s="13" t="s">
        <v>81</v>
      </c>
      <c r="C16" s="13" t="s">
        <v>40</v>
      </c>
      <c r="D16" s="13" t="s">
        <v>82</v>
      </c>
      <c r="E16" s="15" t="s">
        <v>20</v>
      </c>
      <c r="F16" s="13" t="s">
        <v>83</v>
      </c>
    </row>
    <row r="17" spans="1:6" ht="50.1" customHeight="1" x14ac:dyDescent="0.25">
      <c r="A17" s="13" t="s">
        <v>84</v>
      </c>
      <c r="B17" s="13" t="s">
        <v>85</v>
      </c>
      <c r="C17" s="13" t="s">
        <v>40</v>
      </c>
      <c r="D17" s="13" t="s">
        <v>86</v>
      </c>
      <c r="E17" s="15" t="s">
        <v>20</v>
      </c>
      <c r="F17" s="13" t="s">
        <v>87</v>
      </c>
    </row>
    <row r="18" spans="1:6" ht="50.1" customHeight="1" x14ac:dyDescent="0.25">
      <c r="A18" s="13" t="s">
        <v>88</v>
      </c>
      <c r="B18" s="13" t="s">
        <v>89</v>
      </c>
      <c r="C18" s="13" t="s">
        <v>40</v>
      </c>
      <c r="D18" s="13" t="s">
        <v>90</v>
      </c>
      <c r="E18" s="15" t="s">
        <v>20</v>
      </c>
      <c r="F18" s="13" t="s">
        <v>91</v>
      </c>
    </row>
    <row r="19" spans="1:6" ht="37.5" customHeight="1" x14ac:dyDescent="0.25">
      <c r="A19" s="13" t="s">
        <v>92</v>
      </c>
      <c r="B19" s="13" t="s">
        <v>93</v>
      </c>
      <c r="C19" s="13" t="s">
        <v>40</v>
      </c>
      <c r="D19" s="13" t="s">
        <v>94</v>
      </c>
      <c r="E19" s="15" t="s">
        <v>20</v>
      </c>
      <c r="F19" s="13" t="s">
        <v>95</v>
      </c>
    </row>
    <row r="20" spans="1:6" x14ac:dyDescent="0.25">
      <c r="A20" s="22" t="s">
        <v>96</v>
      </c>
      <c r="B20" s="23"/>
      <c r="C20" s="23"/>
      <c r="D20" s="23"/>
      <c r="E20" s="23"/>
      <c r="F20" s="23"/>
    </row>
    <row r="21" spans="1:6" ht="162.6" customHeight="1" x14ac:dyDescent="0.25">
      <c r="A21" s="13" t="s">
        <v>97</v>
      </c>
      <c r="B21" s="13" t="s">
        <v>98</v>
      </c>
      <c r="C21" s="13" t="s">
        <v>99</v>
      </c>
      <c r="D21" s="13" t="s">
        <v>100</v>
      </c>
      <c r="E21" s="15" t="s">
        <v>20</v>
      </c>
      <c r="F21" s="13" t="s">
        <v>101</v>
      </c>
    </row>
  </sheetData>
  <autoFilter ref="A3:F21" xr:uid="{00000000-0009-0000-0000-000001000000}"/>
  <mergeCells count="4">
    <mergeCell ref="A20:F20"/>
    <mergeCell ref="A2:F2"/>
    <mergeCell ref="A1:F1"/>
    <mergeCell ref="A4:F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showGridLines="0" workbookViewId="0">
      <pane ySplit="3" topLeftCell="A4" activePane="bottomLeft" state="frozen"/>
      <selection pane="bottomLeft"/>
    </sheetView>
  </sheetViews>
  <sheetFormatPr defaultRowHeight="15" x14ac:dyDescent="0.25"/>
  <cols>
    <col min="1" max="1" width="24" customWidth="1"/>
    <col min="2" max="2" width="56" customWidth="1"/>
    <col min="3" max="3" width="20" customWidth="1"/>
    <col min="4" max="4" width="62" customWidth="1"/>
    <col min="5" max="5" width="20" customWidth="1"/>
    <col min="6" max="6" width="14" customWidth="1"/>
  </cols>
  <sheetData>
    <row r="1" spans="1:6" ht="16.5" x14ac:dyDescent="0.25">
      <c r="A1" s="25" t="s">
        <v>102</v>
      </c>
      <c r="B1" s="20"/>
      <c r="C1" s="20"/>
      <c r="D1" s="20"/>
      <c r="E1" s="20"/>
      <c r="F1" s="20"/>
    </row>
    <row r="2" spans="1:6" ht="24" customHeight="1" x14ac:dyDescent="0.25">
      <c r="A2" s="24" t="s">
        <v>103</v>
      </c>
      <c r="B2" s="20"/>
      <c r="C2" s="20"/>
      <c r="D2" s="20"/>
      <c r="E2" s="20"/>
      <c r="F2" s="20"/>
    </row>
    <row r="3" spans="1:6" x14ac:dyDescent="0.25">
      <c r="A3" s="12" t="s">
        <v>28</v>
      </c>
      <c r="B3" s="12" t="s">
        <v>29</v>
      </c>
      <c r="C3" s="12" t="s">
        <v>30</v>
      </c>
      <c r="D3" s="12" t="s">
        <v>31</v>
      </c>
      <c r="E3" s="12" t="s">
        <v>14</v>
      </c>
      <c r="F3" s="12" t="s">
        <v>32</v>
      </c>
    </row>
    <row r="4" spans="1:6" x14ac:dyDescent="0.25">
      <c r="A4" s="22" t="s">
        <v>33</v>
      </c>
      <c r="B4" s="23"/>
      <c r="C4" s="23"/>
      <c r="D4" s="23"/>
      <c r="E4" s="23"/>
      <c r="F4" s="23"/>
    </row>
    <row r="5" spans="1:6" ht="24.95" customHeight="1" x14ac:dyDescent="0.25">
      <c r="A5" s="13" t="s">
        <v>104</v>
      </c>
      <c r="B5" s="13" t="s">
        <v>105</v>
      </c>
      <c r="C5" s="13" t="s">
        <v>40</v>
      </c>
      <c r="D5" s="13" t="s">
        <v>106</v>
      </c>
      <c r="E5" s="15" t="s">
        <v>20</v>
      </c>
      <c r="F5" s="13" t="s">
        <v>107</v>
      </c>
    </row>
    <row r="6" spans="1:6" ht="24.95" customHeight="1" x14ac:dyDescent="0.25">
      <c r="A6" s="13" t="s">
        <v>108</v>
      </c>
      <c r="B6" s="13" t="s">
        <v>109</v>
      </c>
      <c r="C6" s="13" t="s">
        <v>40</v>
      </c>
      <c r="D6" s="13" t="s">
        <v>110</v>
      </c>
      <c r="E6" s="15" t="s">
        <v>20</v>
      </c>
      <c r="F6" s="13" t="s">
        <v>107</v>
      </c>
    </row>
    <row r="7" spans="1:6" ht="24.95" customHeight="1" x14ac:dyDescent="0.25">
      <c r="A7" s="13" t="s">
        <v>111</v>
      </c>
      <c r="B7" s="13" t="s">
        <v>112</v>
      </c>
      <c r="C7" s="13" t="s">
        <v>40</v>
      </c>
      <c r="D7" s="13" t="s">
        <v>113</v>
      </c>
      <c r="E7" s="15" t="s">
        <v>20</v>
      </c>
      <c r="F7" s="13" t="s">
        <v>114</v>
      </c>
    </row>
    <row r="8" spans="1:6" ht="24.95" customHeight="1" x14ac:dyDescent="0.25">
      <c r="A8" s="13" t="s">
        <v>115</v>
      </c>
      <c r="B8" s="13" t="s">
        <v>116</v>
      </c>
      <c r="C8" s="13" t="s">
        <v>40</v>
      </c>
      <c r="D8" s="13" t="s">
        <v>117</v>
      </c>
      <c r="E8" s="15" t="s">
        <v>20</v>
      </c>
      <c r="F8" s="13" t="s">
        <v>118</v>
      </c>
    </row>
    <row r="9" spans="1:6" ht="24.95" customHeight="1" x14ac:dyDescent="0.25">
      <c r="A9" s="13" t="s">
        <v>119</v>
      </c>
      <c r="B9" s="13" t="s">
        <v>120</v>
      </c>
      <c r="C9" s="13" t="s">
        <v>40</v>
      </c>
      <c r="D9" s="13" t="s">
        <v>121</v>
      </c>
      <c r="E9" s="15" t="s">
        <v>20</v>
      </c>
      <c r="F9" s="13" t="s">
        <v>122</v>
      </c>
    </row>
    <row r="10" spans="1:6" ht="62.45" customHeight="1" x14ac:dyDescent="0.25">
      <c r="A10" s="13" t="s">
        <v>123</v>
      </c>
      <c r="B10" s="13" t="s">
        <v>124</v>
      </c>
      <c r="C10" s="13" t="s">
        <v>40</v>
      </c>
      <c r="D10" s="13" t="s">
        <v>125</v>
      </c>
      <c r="E10" s="15" t="s">
        <v>20</v>
      </c>
      <c r="F10" s="13" t="s">
        <v>126</v>
      </c>
    </row>
    <row r="11" spans="1:6" ht="87.6" customHeight="1" x14ac:dyDescent="0.25">
      <c r="A11" s="13" t="s">
        <v>127</v>
      </c>
      <c r="B11" s="13" t="s">
        <v>128</v>
      </c>
      <c r="C11" s="13" t="s">
        <v>40</v>
      </c>
      <c r="D11" s="13" t="s">
        <v>129</v>
      </c>
      <c r="E11" s="15" t="s">
        <v>20</v>
      </c>
      <c r="F11" s="13" t="s">
        <v>130</v>
      </c>
    </row>
    <row r="12" spans="1:6" ht="37.5" customHeight="1" x14ac:dyDescent="0.25">
      <c r="A12" s="13" t="s">
        <v>131</v>
      </c>
      <c r="B12" s="13" t="s">
        <v>132</v>
      </c>
      <c r="C12" s="13" t="s">
        <v>40</v>
      </c>
      <c r="D12" s="13" t="s">
        <v>133</v>
      </c>
      <c r="E12" s="15" t="s">
        <v>20</v>
      </c>
      <c r="F12" s="13" t="s">
        <v>134</v>
      </c>
    </row>
    <row r="13" spans="1:6" x14ac:dyDescent="0.25">
      <c r="A13" s="22" t="s">
        <v>96</v>
      </c>
      <c r="B13" s="23"/>
      <c r="C13" s="23"/>
      <c r="D13" s="23"/>
      <c r="E13" s="23"/>
      <c r="F13" s="23"/>
    </row>
    <row r="14" spans="1:6" ht="24.95" customHeight="1" x14ac:dyDescent="0.25">
      <c r="A14" s="13" t="s">
        <v>135</v>
      </c>
      <c r="B14" s="13" t="s">
        <v>136</v>
      </c>
      <c r="C14" s="13" t="s">
        <v>135</v>
      </c>
      <c r="D14" s="13" t="s">
        <v>137</v>
      </c>
      <c r="E14" s="17"/>
      <c r="F14" s="13" t="s">
        <v>59</v>
      </c>
    </row>
  </sheetData>
  <autoFilter ref="A3:F14" xr:uid="{00000000-0009-0000-0000-000002000000}"/>
  <mergeCells count="4">
    <mergeCell ref="A13:F13"/>
    <mergeCell ref="A2:F2"/>
    <mergeCell ref="A1:F1"/>
    <mergeCell ref="A4:F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showGridLines="0" workbookViewId="0">
      <pane ySplit="3" topLeftCell="A4" activePane="bottomLeft" state="frozen"/>
      <selection pane="bottomLeft"/>
    </sheetView>
  </sheetViews>
  <sheetFormatPr defaultRowHeight="15" x14ac:dyDescent="0.25"/>
  <cols>
    <col min="1" max="1" width="24" customWidth="1"/>
    <col min="2" max="2" width="56" customWidth="1"/>
    <col min="3" max="3" width="20" customWidth="1"/>
    <col min="4" max="4" width="62" customWidth="1"/>
    <col min="5" max="5" width="20" customWidth="1"/>
    <col min="6" max="6" width="14" customWidth="1"/>
  </cols>
  <sheetData>
    <row r="1" spans="1:6" ht="16.5" x14ac:dyDescent="0.25">
      <c r="A1" s="25" t="s">
        <v>138</v>
      </c>
      <c r="B1" s="20"/>
      <c r="C1" s="20"/>
      <c r="D1" s="20"/>
      <c r="E1" s="20"/>
      <c r="F1" s="20"/>
    </row>
    <row r="2" spans="1:6" ht="24" customHeight="1" x14ac:dyDescent="0.25">
      <c r="A2" s="24" t="s">
        <v>139</v>
      </c>
      <c r="B2" s="20"/>
      <c r="C2" s="20"/>
      <c r="D2" s="20"/>
      <c r="E2" s="20"/>
      <c r="F2" s="20"/>
    </row>
    <row r="3" spans="1:6" x14ac:dyDescent="0.25">
      <c r="A3" s="12" t="s">
        <v>28</v>
      </c>
      <c r="B3" s="12" t="s">
        <v>29</v>
      </c>
      <c r="C3" s="12" t="s">
        <v>30</v>
      </c>
      <c r="D3" s="12" t="s">
        <v>31</v>
      </c>
      <c r="E3" s="12" t="s">
        <v>14</v>
      </c>
      <c r="F3" s="12" t="s">
        <v>32</v>
      </c>
    </row>
    <row r="4" spans="1:6" x14ac:dyDescent="0.25">
      <c r="A4" s="22" t="s">
        <v>33</v>
      </c>
      <c r="B4" s="23"/>
      <c r="C4" s="23"/>
      <c r="D4" s="23"/>
      <c r="E4" s="23"/>
      <c r="F4" s="23"/>
    </row>
    <row r="5" spans="1:6" ht="50.1" customHeight="1" x14ac:dyDescent="0.25">
      <c r="A5" s="13" t="s">
        <v>34</v>
      </c>
      <c r="B5" s="13" t="s">
        <v>140</v>
      </c>
      <c r="C5" s="13"/>
      <c r="D5" s="13" t="s">
        <v>141</v>
      </c>
      <c r="E5" s="14" t="s">
        <v>22</v>
      </c>
      <c r="F5" s="13" t="s">
        <v>59</v>
      </c>
    </row>
    <row r="6" spans="1:6" ht="37.5" customHeight="1" x14ac:dyDescent="0.25">
      <c r="A6" s="13" t="s">
        <v>38</v>
      </c>
      <c r="B6" s="13" t="s">
        <v>39</v>
      </c>
      <c r="C6" s="13" t="s">
        <v>40</v>
      </c>
      <c r="D6" s="13" t="s">
        <v>142</v>
      </c>
      <c r="E6" s="15" t="s">
        <v>20</v>
      </c>
      <c r="F6" s="13" t="s">
        <v>143</v>
      </c>
    </row>
    <row r="7" spans="1:6" ht="87.6" customHeight="1" x14ac:dyDescent="0.25">
      <c r="A7" s="13" t="s">
        <v>43</v>
      </c>
      <c r="B7" s="13" t="s">
        <v>44</v>
      </c>
      <c r="C7" s="13" t="s">
        <v>45</v>
      </c>
      <c r="D7" s="13" t="s">
        <v>46</v>
      </c>
      <c r="E7" s="16" t="s">
        <v>23</v>
      </c>
      <c r="F7" s="13" t="s">
        <v>47</v>
      </c>
    </row>
    <row r="8" spans="1:6" ht="200.1" customHeight="1" x14ac:dyDescent="0.25">
      <c r="A8" s="13" t="s">
        <v>144</v>
      </c>
      <c r="B8" s="13" t="s">
        <v>145</v>
      </c>
      <c r="C8" s="13" t="s">
        <v>40</v>
      </c>
      <c r="D8" s="13" t="s">
        <v>146</v>
      </c>
      <c r="E8" s="15" t="s">
        <v>20</v>
      </c>
      <c r="F8" s="13" t="s">
        <v>147</v>
      </c>
    </row>
    <row r="9" spans="1:6" ht="150" customHeight="1" x14ac:dyDescent="0.25">
      <c r="A9" s="13" t="s">
        <v>148</v>
      </c>
      <c r="B9" s="13" t="s">
        <v>149</v>
      </c>
      <c r="C9" s="13" t="s">
        <v>40</v>
      </c>
      <c r="D9" s="13" t="s">
        <v>150</v>
      </c>
      <c r="E9" s="15" t="s">
        <v>20</v>
      </c>
      <c r="F9" s="13" t="s">
        <v>151</v>
      </c>
    </row>
    <row r="10" spans="1:6" ht="125.1" customHeight="1" x14ac:dyDescent="0.25">
      <c r="A10" s="13" t="s">
        <v>152</v>
      </c>
      <c r="B10" s="13" t="s">
        <v>149</v>
      </c>
      <c r="C10" s="13" t="s">
        <v>40</v>
      </c>
      <c r="D10" s="13" t="s">
        <v>153</v>
      </c>
      <c r="E10" s="15" t="s">
        <v>20</v>
      </c>
      <c r="F10" s="13" t="s">
        <v>154</v>
      </c>
    </row>
    <row r="11" spans="1:6" ht="137.44999999999999" customHeight="1" x14ac:dyDescent="0.25">
      <c r="A11" s="13" t="s">
        <v>155</v>
      </c>
      <c r="B11" s="13" t="s">
        <v>149</v>
      </c>
      <c r="C11" s="13" t="s">
        <v>40</v>
      </c>
      <c r="D11" s="13" t="s">
        <v>156</v>
      </c>
      <c r="E11" s="15" t="s">
        <v>20</v>
      </c>
      <c r="F11" s="13" t="s">
        <v>157</v>
      </c>
    </row>
    <row r="12" spans="1:6" ht="37.5" customHeight="1" x14ac:dyDescent="0.25">
      <c r="A12" s="13" t="s">
        <v>158</v>
      </c>
      <c r="B12" s="13" t="s">
        <v>159</v>
      </c>
      <c r="C12" s="13" t="s">
        <v>40</v>
      </c>
      <c r="D12" s="13" t="s">
        <v>160</v>
      </c>
      <c r="E12" s="18" t="s">
        <v>24</v>
      </c>
      <c r="F12" s="13" t="s">
        <v>59</v>
      </c>
    </row>
    <row r="13" spans="1:6" ht="37.5" customHeight="1" x14ac:dyDescent="0.25">
      <c r="A13" s="13" t="s">
        <v>161</v>
      </c>
      <c r="B13" s="13" t="s">
        <v>159</v>
      </c>
      <c r="C13" s="13" t="s">
        <v>40</v>
      </c>
      <c r="D13" s="13" t="s">
        <v>162</v>
      </c>
      <c r="E13" s="15" t="s">
        <v>20</v>
      </c>
      <c r="F13" s="13" t="s">
        <v>163</v>
      </c>
    </row>
    <row r="14" spans="1:6" ht="62.45" customHeight="1" x14ac:dyDescent="0.25">
      <c r="A14" s="13" t="s">
        <v>164</v>
      </c>
      <c r="B14" s="13" t="s">
        <v>165</v>
      </c>
      <c r="C14" s="13" t="s">
        <v>40</v>
      </c>
      <c r="D14" s="13" t="s">
        <v>166</v>
      </c>
      <c r="E14" s="15" t="s">
        <v>20</v>
      </c>
      <c r="F14" s="13" t="s">
        <v>167</v>
      </c>
    </row>
    <row r="15" spans="1:6" ht="62.45" customHeight="1" x14ac:dyDescent="0.25">
      <c r="A15" s="13" t="s">
        <v>168</v>
      </c>
      <c r="B15" s="13" t="s">
        <v>169</v>
      </c>
      <c r="C15" s="13" t="s">
        <v>40</v>
      </c>
      <c r="D15" s="13" t="s">
        <v>170</v>
      </c>
      <c r="E15" s="15" t="s">
        <v>20</v>
      </c>
      <c r="F15" s="13" t="s">
        <v>171</v>
      </c>
    </row>
    <row r="16" spans="1:6" ht="50.1" customHeight="1" x14ac:dyDescent="0.25">
      <c r="A16" s="13" t="s">
        <v>172</v>
      </c>
      <c r="B16" s="13" t="s">
        <v>173</v>
      </c>
      <c r="C16" s="13" t="s">
        <v>40</v>
      </c>
      <c r="D16" s="13" t="s">
        <v>174</v>
      </c>
      <c r="E16" s="15" t="s">
        <v>20</v>
      </c>
      <c r="F16" s="13" t="s">
        <v>175</v>
      </c>
    </row>
    <row r="17" spans="1:6" ht="200.1" customHeight="1" x14ac:dyDescent="0.25">
      <c r="A17" s="13" t="s">
        <v>176</v>
      </c>
      <c r="B17" s="13" t="s">
        <v>177</v>
      </c>
      <c r="C17" s="13" t="s">
        <v>40</v>
      </c>
      <c r="D17" s="13" t="s">
        <v>178</v>
      </c>
      <c r="E17" s="15" t="s">
        <v>20</v>
      </c>
      <c r="F17" s="13" t="s">
        <v>179</v>
      </c>
    </row>
    <row r="18" spans="1:6" ht="87.6" customHeight="1" x14ac:dyDescent="0.25">
      <c r="A18" s="13" t="s">
        <v>180</v>
      </c>
      <c r="B18" s="13" t="s">
        <v>181</v>
      </c>
      <c r="C18" s="13" t="s">
        <v>40</v>
      </c>
      <c r="D18" s="13" t="s">
        <v>182</v>
      </c>
      <c r="E18" s="15" t="s">
        <v>20</v>
      </c>
      <c r="F18" s="13" t="s">
        <v>183</v>
      </c>
    </row>
    <row r="19" spans="1:6" ht="200.1" customHeight="1" x14ac:dyDescent="0.25">
      <c r="A19" s="13" t="s">
        <v>184</v>
      </c>
      <c r="B19" s="13" t="s">
        <v>185</v>
      </c>
      <c r="C19" s="13" t="s">
        <v>40</v>
      </c>
      <c r="D19" s="13" t="s">
        <v>186</v>
      </c>
      <c r="E19" s="15" t="s">
        <v>20</v>
      </c>
      <c r="F19" s="13" t="s">
        <v>187</v>
      </c>
    </row>
    <row r="20" spans="1:6" ht="99.95" customHeight="1" x14ac:dyDescent="0.25">
      <c r="A20" s="13" t="s">
        <v>188</v>
      </c>
      <c r="B20" s="13" t="s">
        <v>189</v>
      </c>
      <c r="C20" s="13" t="s">
        <v>40</v>
      </c>
      <c r="D20" s="13" t="s">
        <v>190</v>
      </c>
      <c r="E20" s="15" t="s">
        <v>20</v>
      </c>
      <c r="F20" s="13" t="s">
        <v>191</v>
      </c>
    </row>
    <row r="21" spans="1:6" ht="50.1" customHeight="1" x14ac:dyDescent="0.25">
      <c r="A21" s="13" t="s">
        <v>192</v>
      </c>
      <c r="B21" s="13" t="s">
        <v>193</v>
      </c>
      <c r="C21" s="13" t="s">
        <v>40</v>
      </c>
      <c r="D21" s="13" t="s">
        <v>194</v>
      </c>
      <c r="E21" s="15" t="s">
        <v>20</v>
      </c>
      <c r="F21" s="13" t="s">
        <v>195</v>
      </c>
    </row>
    <row r="22" spans="1:6" ht="75" customHeight="1" x14ac:dyDescent="0.25">
      <c r="A22" s="13" t="s">
        <v>196</v>
      </c>
      <c r="B22" s="13" t="s">
        <v>197</v>
      </c>
      <c r="C22" s="13" t="s">
        <v>40</v>
      </c>
      <c r="D22" s="13" t="s">
        <v>198</v>
      </c>
      <c r="E22" s="15" t="s">
        <v>20</v>
      </c>
      <c r="F22" s="13" t="s">
        <v>199</v>
      </c>
    </row>
    <row r="23" spans="1:6" ht="37.5" customHeight="1" x14ac:dyDescent="0.25">
      <c r="A23" s="13" t="s">
        <v>161</v>
      </c>
      <c r="B23" s="13" t="s">
        <v>200</v>
      </c>
      <c r="C23" s="13" t="s">
        <v>40</v>
      </c>
      <c r="D23" s="13" t="s">
        <v>201</v>
      </c>
      <c r="E23" s="15" t="s">
        <v>21</v>
      </c>
      <c r="F23" s="13" t="s">
        <v>163</v>
      </c>
    </row>
    <row r="24" spans="1:6" ht="37.5" customHeight="1" x14ac:dyDescent="0.25">
      <c r="A24" s="13" t="s">
        <v>202</v>
      </c>
      <c r="B24" s="13" t="s">
        <v>203</v>
      </c>
      <c r="C24" s="13" t="s">
        <v>40</v>
      </c>
      <c r="D24" s="13" t="s">
        <v>204</v>
      </c>
      <c r="E24" s="15" t="s">
        <v>20</v>
      </c>
      <c r="F24" s="13" t="s">
        <v>205</v>
      </c>
    </row>
    <row r="25" spans="1:6" ht="87.6" customHeight="1" x14ac:dyDescent="0.25">
      <c r="A25" s="13" t="s">
        <v>206</v>
      </c>
      <c r="B25" s="13" t="s">
        <v>207</v>
      </c>
      <c r="C25" s="13" t="s">
        <v>40</v>
      </c>
      <c r="D25" s="13" t="s">
        <v>208</v>
      </c>
      <c r="E25" s="15" t="s">
        <v>20</v>
      </c>
      <c r="F25" s="13" t="s">
        <v>209</v>
      </c>
    </row>
    <row r="26" spans="1:6" ht="125.1" customHeight="1" x14ac:dyDescent="0.25">
      <c r="A26" s="13" t="s">
        <v>210</v>
      </c>
      <c r="B26" s="13" t="s">
        <v>211</v>
      </c>
      <c r="C26" s="13" t="s">
        <v>40</v>
      </c>
      <c r="D26" s="13" t="s">
        <v>212</v>
      </c>
      <c r="E26" s="15" t="s">
        <v>20</v>
      </c>
      <c r="F26" s="13" t="s">
        <v>213</v>
      </c>
    </row>
    <row r="27" spans="1:6" ht="75" customHeight="1" x14ac:dyDescent="0.25">
      <c r="A27" s="13" t="s">
        <v>214</v>
      </c>
      <c r="B27" s="13" t="s">
        <v>215</v>
      </c>
      <c r="C27" s="13"/>
      <c r="D27" s="13" t="s">
        <v>216</v>
      </c>
      <c r="E27" s="15" t="s">
        <v>20</v>
      </c>
      <c r="F27" s="13" t="s">
        <v>217</v>
      </c>
    </row>
    <row r="28" spans="1:6" ht="24.95" customHeight="1" x14ac:dyDescent="0.25">
      <c r="A28" s="13" t="s">
        <v>218</v>
      </c>
      <c r="B28" s="13" t="s">
        <v>219</v>
      </c>
      <c r="C28" s="13" t="s">
        <v>40</v>
      </c>
      <c r="D28" s="13" t="s">
        <v>220</v>
      </c>
      <c r="E28" s="15" t="s">
        <v>20</v>
      </c>
      <c r="F28" s="13" t="s">
        <v>221</v>
      </c>
    </row>
    <row r="29" spans="1:6" ht="50.1" customHeight="1" x14ac:dyDescent="0.25">
      <c r="A29" s="13" t="s">
        <v>222</v>
      </c>
      <c r="B29" s="13" t="s">
        <v>223</v>
      </c>
      <c r="C29" s="13" t="s">
        <v>40</v>
      </c>
      <c r="D29" s="13" t="s">
        <v>224</v>
      </c>
      <c r="E29" s="15" t="s">
        <v>20</v>
      </c>
      <c r="F29" s="13" t="s">
        <v>225</v>
      </c>
    </row>
    <row r="30" spans="1:6" ht="50.1" customHeight="1" x14ac:dyDescent="0.25">
      <c r="A30" s="13" t="s">
        <v>192</v>
      </c>
      <c r="B30" s="13" t="s">
        <v>226</v>
      </c>
      <c r="C30" s="13" t="s">
        <v>40</v>
      </c>
      <c r="D30" s="13" t="s">
        <v>194</v>
      </c>
      <c r="E30" s="15" t="s">
        <v>20</v>
      </c>
      <c r="F30" s="13" t="s">
        <v>195</v>
      </c>
    </row>
    <row r="31" spans="1:6" x14ac:dyDescent="0.25">
      <c r="A31" s="22" t="s">
        <v>96</v>
      </c>
      <c r="B31" s="23"/>
      <c r="C31" s="23"/>
      <c r="D31" s="23"/>
      <c r="E31" s="23"/>
      <c r="F31" s="23"/>
    </row>
    <row r="32" spans="1:6" ht="75" customHeight="1" x14ac:dyDescent="0.25">
      <c r="A32" s="13" t="s">
        <v>227</v>
      </c>
      <c r="B32" s="13" t="s">
        <v>228</v>
      </c>
      <c r="C32" s="13" t="s">
        <v>40</v>
      </c>
      <c r="D32" s="13" t="s">
        <v>229</v>
      </c>
      <c r="E32" s="15" t="s">
        <v>21</v>
      </c>
      <c r="F32" s="13" t="s">
        <v>59</v>
      </c>
    </row>
    <row r="33" spans="1:6" ht="99.95" customHeight="1" x14ac:dyDescent="0.25">
      <c r="A33" s="13" t="s">
        <v>230</v>
      </c>
      <c r="B33" s="13" t="s">
        <v>231</v>
      </c>
      <c r="C33" s="13" t="s">
        <v>232</v>
      </c>
      <c r="D33" s="13" t="s">
        <v>233</v>
      </c>
      <c r="E33" s="15" t="s">
        <v>20</v>
      </c>
      <c r="F33" s="13" t="s">
        <v>234</v>
      </c>
    </row>
    <row r="34" spans="1:6" ht="87.6" customHeight="1" x14ac:dyDescent="0.25">
      <c r="A34" s="13" t="s">
        <v>235</v>
      </c>
      <c r="B34" s="13" t="s">
        <v>231</v>
      </c>
      <c r="C34" s="13" t="s">
        <v>232</v>
      </c>
      <c r="D34" s="13" t="s">
        <v>236</v>
      </c>
      <c r="E34" s="15" t="s">
        <v>20</v>
      </c>
      <c r="F34" s="13" t="s">
        <v>234</v>
      </c>
    </row>
    <row r="35" spans="1:6" ht="50.1" customHeight="1" x14ac:dyDescent="0.25">
      <c r="A35" s="13" t="s">
        <v>218</v>
      </c>
      <c r="B35" s="13" t="s">
        <v>237</v>
      </c>
      <c r="C35" s="13" t="s">
        <v>40</v>
      </c>
      <c r="D35" s="13" t="s">
        <v>238</v>
      </c>
      <c r="E35" s="15" t="s">
        <v>20</v>
      </c>
      <c r="F35" s="13" t="s">
        <v>239</v>
      </c>
    </row>
    <row r="36" spans="1:6" ht="75" customHeight="1" x14ac:dyDescent="0.25">
      <c r="A36" s="13" t="s">
        <v>240</v>
      </c>
      <c r="B36" s="13" t="s">
        <v>241</v>
      </c>
      <c r="C36" s="13" t="s">
        <v>242</v>
      </c>
      <c r="D36" s="13" t="s">
        <v>243</v>
      </c>
      <c r="E36" s="15" t="s">
        <v>20</v>
      </c>
      <c r="F36" s="13" t="s">
        <v>244</v>
      </c>
    </row>
  </sheetData>
  <autoFilter ref="A3:F36" xr:uid="{00000000-0009-0000-0000-000003000000}"/>
  <mergeCells count="4">
    <mergeCell ref="A31:F31"/>
    <mergeCell ref="A2:F2"/>
    <mergeCell ref="A1:F1"/>
    <mergeCell ref="A4:F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showGridLines="0" workbookViewId="0">
      <pane ySplit="3" topLeftCell="A4" activePane="bottomLeft" state="frozen"/>
      <selection pane="bottomLeft"/>
    </sheetView>
  </sheetViews>
  <sheetFormatPr defaultRowHeight="15" x14ac:dyDescent="0.25"/>
  <cols>
    <col min="1" max="1" width="24" customWidth="1"/>
    <col min="2" max="2" width="56" customWidth="1"/>
    <col min="3" max="3" width="20" customWidth="1"/>
    <col min="4" max="4" width="62" customWidth="1"/>
    <col min="5" max="5" width="20" customWidth="1"/>
    <col min="6" max="6" width="14" customWidth="1"/>
  </cols>
  <sheetData>
    <row r="1" spans="1:6" ht="16.5" x14ac:dyDescent="0.25">
      <c r="A1" s="25" t="s">
        <v>245</v>
      </c>
      <c r="B1" s="20"/>
      <c r="C1" s="20"/>
      <c r="D1" s="20"/>
      <c r="E1" s="20"/>
      <c r="F1" s="20"/>
    </row>
    <row r="2" spans="1:6" ht="24" customHeight="1" x14ac:dyDescent="0.25">
      <c r="A2" s="24" t="s">
        <v>246</v>
      </c>
      <c r="B2" s="20"/>
      <c r="C2" s="20"/>
      <c r="D2" s="20"/>
      <c r="E2" s="20"/>
      <c r="F2" s="20"/>
    </row>
    <row r="3" spans="1:6" x14ac:dyDescent="0.25">
      <c r="A3" s="12" t="s">
        <v>28</v>
      </c>
      <c r="B3" s="12" t="s">
        <v>29</v>
      </c>
      <c r="C3" s="12" t="s">
        <v>30</v>
      </c>
      <c r="D3" s="12" t="s">
        <v>31</v>
      </c>
      <c r="E3" s="12" t="s">
        <v>14</v>
      </c>
      <c r="F3" s="12" t="s">
        <v>32</v>
      </c>
    </row>
    <row r="4" spans="1:6" x14ac:dyDescent="0.25">
      <c r="A4" s="22" t="s">
        <v>33</v>
      </c>
      <c r="B4" s="23"/>
      <c r="C4" s="23"/>
      <c r="D4" s="23"/>
      <c r="E4" s="23"/>
      <c r="F4" s="23"/>
    </row>
    <row r="5" spans="1:6" ht="37.5" customHeight="1" x14ac:dyDescent="0.25">
      <c r="A5" s="13" t="s">
        <v>38</v>
      </c>
      <c r="B5" s="13" t="s">
        <v>39</v>
      </c>
      <c r="C5" s="13" t="s">
        <v>40</v>
      </c>
      <c r="D5" s="13" t="s">
        <v>247</v>
      </c>
      <c r="E5" s="15" t="s">
        <v>20</v>
      </c>
      <c r="F5" s="13" t="s">
        <v>248</v>
      </c>
    </row>
    <row r="6" spans="1:6" ht="87.6" customHeight="1" x14ac:dyDescent="0.25">
      <c r="A6" s="13" t="s">
        <v>43</v>
      </c>
      <c r="B6" s="13" t="s">
        <v>44</v>
      </c>
      <c r="C6" s="13" t="s">
        <v>45</v>
      </c>
      <c r="D6" s="13" t="s">
        <v>46</v>
      </c>
      <c r="E6" s="16" t="s">
        <v>23</v>
      </c>
      <c r="F6" s="13" t="s">
        <v>47</v>
      </c>
    </row>
    <row r="7" spans="1:6" ht="137.44999999999999" customHeight="1" x14ac:dyDescent="0.25">
      <c r="A7" s="13" t="s">
        <v>249</v>
      </c>
      <c r="B7" s="13" t="s">
        <v>250</v>
      </c>
      <c r="C7" s="13" t="s">
        <v>40</v>
      </c>
      <c r="D7" s="13" t="s">
        <v>251</v>
      </c>
      <c r="E7" s="15" t="s">
        <v>20</v>
      </c>
      <c r="F7" s="13" t="s">
        <v>252</v>
      </c>
    </row>
    <row r="8" spans="1:6" ht="37.5" customHeight="1" x14ac:dyDescent="0.25">
      <c r="A8" s="13" t="s">
        <v>253</v>
      </c>
      <c r="B8" s="13" t="s">
        <v>169</v>
      </c>
      <c r="C8" s="13" t="s">
        <v>40</v>
      </c>
      <c r="D8" s="13" t="s">
        <v>254</v>
      </c>
      <c r="E8" s="15" t="s">
        <v>20</v>
      </c>
      <c r="F8" s="13" t="s">
        <v>255</v>
      </c>
    </row>
    <row r="9" spans="1:6" ht="200.1" customHeight="1" x14ac:dyDescent="0.25">
      <c r="A9" s="13" t="s">
        <v>256</v>
      </c>
      <c r="B9" s="13" t="s">
        <v>257</v>
      </c>
      <c r="C9" s="13" t="s">
        <v>40</v>
      </c>
      <c r="D9" s="13" t="s">
        <v>258</v>
      </c>
      <c r="E9" s="15" t="s">
        <v>20</v>
      </c>
      <c r="F9" s="13" t="s">
        <v>259</v>
      </c>
    </row>
    <row r="10" spans="1:6" ht="87.6" customHeight="1" x14ac:dyDescent="0.25">
      <c r="A10" s="13" t="s">
        <v>180</v>
      </c>
      <c r="B10" s="13" t="s">
        <v>181</v>
      </c>
      <c r="C10" s="13" t="s">
        <v>40</v>
      </c>
      <c r="D10" s="13" t="s">
        <v>260</v>
      </c>
      <c r="E10" s="15" t="s">
        <v>20</v>
      </c>
      <c r="F10" s="13" t="s">
        <v>261</v>
      </c>
    </row>
    <row r="11" spans="1:6" ht="75" customHeight="1" x14ac:dyDescent="0.25">
      <c r="A11" s="13" t="s">
        <v>262</v>
      </c>
      <c r="B11" s="13" t="s">
        <v>263</v>
      </c>
      <c r="C11" s="13" t="s">
        <v>40</v>
      </c>
      <c r="D11" s="13" t="s">
        <v>264</v>
      </c>
      <c r="E11" s="15" t="s">
        <v>20</v>
      </c>
      <c r="F11" s="13" t="s">
        <v>265</v>
      </c>
    </row>
    <row r="12" spans="1:6" ht="62.45" customHeight="1" x14ac:dyDescent="0.25">
      <c r="A12" s="13" t="s">
        <v>266</v>
      </c>
      <c r="B12" s="13" t="s">
        <v>267</v>
      </c>
      <c r="C12" s="13" t="s">
        <v>40</v>
      </c>
      <c r="D12" s="13" t="s">
        <v>268</v>
      </c>
      <c r="E12" s="16" t="s">
        <v>23</v>
      </c>
      <c r="F12" s="13" t="s">
        <v>269</v>
      </c>
    </row>
    <row r="13" spans="1:6" x14ac:dyDescent="0.25">
      <c r="A13" s="22" t="s">
        <v>96</v>
      </c>
      <c r="B13" s="23"/>
      <c r="C13" s="23"/>
      <c r="D13" s="23"/>
      <c r="E13" s="23"/>
      <c r="F13" s="23"/>
    </row>
    <row r="14" spans="1:6" ht="24.95" customHeight="1" x14ac:dyDescent="0.25">
      <c r="A14" s="13" t="s">
        <v>270</v>
      </c>
      <c r="B14" s="13" t="s">
        <v>271</v>
      </c>
      <c r="C14" s="13" t="s">
        <v>272</v>
      </c>
      <c r="D14" s="13" t="s">
        <v>260</v>
      </c>
      <c r="E14" s="15" t="s">
        <v>20</v>
      </c>
      <c r="F14" s="13" t="s">
        <v>261</v>
      </c>
    </row>
    <row r="15" spans="1:6" ht="37.5" customHeight="1" x14ac:dyDescent="0.25">
      <c r="A15" s="13" t="s">
        <v>273</v>
      </c>
      <c r="B15" s="13" t="s">
        <v>274</v>
      </c>
      <c r="C15" s="13" t="s">
        <v>272</v>
      </c>
      <c r="D15" s="13" t="s">
        <v>275</v>
      </c>
      <c r="E15" s="15" t="s">
        <v>20</v>
      </c>
      <c r="F15" s="13" t="s">
        <v>276</v>
      </c>
    </row>
    <row r="16" spans="1:6" ht="62.45" customHeight="1" x14ac:dyDescent="0.25">
      <c r="A16" s="13" t="s">
        <v>277</v>
      </c>
      <c r="B16" s="13" t="s">
        <v>278</v>
      </c>
      <c r="C16" s="13" t="s">
        <v>242</v>
      </c>
      <c r="D16" s="13" t="s">
        <v>279</v>
      </c>
      <c r="E16" s="15" t="s">
        <v>20</v>
      </c>
      <c r="F16" s="13" t="s">
        <v>280</v>
      </c>
    </row>
    <row r="17" spans="1:6" ht="75" customHeight="1" x14ac:dyDescent="0.25">
      <c r="A17" s="13" t="s">
        <v>281</v>
      </c>
      <c r="B17" s="13" t="s">
        <v>282</v>
      </c>
      <c r="C17" s="13" t="s">
        <v>242</v>
      </c>
      <c r="D17" s="13" t="s">
        <v>283</v>
      </c>
      <c r="E17" s="15" t="s">
        <v>20</v>
      </c>
      <c r="F17" s="13" t="s">
        <v>284</v>
      </c>
    </row>
    <row r="18" spans="1:6" ht="75" customHeight="1" x14ac:dyDescent="0.25">
      <c r="A18" s="13" t="s">
        <v>285</v>
      </c>
      <c r="B18" s="13" t="s">
        <v>282</v>
      </c>
      <c r="C18" s="13" t="s">
        <v>242</v>
      </c>
      <c r="D18" s="13" t="s">
        <v>286</v>
      </c>
      <c r="E18" s="15" t="s">
        <v>20</v>
      </c>
      <c r="F18" s="13" t="s">
        <v>287</v>
      </c>
    </row>
    <row r="19" spans="1:6" ht="75" customHeight="1" x14ac:dyDescent="0.25">
      <c r="A19" s="13" t="s">
        <v>288</v>
      </c>
      <c r="B19" s="13" t="s">
        <v>282</v>
      </c>
      <c r="C19" s="13" t="s">
        <v>242</v>
      </c>
      <c r="D19" s="13" t="s">
        <v>289</v>
      </c>
      <c r="E19" s="15" t="s">
        <v>20</v>
      </c>
      <c r="F19" s="13" t="s">
        <v>290</v>
      </c>
    </row>
    <row r="20" spans="1:6" ht="75" customHeight="1" x14ac:dyDescent="0.25">
      <c r="A20" s="13" t="s">
        <v>291</v>
      </c>
      <c r="B20" s="13" t="s">
        <v>282</v>
      </c>
      <c r="C20" s="13" t="s">
        <v>242</v>
      </c>
      <c r="D20" s="13" t="s">
        <v>292</v>
      </c>
      <c r="E20" s="15" t="s">
        <v>20</v>
      </c>
      <c r="F20" s="13" t="s">
        <v>293</v>
      </c>
    </row>
    <row r="21" spans="1:6" ht="75" customHeight="1" x14ac:dyDescent="0.25">
      <c r="A21" s="13" t="s">
        <v>294</v>
      </c>
      <c r="B21" s="13" t="s">
        <v>295</v>
      </c>
      <c r="C21" s="13" t="s">
        <v>242</v>
      </c>
      <c r="D21" s="13" t="s">
        <v>296</v>
      </c>
      <c r="E21" s="15" t="s">
        <v>20</v>
      </c>
      <c r="F21" s="13" t="s">
        <v>297</v>
      </c>
    </row>
    <row r="22" spans="1:6" ht="75" customHeight="1" x14ac:dyDescent="0.25">
      <c r="A22" s="13" t="s">
        <v>298</v>
      </c>
      <c r="B22" s="13" t="s">
        <v>282</v>
      </c>
      <c r="C22" s="13" t="s">
        <v>242</v>
      </c>
      <c r="D22" s="13" t="s">
        <v>299</v>
      </c>
      <c r="E22" s="15" t="s">
        <v>20</v>
      </c>
      <c r="F22" s="13" t="s">
        <v>300</v>
      </c>
    </row>
    <row r="23" spans="1:6" ht="75" customHeight="1" x14ac:dyDescent="0.25">
      <c r="A23" s="13" t="s">
        <v>301</v>
      </c>
      <c r="B23" s="13" t="s">
        <v>302</v>
      </c>
      <c r="C23" s="13" t="s">
        <v>242</v>
      </c>
      <c r="D23" s="13" t="s">
        <v>303</v>
      </c>
      <c r="E23" s="15" t="s">
        <v>20</v>
      </c>
      <c r="F23" s="13" t="s">
        <v>304</v>
      </c>
    </row>
    <row r="24" spans="1:6" ht="75" customHeight="1" x14ac:dyDescent="0.25">
      <c r="A24" s="13" t="s">
        <v>305</v>
      </c>
      <c r="B24" s="13" t="s">
        <v>282</v>
      </c>
      <c r="C24" s="13" t="s">
        <v>242</v>
      </c>
      <c r="D24" s="13" t="s">
        <v>306</v>
      </c>
      <c r="E24" s="15" t="s">
        <v>20</v>
      </c>
      <c r="F24" s="13" t="s">
        <v>307</v>
      </c>
    </row>
    <row r="25" spans="1:6" ht="75" customHeight="1" x14ac:dyDescent="0.25">
      <c r="A25" s="13" t="s">
        <v>308</v>
      </c>
      <c r="B25" s="13" t="s">
        <v>282</v>
      </c>
      <c r="C25" s="13" t="s">
        <v>242</v>
      </c>
      <c r="D25" s="13" t="s">
        <v>309</v>
      </c>
      <c r="E25" s="15" t="s">
        <v>20</v>
      </c>
      <c r="F25" s="13" t="s">
        <v>310</v>
      </c>
    </row>
    <row r="26" spans="1:6" ht="75" customHeight="1" x14ac:dyDescent="0.25">
      <c r="A26" s="13" t="s">
        <v>311</v>
      </c>
      <c r="B26" s="13" t="s">
        <v>282</v>
      </c>
      <c r="C26" s="13" t="s">
        <v>242</v>
      </c>
      <c r="D26" s="13" t="s">
        <v>312</v>
      </c>
      <c r="E26" s="15" t="s">
        <v>20</v>
      </c>
      <c r="F26" s="13" t="s">
        <v>313</v>
      </c>
    </row>
    <row r="27" spans="1:6" ht="75" customHeight="1" x14ac:dyDescent="0.25">
      <c r="A27" s="13" t="s">
        <v>314</v>
      </c>
      <c r="B27" s="13" t="s">
        <v>315</v>
      </c>
      <c r="C27" s="13" t="s">
        <v>242</v>
      </c>
      <c r="D27" s="13" t="s">
        <v>316</v>
      </c>
      <c r="E27" s="15" t="s">
        <v>20</v>
      </c>
      <c r="F27" s="13" t="s">
        <v>317</v>
      </c>
    </row>
    <row r="28" spans="1:6" ht="62.45" customHeight="1" x14ac:dyDescent="0.25">
      <c r="A28" s="13" t="s">
        <v>318</v>
      </c>
      <c r="B28" s="13" t="s">
        <v>278</v>
      </c>
      <c r="C28" s="13" t="s">
        <v>242</v>
      </c>
      <c r="D28" s="13" t="s">
        <v>319</v>
      </c>
      <c r="E28" s="15" t="s">
        <v>20</v>
      </c>
      <c r="F28" s="13" t="s">
        <v>320</v>
      </c>
    </row>
    <row r="29" spans="1:6" ht="75" customHeight="1" x14ac:dyDescent="0.25">
      <c r="A29" s="13" t="s">
        <v>321</v>
      </c>
      <c r="B29" s="13" t="s">
        <v>282</v>
      </c>
      <c r="C29" s="13" t="s">
        <v>242</v>
      </c>
      <c r="D29" s="13" t="s">
        <v>322</v>
      </c>
      <c r="E29" s="15" t="s">
        <v>20</v>
      </c>
      <c r="F29" s="13" t="s">
        <v>323</v>
      </c>
    </row>
    <row r="30" spans="1:6" ht="75" customHeight="1" x14ac:dyDescent="0.25">
      <c r="A30" s="13" t="s">
        <v>324</v>
      </c>
      <c r="B30" s="13" t="s">
        <v>325</v>
      </c>
      <c r="C30" s="13" t="s">
        <v>242</v>
      </c>
      <c r="D30" s="13" t="s">
        <v>326</v>
      </c>
      <c r="E30" s="15" t="s">
        <v>20</v>
      </c>
      <c r="F30" s="13" t="s">
        <v>327</v>
      </c>
    </row>
    <row r="31" spans="1:6" ht="75" customHeight="1" x14ac:dyDescent="0.25">
      <c r="A31" s="13" t="s">
        <v>328</v>
      </c>
      <c r="B31" s="13" t="s">
        <v>282</v>
      </c>
      <c r="C31" s="13" t="s">
        <v>242</v>
      </c>
      <c r="D31" s="13" t="s">
        <v>329</v>
      </c>
      <c r="E31" s="15" t="s">
        <v>20</v>
      </c>
      <c r="F31" s="13" t="s">
        <v>330</v>
      </c>
    </row>
    <row r="32" spans="1:6" ht="75" customHeight="1" x14ac:dyDescent="0.25">
      <c r="A32" s="13" t="s">
        <v>331</v>
      </c>
      <c r="B32" s="13" t="s">
        <v>282</v>
      </c>
      <c r="C32" s="13" t="s">
        <v>242</v>
      </c>
      <c r="D32" s="13" t="s">
        <v>332</v>
      </c>
      <c r="E32" s="15" t="s">
        <v>20</v>
      </c>
      <c r="F32" s="13" t="s">
        <v>333</v>
      </c>
    </row>
    <row r="33" spans="1:6" ht="62.45" customHeight="1" x14ac:dyDescent="0.25">
      <c r="A33" s="13" t="s">
        <v>334</v>
      </c>
      <c r="B33" s="13" t="s">
        <v>278</v>
      </c>
      <c r="C33" s="13" t="s">
        <v>242</v>
      </c>
      <c r="D33" s="13" t="s">
        <v>335</v>
      </c>
      <c r="E33" s="15" t="s">
        <v>20</v>
      </c>
      <c r="F33" s="13" t="s">
        <v>336</v>
      </c>
    </row>
    <row r="34" spans="1:6" ht="75" customHeight="1" x14ac:dyDescent="0.25">
      <c r="A34" s="13" t="s">
        <v>337</v>
      </c>
      <c r="B34" s="13" t="s">
        <v>282</v>
      </c>
      <c r="C34" s="13" t="s">
        <v>242</v>
      </c>
      <c r="D34" s="13" t="s">
        <v>338</v>
      </c>
      <c r="E34" s="15" t="s">
        <v>20</v>
      </c>
      <c r="F34" s="13" t="s">
        <v>339</v>
      </c>
    </row>
    <row r="35" spans="1:6" ht="75" customHeight="1" x14ac:dyDescent="0.25">
      <c r="A35" s="13" t="s">
        <v>340</v>
      </c>
      <c r="B35" s="13" t="s">
        <v>282</v>
      </c>
      <c r="C35" s="13" t="s">
        <v>242</v>
      </c>
      <c r="D35" s="13" t="s">
        <v>341</v>
      </c>
      <c r="E35" s="15" t="s">
        <v>20</v>
      </c>
      <c r="F35" s="13" t="s">
        <v>342</v>
      </c>
    </row>
    <row r="36" spans="1:6" ht="50.1" customHeight="1" x14ac:dyDescent="0.25">
      <c r="A36" s="13" t="s">
        <v>343</v>
      </c>
      <c r="B36" s="13" t="s">
        <v>344</v>
      </c>
      <c r="C36" s="13" t="s">
        <v>99</v>
      </c>
      <c r="D36" s="13" t="s">
        <v>345</v>
      </c>
      <c r="E36" s="15" t="s">
        <v>20</v>
      </c>
      <c r="F36" s="13" t="s">
        <v>346</v>
      </c>
    </row>
  </sheetData>
  <autoFilter ref="A3:F36" xr:uid="{00000000-0009-0000-0000-000004000000}"/>
  <mergeCells count="4">
    <mergeCell ref="A13:F13"/>
    <mergeCell ref="A2:F2"/>
    <mergeCell ref="A1:F1"/>
    <mergeCell ref="A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Facility Head (F1)</vt:lpstr>
      <vt:lpstr>HCW (F2)</vt:lpstr>
      <vt:lpstr>Patient (F3)</vt:lpstr>
      <vt:lpstr>Household (F4)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 Patrick Reyes</cp:lastModifiedBy>
  <dcterms:created xsi:type="dcterms:W3CDTF">2026-08-14T08:21:14Z</dcterms:created>
  <dcterms:modified xsi:type="dcterms:W3CDTF">2026-08-14T08:21:15Z</dcterms:modified>
</cp:coreProperties>
</file>