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Variables" sheetId="2" state="visible" r:id="rId2"/>
    <sheet xmlns:r="http://schemas.openxmlformats.org/officeDocument/2006/relationships" name="Validation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004D2C"/>
      <sz val="16"/>
    </font>
    <font>
      <b val="1"/>
      <color rgb="00006B3F"/>
      <sz val="14"/>
    </font>
    <font>
      <color rgb="001C2B25"/>
      <sz val="10"/>
    </font>
    <font>
      <b val="1"/>
      <color rgb="001C2B25"/>
      <sz val="11"/>
    </font>
    <font>
      <b val="1"/>
      <color rgb="00006B3F"/>
      <sz val="12"/>
    </font>
    <font>
      <b val="1"/>
      <color rgb="00FFFFFF"/>
      <sz val="10"/>
    </font>
    <font>
      <name val="Consolas"/>
      <sz val="9"/>
    </font>
    <font>
      <name val="Calibri"/>
      <sz val="9"/>
    </font>
  </fonts>
  <fills count="4">
    <fill>
      <patternFill/>
    </fill>
    <fill>
      <patternFill patternType="gray125"/>
    </fill>
    <fill>
      <patternFill patternType="solid">
        <fgColor rgb="00006B3F"/>
      </patternFill>
    </fill>
    <fill>
      <patternFill patternType="solid">
        <fgColor rgb="00EEF3F0"/>
      </patternFill>
    </fill>
  </fills>
  <borders count="2">
    <border>
      <left/>
      <right/>
      <top/>
      <bottom/>
      <diagonal/>
    </border>
    <border>
      <left style="thin">
        <color rgb="00B7C4BD"/>
      </left>
      <right style="thin">
        <color rgb="00B7C4BD"/>
      </right>
      <top style="thin">
        <color rgb="00B7C4BD"/>
      </top>
      <bottom style="thin">
        <color rgb="00B7C4BD"/>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7" fillId="3" borderId="1" applyAlignment="1" pivotButton="0" quotePrefix="0" xfId="0">
      <alignment vertical="top"/>
    </xf>
    <xf numFmtId="0" fontId="8" fillId="3"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100" customWidth="1" min="1" max="1"/>
  </cols>
  <sheetData>
    <row r="1">
      <c r="A1" s="1" t="inlineStr">
        <is>
          <t>UHC Survey Year 2 — Official Codebook</t>
        </is>
      </c>
    </row>
    <row r="2">
      <c r="A2" s="2" t="inlineStr">
        <is>
          <t>F3 — Patient Survey</t>
        </is>
      </c>
    </row>
    <row r="3">
      <c r="A3" s="3" t="inlineStr"/>
    </row>
    <row r="4">
      <c r="A4" s="4" t="inlineStr">
        <is>
          <t>Version: v1.1.5 (2026-07-19)</t>
        </is>
      </c>
    </row>
    <row r="5">
      <c r="A5" s="3" t="inlineStr">
        <is>
          <t>Generated: 2026-07-22 01:19 UTC — regenerated from the build artifacts every release; never hand-edited.</t>
        </is>
      </c>
    </row>
    <row r="6">
      <c r="A6" s="3" t="inlineStr">
        <is>
          <t>Sources: PatientSurvey.dcf · PatientSurvey.ent.qsf (EN) · F3-Skip-Logic-and-Validations.md · versions.json</t>
        </is>
      </c>
    </row>
    <row r="7">
      <c r="A7" s="3" t="inlineStr"/>
    </row>
    <row r="8">
      <c r="A8" s="4" t="inlineStr">
        <is>
          <t>Variables documented: 370</t>
        </is>
      </c>
    </row>
    <row r="9">
      <c r="A9" s="3" t="inlineStr"/>
    </row>
    <row r="10">
      <c r="A10" s="5" t="inlineStr">
        <is>
          <t>Conventions</t>
        </is>
      </c>
    </row>
    <row r="11">
      <c r="A11" s="3" t="inlineStr">
        <is>
          <t>Values in the datasets are RAW stored codes; this codebook is the labeling truth.</t>
        </is>
      </c>
    </row>
    <row r="12">
      <c r="A12" s="3" t="inlineStr">
        <is>
          <t>Missing-value conventions (Shared Codebook v0.8 / tracker #743):</t>
        </is>
      </c>
    </row>
    <row r="13">
      <c r="A13" s="3" t="inlineStr">
        <is>
          <t xml:space="preserve">  categorical items: 8 / 98 = Don't know · 9 / 99 = Refused (per value set)</t>
        </is>
      </c>
    </row>
    <row r="14">
      <c r="A14" s="3" t="inlineStr">
        <is>
          <t xml:space="preserve">  amount/continuous items: -98 = Don't know · -99 = Refused (negative sentinels)</t>
        </is>
      </c>
    </row>
    <row r="15">
      <c r="A15" s="3" t="inlineStr">
        <is>
          <t xml:space="preserve">  harmonized Stata output maps these to .c (DK), .b (Refused), .a (skip-logic NOTAPPL)</t>
        </is>
      </c>
    </row>
    <row r="16">
      <c r="A16" s="3" t="inlineStr">
        <is>
          <t>questionnaire_number is a 12-digit string key (RR-PP-MMM-FF-CCC); breakout exports</t>
        </is>
      </c>
    </row>
    <row r="17">
      <c r="A17" s="3" t="inlineStr">
        <is>
          <t xml:space="preserve">  may drop a leading region zero — restore by zero-filling to 12.</t>
        </is>
      </c>
    </row>
    <row r="18">
      <c r="A18" s="3" t="inlineStr">
        <is>
          <t>Skip logic: 'Universe / applicability' = who is asked (derived from the Skip-Logic</t>
        </is>
      </c>
    </row>
    <row r="19">
      <c r="A19" s="3" t="inlineStr">
        <is>
          <t xml:space="preserve">  spec); outbound routing shown on the variable that triggers it. Executable truth</t>
        </is>
      </c>
    </row>
    <row r="20">
      <c r="A20" s="3" t="inlineStr">
        <is>
          <t xml:space="preserve">  stays in the instrument logic (.apc).</t>
        </is>
      </c>
    </row>
    <row r="21">
      <c r="A21" s="3" t="inlineStr">
        <is>
          <t>Validation &amp; editing: per-variable rules in 'Validation rules' + the Validations</t>
        </is>
      </c>
    </row>
    <row r="22">
      <c r="A22" s="3" t="inlineStr">
        <is>
          <t xml:space="preserve">  sheet (HARD = block save, SOFT = warn-and-confirm, GATE = display-only) — maps to</t>
        </is>
      </c>
    </row>
    <row r="23">
      <c r="A23" s="3" t="inlineStr">
        <is>
          <t xml:space="preserve">  DDI's data-editing/cleanOps element at dissemination.</t>
        </is>
      </c>
    </row>
    <row r="24">
      <c r="A24" s="3" t="inlineStr">
        <is>
          <t>DDI mapping: Variable→var/@name · Label→var/labl · Question→var/qstn ·</t>
        </is>
      </c>
    </row>
    <row r="25">
      <c r="A25" s="3" t="inlineStr">
        <is>
          <t xml:space="preserve">  Universe→var/universe · Values→var/catgry · Special codes→missing ·</t>
        </is>
      </c>
    </row>
    <row r="26">
      <c r="A26" s="3" t="inlineStr">
        <is>
          <t xml:space="preserve">  packaged as DDI 2.5 at dissemination.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1"/>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46" customWidth="1" min="3" max="3"/>
    <col width="36" customWidth="1" min="4" max="4"/>
    <col width="36" customWidth="1" min="5" max="5"/>
    <col width="20" customWidth="1" min="6" max="6"/>
    <col width="11" customWidth="1" min="7" max="7"/>
    <col width="40" customWidth="1" min="8" max="8"/>
    <col width="24" customWidth="1" min="9" max="9"/>
    <col width="42" customWidth="1" min="10" max="10"/>
  </cols>
  <sheetData>
    <row r="1">
      <c r="A1" s="6" t="inlineStr">
        <is>
          <t>Variable</t>
        </is>
      </c>
      <c r="B1" s="6" t="inlineStr">
        <is>
          <t>Label</t>
        </is>
      </c>
      <c r="C1" s="6" t="inlineStr">
        <is>
          <t>Question (EN, literal)</t>
        </is>
      </c>
      <c r="D1" s="6" t="inlineStr">
        <is>
          <t>Universe / applicability</t>
        </is>
      </c>
      <c r="E1" s="6" t="inlineStr">
        <is>
          <t>Skip / routing (outbound)</t>
        </is>
      </c>
      <c r="F1" s="6" t="inlineStr">
        <is>
          <t>Record / Roster</t>
        </is>
      </c>
      <c r="G1" s="6" t="inlineStr">
        <is>
          <t>Type</t>
        </is>
      </c>
      <c r="H1" s="6" t="inlineStr">
        <is>
          <t>Values &amp; categories</t>
        </is>
      </c>
      <c r="I1" s="6" t="inlineStr">
        <is>
          <t>Special codes (DK/Refused)</t>
        </is>
      </c>
      <c r="J1" s="6" t="inlineStr">
        <is>
          <t>Validation rules (CAPI-enforced)</t>
        </is>
      </c>
    </row>
    <row r="2">
      <c r="A2" s="7" t="inlineStr">
        <is>
          <t>questionnaire_number</t>
        </is>
      </c>
      <c r="B2" s="8" t="inlineStr">
        <is>
          <t>Questionnaire Number (12-digit: RR-PP-MMM-FF-CCC)</t>
        </is>
      </c>
      <c r="C2" s="8" t="inlineStr">
        <is>
          <t>Build: F3 v1.1.5 (2026-07-19)</t>
        </is>
      </c>
      <c r="D2" s="8" t="inlineStr"/>
      <c r="E2" s="8" t="inlineStr"/>
      <c r="F2" s="8" t="inlineStr">
        <is>
          <t>Case identifiers</t>
        </is>
      </c>
      <c r="G2" s="8" t="inlineStr">
        <is>
          <t>numeric 12</t>
        </is>
      </c>
      <c r="H2" s="8" t="inlineStr"/>
      <c r="I2" s="8" t="inlineStr"/>
      <c r="J2" s="8" t="inlineStr"/>
    </row>
    <row r="3">
      <c r="A3" s="9" t="inlineStr">
        <is>
          <t>survey_team_leader_s_name</t>
        </is>
      </c>
      <c r="B3" s="10" t="inlineStr">
        <is>
          <t>Survey Team Leader's Name</t>
        </is>
      </c>
      <c r="C3" s="10" t="inlineStr">
        <is>
          <t>Survey Team Leader's Name</t>
        </is>
      </c>
      <c r="D3" s="10" t="inlineStr"/>
      <c r="E3" s="10" t="inlineStr"/>
      <c r="F3" s="10" t="inlineStr">
        <is>
          <t>Field Control</t>
        </is>
      </c>
      <c r="G3" s="10" t="inlineStr">
        <is>
          <t>alpha 50</t>
        </is>
      </c>
      <c r="H3" s="10" t="inlineStr"/>
      <c r="I3" s="10" t="inlineStr"/>
      <c r="J3" s="10" t="inlineStr"/>
    </row>
    <row r="4">
      <c r="A4" s="7" t="inlineStr">
        <is>
          <t>enumerator_s_name</t>
        </is>
      </c>
      <c r="B4" s="8" t="inlineStr">
        <is>
          <t>Enumerator's Name</t>
        </is>
      </c>
      <c r="C4" s="8" t="inlineStr">
        <is>
          <t>Enumerator's Name</t>
        </is>
      </c>
      <c r="D4" s="8" t="inlineStr"/>
      <c r="E4" s="8" t="inlineStr"/>
      <c r="F4" s="8" t="inlineStr">
        <is>
          <t>Field Control</t>
        </is>
      </c>
      <c r="G4" s="8" t="inlineStr">
        <is>
          <t>alpha 50</t>
        </is>
      </c>
      <c r="H4" s="8" t="inlineStr"/>
      <c r="I4" s="8" t="inlineStr"/>
      <c r="J4" s="8" t="inlineStr"/>
    </row>
    <row r="5">
      <c r="A5" s="9" t="inlineStr">
        <is>
          <t>field_validated_by</t>
        </is>
      </c>
      <c r="B5" s="10" t="inlineStr">
        <is>
          <t>Field Validated by</t>
        </is>
      </c>
      <c r="C5" s="10" t="inlineStr">
        <is>
          <t>Field Validated by</t>
        </is>
      </c>
      <c r="D5" s="10" t="inlineStr"/>
      <c r="E5" s="10" t="inlineStr"/>
      <c r="F5" s="10" t="inlineStr">
        <is>
          <t>Field Control</t>
        </is>
      </c>
      <c r="G5" s="10" t="inlineStr">
        <is>
          <t>alpha 50</t>
        </is>
      </c>
      <c r="H5" s="10" t="inlineStr"/>
      <c r="I5" s="10" t="inlineStr"/>
      <c r="J5" s="10" t="inlineStr"/>
    </row>
    <row r="6">
      <c r="A6" s="7" t="inlineStr">
        <is>
          <t>field_edited_by</t>
        </is>
      </c>
      <c r="B6" s="8" t="inlineStr">
        <is>
          <t>Field Edited by</t>
        </is>
      </c>
      <c r="C6" s="8" t="inlineStr">
        <is>
          <t>Field Edited by</t>
        </is>
      </c>
      <c r="D6" s="8" t="inlineStr"/>
      <c r="E6" s="8" t="inlineStr"/>
      <c r="F6" s="8" t="inlineStr">
        <is>
          <t>Field Control</t>
        </is>
      </c>
      <c r="G6" s="8" t="inlineStr">
        <is>
          <t>alpha 50</t>
        </is>
      </c>
      <c r="H6" s="8" t="inlineStr"/>
      <c r="I6" s="8" t="inlineStr"/>
      <c r="J6" s="8" t="inlineStr"/>
    </row>
    <row r="7">
      <c r="A7" s="9" t="inlineStr">
        <is>
          <t>date_first_visited</t>
        </is>
      </c>
      <c r="B7" s="10" t="inlineStr">
        <is>
          <t>Date First Visited the Patient (YYYYMMDD)</t>
        </is>
      </c>
      <c r="C7" s="10" t="inlineStr">
        <is>
          <t>Date First Visited the Patient (YYYYMMDD)</t>
        </is>
      </c>
      <c r="D7" s="10" t="inlineStr"/>
      <c r="E7" s="10" t="inlineStr"/>
      <c r="F7" s="10" t="inlineStr">
        <is>
          <t>Field Control</t>
        </is>
      </c>
      <c r="G7" s="10" t="inlineStr">
        <is>
          <t>numeric 8</t>
        </is>
      </c>
      <c r="H7" s="10" t="inlineStr"/>
      <c r="I7" s="10" t="inlineStr"/>
      <c r="J7" s="10" t="inlineStr"/>
    </row>
    <row r="8">
      <c r="A8" s="7" t="inlineStr">
        <is>
          <t>date_final_visit</t>
        </is>
      </c>
      <c r="B8" s="8" t="inlineStr">
        <is>
          <t>Date of Final Visit to the Patient (YYYYMMDD)</t>
        </is>
      </c>
      <c r="C8" s="8" t="inlineStr">
        <is>
          <t>Date of Final Visit to the Patient (YYYYMMDD)</t>
        </is>
      </c>
      <c r="D8" s="8" t="inlineStr"/>
      <c r="E8" s="8" t="inlineStr"/>
      <c r="F8" s="8" t="inlineStr">
        <is>
          <t>Field Control</t>
        </is>
      </c>
      <c r="G8" s="8" t="inlineStr">
        <is>
          <t>numeric 8</t>
        </is>
      </c>
      <c r="H8" s="8" t="inlineStr"/>
      <c r="I8" s="8" t="inlineStr"/>
      <c r="J8" s="8" t="inlineStr">
        <is>
          <t>[HARD] Valid date; `≥ DATE_FIRST_VISIT`; `≤ today + 1`</t>
        </is>
      </c>
    </row>
    <row r="9">
      <c r="A9" s="9" t="inlineStr">
        <is>
          <t>total_number_of_visits</t>
        </is>
      </c>
      <c r="B9" s="10" t="inlineStr">
        <is>
          <t>Total Number of Visits</t>
        </is>
      </c>
      <c r="C9" s="10" t="inlineStr">
        <is>
          <t>Total Number of Visits</t>
        </is>
      </c>
      <c r="D9" s="10" t="inlineStr"/>
      <c r="E9" s="10" t="inlineStr"/>
      <c r="F9" s="10" t="inlineStr">
        <is>
          <t>Field Control</t>
        </is>
      </c>
      <c r="G9" s="10" t="inlineStr">
        <is>
          <t>numeric 3</t>
        </is>
      </c>
      <c r="H9" s="10" t="inlineStr"/>
      <c r="I9" s="10" t="inlineStr"/>
      <c r="J9" s="10" t="inlineStr"/>
    </row>
    <row r="10">
      <c r="A10" s="7" t="inlineStr">
        <is>
          <t>enum_result_first_visit</t>
        </is>
      </c>
      <c r="B10" s="8" t="inlineStr">
        <is>
          <t>Result of First Visit</t>
        </is>
      </c>
      <c r="C10" s="8" t="inlineStr">
        <is>
          <t>Result of First Visit</t>
        </is>
      </c>
      <c r="D10" s="8" t="inlineStr"/>
      <c r="E10" s="8" t="inlineStr"/>
      <c r="F10" s="8" t="inlineStr">
        <is>
          <t>Field Control</t>
        </is>
      </c>
      <c r="G10" s="8" t="inlineStr">
        <is>
          <t>numeric 1</t>
        </is>
      </c>
      <c r="H10" s="8" t="inlineStr">
        <is>
          <t>1 = Completed
2 = Completed at the Hospital
3 = Postponed
4 = Incomplete
5 = Completed at Home
6 = Withdraw Participation/Consent
7 = Replaced</t>
        </is>
      </c>
      <c r="I10" s="8" t="inlineStr"/>
      <c r="J10" s="8" t="inlineStr"/>
    </row>
    <row r="11">
      <c r="A11" s="9" t="inlineStr">
        <is>
          <t>enum_result_final_visit</t>
        </is>
      </c>
      <c r="B11" s="10" t="inlineStr">
        <is>
          <t>Result of Final Visit</t>
        </is>
      </c>
      <c r="C11" s="10" t="inlineStr">
        <is>
          <t>Result of Final Visit</t>
        </is>
      </c>
      <c r="D11" s="10" t="inlineStr"/>
      <c r="E11" s="10" t="inlineStr"/>
      <c r="F11" s="10" t="inlineStr">
        <is>
          <t>Field Control</t>
        </is>
      </c>
      <c r="G11" s="10" t="inlineStr">
        <is>
          <t>numeric 1</t>
        </is>
      </c>
      <c r="H11" s="10" t="inlineStr">
        <is>
          <t>1 = Completed
2 = Completed at the Hospital
3 = Postponed
4 = Incomplete
5 = Completed at Home
6 = Withdraw Participation/Consent
7 = Replaced</t>
        </is>
      </c>
      <c r="I11" s="10" t="inlineStr"/>
      <c r="J11" s="10" t="inlineStr"/>
    </row>
    <row r="12">
      <c r="A12" s="7" t="inlineStr">
        <is>
          <t>language_used</t>
        </is>
      </c>
      <c r="B12" s="8" t="inlineStr">
        <is>
          <t>Language used for the interview</t>
        </is>
      </c>
      <c r="C12" s="8" t="inlineStr">
        <is>
          <t>Language used for the interview</t>
        </is>
      </c>
      <c r="D12" s="8" t="inlineStr"/>
      <c r="E12" s="8" t="inlineStr"/>
      <c r="F12" s="8" t="inlineStr">
        <is>
          <t>Field Control</t>
        </is>
      </c>
      <c r="G12" s="8" t="inlineStr">
        <is>
          <t>alpha 20</t>
        </is>
      </c>
      <c r="H12" s="8" t="inlineStr"/>
      <c r="I12" s="8" t="inlineStr"/>
      <c r="J12" s="8" t="inlineStr"/>
    </row>
    <row r="13">
      <c r="A13" s="9" t="inlineStr">
        <is>
          <t>patient_type</t>
        </is>
      </c>
      <c r="B13" s="10" t="inlineStr">
        <is>
          <t>Type of Patient</t>
        </is>
      </c>
      <c r="C13" s="10" t="inlineStr">
        <is>
          <t>Type of Patient</t>
        </is>
      </c>
      <c r="D13" s="10" t="inlineStr"/>
      <c r="E13" s="10" t="inlineStr"/>
      <c r="F13" s="10" t="inlineStr">
        <is>
          <t>Field Control</t>
        </is>
      </c>
      <c r="G13" s="10" t="inlineStr">
        <is>
          <t>numeric 1</t>
        </is>
      </c>
      <c r="H13" s="10" t="inlineStr">
        <is>
          <t>1 = Outpatient
2 = Inpatient</t>
        </is>
      </c>
      <c r="I13" s="10" t="inlineStr"/>
      <c r="J13" s="10" t="inlineStr">
        <is>
          <t>[HARD] Required, ∈ {Outpatient, Inpatient}; drives Section G vs Section H gating</t>
        </is>
      </c>
    </row>
    <row r="14">
      <c r="A14" s="7" t="inlineStr">
        <is>
          <t>breakoff</t>
        </is>
      </c>
      <c r="B14" s="8" t="inlineStr">
        <is>
          <t>Interview status (leave as Continue unless ending the interview early)</t>
        </is>
      </c>
      <c r="C14" s="8" t="inlineStr">
        <is>
          <t>Interview status (leave as Continue unless ending the interview early)</t>
        </is>
      </c>
      <c r="D14" s="8" t="inlineStr"/>
      <c r="E14" s="8" t="inlineStr"/>
      <c r="F14" s="8" t="inlineStr">
        <is>
          <t>Field Control</t>
        </is>
      </c>
      <c r="G14" s="8" t="inlineStr">
        <is>
          <t>numeric 1</t>
        </is>
      </c>
      <c r="H14" s="8" t="inlineStr">
        <is>
          <t>1 = Continue interview
2 = Respondent withdrew
3 = Postponed / reschedule
4 = Stop — other (incomplete)
6 = Not interviewed — not found
7 = Not interviewed — ineligible</t>
        </is>
      </c>
      <c r="I14" s="8" t="inlineStr">
        <is>
          <t>5 = Not interviewed — refused</t>
        </is>
      </c>
      <c r="J14" s="8" t="inlineStr">
        <is>
          <t>[HARD] Required; defaults to `1 — Continue interview`. If ≠ Continue → terminate; sets `ENUM_RESULT_FINAL_VISIT` (2 Withdrew → 6 Withdraw Participation/Consent; 3 Postponed → 3; 4 Stop-other → 4 Incomplete) and `CASE_DISPOSITION = 2`</t>
        </is>
      </c>
    </row>
    <row r="15">
      <c r="A15" s="9" t="inlineStr">
        <is>
          <t>case_disposition</t>
        </is>
      </c>
      <c r="B15" s="10" t="inlineStr">
        <is>
          <t>Case disposition (auto)</t>
        </is>
      </c>
      <c r="C15" s="10" t="inlineStr">
        <is>
          <t>Case disposition (auto)</t>
        </is>
      </c>
      <c r="D15" s="10" t="inlineStr"/>
      <c r="E15" s="10" t="inlineStr"/>
      <c r="F15" s="10" t="inlineStr">
        <is>
          <t>Field Control</t>
        </is>
      </c>
      <c r="G15" s="10" t="inlineStr">
        <is>
          <t>numeric 1</t>
        </is>
      </c>
      <c r="H15" s="10" t="inlineStr">
        <is>
          <t>0 = In progress
1 = Completed
2 = Partial / not completed</t>
        </is>
      </c>
      <c r="I15" s="10" t="inlineStr"/>
      <c r="J15" s="10" t="inlineStr">
        <is>
          <t>[—] Auto-written by logic, never typed: 0 In progress / 1 Completed / 2 Partial / not completed</t>
        </is>
      </c>
    </row>
    <row r="16">
      <c r="A16" s="7" t="inlineStr">
        <is>
          <t>region_code</t>
        </is>
      </c>
      <c r="B16" s="8" t="inlineStr">
        <is>
          <t>Region Code (PSGC)</t>
        </is>
      </c>
      <c r="C16" s="8" t="inlineStr">
        <is>
          <t>Region Code (PSGC)</t>
        </is>
      </c>
      <c r="D16" s="8" t="inlineStr"/>
      <c r="E16" s="8" t="inlineStr"/>
      <c r="F16" s="8" t="inlineStr">
        <is>
          <t>Field Control</t>
        </is>
      </c>
      <c r="G16" s="8" t="inlineStr">
        <is>
          <t>numeric 2</t>
        </is>
      </c>
      <c r="H16" s="8" t="inlineStr"/>
      <c r="I16" s="8" t="inlineStr"/>
      <c r="J16" s="8" t="inlineStr"/>
    </row>
    <row r="17">
      <c r="A17" s="9" t="inlineStr">
        <is>
          <t>province_huc_code</t>
        </is>
      </c>
      <c r="B17" s="10" t="inlineStr">
        <is>
          <t>Province / HUC Code (PSGC)</t>
        </is>
      </c>
      <c r="C17" s="10" t="inlineStr">
        <is>
          <t>Province / HUC Code (PSGC)</t>
        </is>
      </c>
      <c r="D17" s="10" t="inlineStr"/>
      <c r="E17" s="10" t="inlineStr"/>
      <c r="F17" s="10" t="inlineStr">
        <is>
          <t>Field Control</t>
        </is>
      </c>
      <c r="G17" s="10" t="inlineStr">
        <is>
          <t>numeric 2</t>
        </is>
      </c>
      <c r="H17" s="10" t="inlineStr"/>
      <c r="I17" s="10" t="inlineStr"/>
      <c r="J17" s="10" t="inlineStr"/>
    </row>
    <row r="18">
      <c r="A18" s="7" t="inlineStr">
        <is>
          <t>city_municipality_code</t>
        </is>
      </c>
      <c r="B18" s="8" t="inlineStr">
        <is>
          <t>City / Municipality Code (PSGC)</t>
        </is>
      </c>
      <c r="C18" s="8" t="inlineStr">
        <is>
          <t>City / Municipality Code (PSGC)</t>
        </is>
      </c>
      <c r="D18" s="8" t="inlineStr"/>
      <c r="E18" s="8" t="inlineStr"/>
      <c r="F18" s="8" t="inlineStr">
        <is>
          <t>Field Control</t>
        </is>
      </c>
      <c r="G18" s="8" t="inlineStr">
        <is>
          <t>numeric 3</t>
        </is>
      </c>
      <c r="H18" s="8" t="inlineStr"/>
      <c r="I18" s="8" t="inlineStr"/>
      <c r="J18" s="8" t="inlineStr"/>
    </row>
    <row r="19">
      <c r="A19" s="9" t="inlineStr">
        <is>
          <t>facility_no</t>
        </is>
      </c>
      <c r="B19" s="10" t="inlineStr">
        <is>
          <t>Facility Number (within municipality)</t>
        </is>
      </c>
      <c r="C19" s="10" t="inlineStr">
        <is>
          <t>Facility Number (within municipality)</t>
        </is>
      </c>
      <c r="D19" s="10" t="inlineStr"/>
      <c r="E19" s="10" t="inlineStr"/>
      <c r="F19" s="10" t="inlineStr">
        <is>
          <t>Field Control</t>
        </is>
      </c>
      <c r="G19" s="10" t="inlineStr">
        <is>
          <t>numeric 2</t>
        </is>
      </c>
      <c r="H19" s="10" t="inlineStr"/>
      <c r="I19" s="10" t="inlineStr"/>
      <c r="J19" s="10" t="inlineStr"/>
    </row>
    <row r="20">
      <c r="A20" s="7" t="inlineStr">
        <is>
          <t>case_seq</t>
        </is>
      </c>
      <c r="B20" s="8" t="inlineStr">
        <is>
          <t>Case Sequence (per-facility, per-instrument)</t>
        </is>
      </c>
      <c r="C20" s="8" t="inlineStr">
        <is>
          <t>Case Sequence (per-facility, per-instrument)</t>
        </is>
      </c>
      <c r="D20" s="8" t="inlineStr"/>
      <c r="E20" s="8" t="inlineStr"/>
      <c r="F20" s="8" t="inlineStr">
        <is>
          <t>Field Control</t>
        </is>
      </c>
      <c r="G20" s="8" t="inlineStr">
        <is>
          <t>numeric 3</t>
        </is>
      </c>
      <c r="H20" s="8" t="inlineStr"/>
      <c r="I20" s="8" t="inlineStr"/>
      <c r="J20" s="8" t="inlineStr"/>
    </row>
    <row r="21">
      <c r="A21" s="9" t="inlineStr">
        <is>
          <t>region_name</t>
        </is>
      </c>
      <c r="B21" s="10" t="inlineStr">
        <is>
          <t>Region (from PSGC)</t>
        </is>
      </c>
      <c r="C21" s="10" t="inlineStr">
        <is>
          <t>Region (from PSGC)</t>
        </is>
      </c>
      <c r="D21" s="10" t="inlineStr"/>
      <c r="E21" s="10" t="inlineStr"/>
      <c r="F21" s="10" t="inlineStr">
        <is>
          <t>Field Control</t>
        </is>
      </c>
      <c r="G21" s="10" t="inlineStr">
        <is>
          <t>alpha 80</t>
        </is>
      </c>
      <c r="H21" s="10" t="inlineStr"/>
      <c r="I21" s="10" t="inlineStr"/>
      <c r="J21" s="10" t="inlineStr"/>
    </row>
    <row r="22">
      <c r="A22" s="7" t="inlineStr">
        <is>
          <t>province_name</t>
        </is>
      </c>
      <c r="B22" s="8" t="inlineStr">
        <is>
          <t>Province / HUC (from PSGC)</t>
        </is>
      </c>
      <c r="C22" s="8" t="inlineStr">
        <is>
          <t>Province / HUC (from PSGC)</t>
        </is>
      </c>
      <c r="D22" s="8" t="inlineStr"/>
      <c r="E22" s="8" t="inlineStr"/>
      <c r="F22" s="8" t="inlineStr">
        <is>
          <t>Field Control</t>
        </is>
      </c>
      <c r="G22" s="8" t="inlineStr">
        <is>
          <t>alpha 80</t>
        </is>
      </c>
      <c r="H22" s="8" t="inlineStr"/>
      <c r="I22" s="8" t="inlineStr"/>
      <c r="J22" s="8" t="inlineStr"/>
    </row>
    <row r="23">
      <c r="A23" s="9" t="inlineStr">
        <is>
          <t>city_name</t>
        </is>
      </c>
      <c r="B23" s="10" t="inlineStr">
        <is>
          <t>City / Municipality (from PSGC)</t>
        </is>
      </c>
      <c r="C23" s="10" t="inlineStr">
        <is>
          <t>City / Municipality (from PSGC)</t>
        </is>
      </c>
      <c r="D23" s="10" t="inlineStr"/>
      <c r="E23" s="10" t="inlineStr"/>
      <c r="F23" s="10" t="inlineStr">
        <is>
          <t>Field Control</t>
        </is>
      </c>
      <c r="G23" s="10" t="inlineStr">
        <is>
          <t>alpha 80</t>
        </is>
      </c>
      <c r="H23" s="10" t="inlineStr"/>
      <c r="I23" s="10" t="inlineStr"/>
      <c r="J23" s="10" t="inlineStr"/>
    </row>
    <row r="24">
      <c r="A24" s="7" t="inlineStr">
        <is>
          <t>classification</t>
        </is>
      </c>
      <c r="B24" s="8" t="inlineStr">
        <is>
          <t>Classification</t>
        </is>
      </c>
      <c r="C24" s="8" t="inlineStr">
        <is>
          <t>Classification</t>
        </is>
      </c>
      <c r="D24" s="8" t="inlineStr"/>
      <c r="E24" s="8" t="inlineStr"/>
      <c r="F24" s="8" t="inlineStr">
        <is>
          <t>Patient Geographic Identification</t>
        </is>
      </c>
      <c r="G24" s="8" t="inlineStr">
        <is>
          <t>numeric 1</t>
        </is>
      </c>
      <c r="H24" s="8" t="inlineStr">
        <is>
          <t>1 = UHC IS
2 = Non-UHC IS</t>
        </is>
      </c>
      <c r="I24" s="8" t="inlineStr"/>
      <c r="J24" s="8" t="inlineStr">
        <is>
          <t>[HARD] Required, non-blank; must exist in the loaded PSGC external lookup dictionaries (`shared/psgc_*.dcf`)</t>
        </is>
      </c>
    </row>
    <row r="25">
      <c r="A25" s="9" t="inlineStr">
        <is>
          <t>region</t>
        </is>
      </c>
      <c r="B25" s="10" t="inlineStr">
        <is>
          <t>Region</t>
        </is>
      </c>
      <c r="C25" s="10" t="inlineStr">
        <is>
          <t>Region</t>
        </is>
      </c>
      <c r="D25" s="10" t="inlineStr"/>
      <c r="E25" s="10" t="inlineStr"/>
      <c r="F25" s="10" t="inlineStr">
        <is>
          <t>Patient Geographic Identification</t>
        </is>
      </c>
      <c r="G25" s="10" t="inlineStr">
        <is>
          <t>numeric 10</t>
        </is>
      </c>
      <c r="H25" s="10" t="inlineStr">
        <is>
          <t>0000000000 = (set at runtime)</t>
        </is>
      </c>
      <c r="I25" s="10" t="inlineStr"/>
      <c r="J25" s="10" t="inlineStr">
        <is>
          <t>[HARD] Required, non-blank; must exist in the loaded PSGC external lookup dictionaries (`shared/psgc_*.dcf`)</t>
        </is>
      </c>
    </row>
    <row r="26">
      <c r="A26" s="7" t="inlineStr">
        <is>
          <t>province_huc</t>
        </is>
      </c>
      <c r="B26" s="8" t="inlineStr">
        <is>
          <t>Province / HUC</t>
        </is>
      </c>
      <c r="C26" s="8" t="inlineStr">
        <is>
          <t>Province / HUC</t>
        </is>
      </c>
      <c r="D26" s="8" t="inlineStr"/>
      <c r="E26" s="8" t="inlineStr"/>
      <c r="F26" s="8" t="inlineStr">
        <is>
          <t>Patient Geographic Identification</t>
        </is>
      </c>
      <c r="G26" s="8" t="inlineStr">
        <is>
          <t>numeric 10</t>
        </is>
      </c>
      <c r="H26" s="8" t="inlineStr">
        <is>
          <t>0000000000 = (set at runtime)</t>
        </is>
      </c>
      <c r="I26" s="8" t="inlineStr"/>
      <c r="J26" s="8" t="inlineStr">
        <is>
          <t>[HARD] Required, non-blank; must exist in the loaded PSGC external lookup dictionaries (`shared/psgc_*.dcf`)</t>
        </is>
      </c>
    </row>
    <row r="27">
      <c r="A27" s="9" t="inlineStr">
        <is>
          <t>city_municipality</t>
        </is>
      </c>
      <c r="B27" s="10" t="inlineStr">
        <is>
          <t>City / Municipality</t>
        </is>
      </c>
      <c r="C27" s="10" t="inlineStr">
        <is>
          <t>City / Municipality</t>
        </is>
      </c>
      <c r="D27" s="10" t="inlineStr"/>
      <c r="E27" s="10" t="inlineStr"/>
      <c r="F27" s="10" t="inlineStr">
        <is>
          <t>Patient Geographic Identification</t>
        </is>
      </c>
      <c r="G27" s="10" t="inlineStr">
        <is>
          <t>numeric 10</t>
        </is>
      </c>
      <c r="H27" s="10" t="inlineStr">
        <is>
          <t>0000000000 = (set at runtime)</t>
        </is>
      </c>
      <c r="I27" s="10" t="inlineStr"/>
      <c r="J27" s="10" t="inlineStr">
        <is>
          <t>[HARD] Required, non-blank; must exist in the loaded PSGC external lookup dictionaries (`shared/psgc_*.dcf`)</t>
        </is>
      </c>
    </row>
    <row r="28">
      <c r="A28" s="7" t="inlineStr">
        <is>
          <t>barangay</t>
        </is>
      </c>
      <c r="B28" s="8" t="inlineStr">
        <is>
          <t>Barangay</t>
        </is>
      </c>
      <c r="C28" s="8" t="inlineStr">
        <is>
          <t>Barangay</t>
        </is>
      </c>
      <c r="D28" s="8" t="inlineStr"/>
      <c r="E28" s="8" t="inlineStr"/>
      <c r="F28" s="8" t="inlineStr">
        <is>
          <t>Patient Geographic Identification</t>
        </is>
      </c>
      <c r="G28" s="8" t="inlineStr">
        <is>
          <t>numeric 10</t>
        </is>
      </c>
      <c r="H28" s="8" t="inlineStr">
        <is>
          <t>0000000000 = (set at runtime)</t>
        </is>
      </c>
      <c r="I28" s="8" t="inlineStr"/>
      <c r="J28" s="8" t="inlineStr">
        <is>
          <t>[HARD] Required, non-blank; must exist in the loaded PSGC external lookup dictionaries (`shared/psgc_*.dcf`)</t>
        </is>
      </c>
    </row>
    <row r="29">
      <c r="A29" s="9" t="inlineStr">
        <is>
          <t>facility_name</t>
        </is>
      </c>
      <c r="B29" s="10" t="inlineStr">
        <is>
          <t>Facility Name</t>
        </is>
      </c>
      <c r="C29" s="10" t="inlineStr">
        <is>
          <t>Facility Name</t>
        </is>
      </c>
      <c r="D29" s="10" t="inlineStr"/>
      <c r="E29" s="10" t="inlineStr"/>
      <c r="F29" s="10" t="inlineStr">
        <is>
          <t>Patient Geographic Identification</t>
        </is>
      </c>
      <c r="G29" s="10" t="inlineStr">
        <is>
          <t>alpha 100</t>
        </is>
      </c>
      <c r="H29" s="10" t="inlineStr"/>
      <c r="I29" s="10" t="inlineStr"/>
      <c r="J29" s="10" t="inlineStr"/>
    </row>
    <row r="30">
      <c r="A30" s="7" t="inlineStr">
        <is>
          <t>facility_street</t>
        </is>
      </c>
      <c r="B30" s="8" t="inlineStr">
        <is>
          <t>Facility Address — Street Name / No.</t>
        </is>
      </c>
      <c r="C30" s="8" t="inlineStr">
        <is>
          <t>Facility Address — Street Name / No.</t>
        </is>
      </c>
      <c r="D30" s="8" t="inlineStr"/>
      <c r="E30" s="8" t="inlineStr"/>
      <c r="F30" s="8" t="inlineStr">
        <is>
          <t>Patient Geographic Identification</t>
        </is>
      </c>
      <c r="G30" s="8" t="inlineStr">
        <is>
          <t>alpha 120</t>
        </is>
      </c>
      <c r="H30" s="8" t="inlineStr"/>
      <c r="I30" s="8" t="inlineStr"/>
      <c r="J30" s="8" t="inlineStr"/>
    </row>
    <row r="31">
      <c r="A31" s="9" t="inlineStr">
        <is>
          <t>barangay_name</t>
        </is>
      </c>
      <c r="B31" s="10" t="inlineStr">
        <is>
          <t>Barangay (from PSGC)</t>
        </is>
      </c>
      <c r="C31" s="10" t="inlineStr">
        <is>
          <t>Barangay (from PSGC)</t>
        </is>
      </c>
      <c r="D31" s="10" t="inlineStr"/>
      <c r="E31" s="10" t="inlineStr"/>
      <c r="F31" s="10" t="inlineStr">
        <is>
          <t>Patient Geographic Identification</t>
        </is>
      </c>
      <c r="G31" s="10" t="inlineStr">
        <is>
          <t>alpha 80</t>
        </is>
      </c>
      <c r="H31" s="10" t="inlineStr"/>
      <c r="I31" s="10" t="inlineStr"/>
      <c r="J31" s="10" t="inlineStr"/>
    </row>
    <row r="32">
      <c r="A32" s="7" t="inlineStr">
        <is>
          <t>facility_address</t>
        </is>
      </c>
      <c r="B32" s="8" t="inlineStr">
        <is>
          <t>Facility Address (Street, Barangay, Municipality)</t>
        </is>
      </c>
      <c r="C32" s="8" t="inlineStr">
        <is>
          <t>Facility Address (Street, Barangay, Municipality)</t>
        </is>
      </c>
      <c r="D32" s="8" t="inlineStr"/>
      <c r="E32" s="8" t="inlineStr"/>
      <c r="F32" s="8" t="inlineStr">
        <is>
          <t>Patient Geographic Identification</t>
        </is>
      </c>
      <c r="G32" s="8" t="inlineStr">
        <is>
          <t>alpha 200</t>
        </is>
      </c>
      <c r="H32" s="8" t="inlineStr"/>
      <c r="I32" s="8" t="inlineStr"/>
      <c r="J32" s="8" t="inlineStr"/>
    </row>
    <row r="33">
      <c r="A33" s="9" t="inlineStr">
        <is>
          <t>p_region</t>
        </is>
      </c>
      <c r="B33" s="10" t="inlineStr">
        <is>
          <t>Patient Home Region</t>
        </is>
      </c>
      <c r="C33" s="10" t="inlineStr">
        <is>
          <t>Patient Home Region</t>
        </is>
      </c>
      <c r="D33" s="10" t="inlineStr"/>
      <c r="E33" s="10" t="inlineStr"/>
      <c r="F33" s="10" t="inlineStr">
        <is>
          <t>Patient Geographic Identification</t>
        </is>
      </c>
      <c r="G33" s="10" t="inlineStr">
        <is>
          <t>numeric 10</t>
        </is>
      </c>
      <c r="H33" s="10" t="inlineStr">
        <is>
          <t>0000000000 = (set at runtime)</t>
        </is>
      </c>
      <c r="I33" s="10" t="inlineStr"/>
      <c r="J33" s="10" t="inlineStr">
        <is>
          <t>[HARD] Required when `PATIENT_TYPE = Outpatient` or home-visit interview; exist in PSGC lookups</t>
        </is>
      </c>
    </row>
    <row r="34">
      <c r="A34" s="7" t="inlineStr">
        <is>
          <t>p_province_huc</t>
        </is>
      </c>
      <c r="B34" s="8" t="inlineStr">
        <is>
          <t>Patient Home Province / HUC</t>
        </is>
      </c>
      <c r="C34" s="8" t="inlineStr">
        <is>
          <t>Patient Home Province / HUC</t>
        </is>
      </c>
      <c r="D34" s="8" t="inlineStr"/>
      <c r="E34" s="8" t="inlineStr"/>
      <c r="F34" s="8" t="inlineStr">
        <is>
          <t>Patient Geographic Identification</t>
        </is>
      </c>
      <c r="G34" s="8" t="inlineStr">
        <is>
          <t>numeric 10</t>
        </is>
      </c>
      <c r="H34" s="8" t="inlineStr">
        <is>
          <t>0000000000 = (set at runtime)</t>
        </is>
      </c>
      <c r="I34" s="8" t="inlineStr"/>
      <c r="J34" s="8" t="inlineStr">
        <is>
          <t>[HARD] Required when `PATIENT_TYPE = Outpatient` or home-visit interview; exist in PSGC lookups</t>
        </is>
      </c>
    </row>
    <row r="35">
      <c r="A35" s="9" t="inlineStr">
        <is>
          <t>p_city_municipality</t>
        </is>
      </c>
      <c r="B35" s="10" t="inlineStr">
        <is>
          <t>Patient Home City / Municipality</t>
        </is>
      </c>
      <c r="C35" s="10" t="inlineStr">
        <is>
          <t>Patient Home City / Municipality</t>
        </is>
      </c>
      <c r="D35" s="10" t="inlineStr"/>
      <c r="E35" s="10" t="inlineStr"/>
      <c r="F35" s="10" t="inlineStr">
        <is>
          <t>Patient Geographic Identification</t>
        </is>
      </c>
      <c r="G35" s="10" t="inlineStr">
        <is>
          <t>numeric 10</t>
        </is>
      </c>
      <c r="H35" s="10" t="inlineStr">
        <is>
          <t>0000000000 = (set at runtime)</t>
        </is>
      </c>
      <c r="I35" s="10" t="inlineStr"/>
      <c r="J35" s="10" t="inlineStr">
        <is>
          <t>[HARD] Required when `PATIENT_TYPE = Outpatient` or home-visit interview; exist in PSGC lookups</t>
        </is>
      </c>
    </row>
    <row r="36">
      <c r="A36" s="7" t="inlineStr">
        <is>
          <t>p_barangay</t>
        </is>
      </c>
      <c r="B36" s="8" t="inlineStr">
        <is>
          <t>Patient Home Barangay</t>
        </is>
      </c>
      <c r="C36" s="8" t="inlineStr">
        <is>
          <t>Patient Home Barangay</t>
        </is>
      </c>
      <c r="D36" s="8" t="inlineStr"/>
      <c r="E36" s="8" t="inlineStr"/>
      <c r="F36" s="8" t="inlineStr">
        <is>
          <t>Patient Geographic Identification</t>
        </is>
      </c>
      <c r="G36" s="8" t="inlineStr">
        <is>
          <t>numeric 10</t>
        </is>
      </c>
      <c r="H36" s="8" t="inlineStr">
        <is>
          <t>0000000000 = (set at runtime)</t>
        </is>
      </c>
      <c r="I36" s="8" t="inlineStr"/>
      <c r="J36" s="8" t="inlineStr">
        <is>
          <t>[HARD] Required when `PATIENT_TYPE = Outpatient` or home-visit interview; exist in PSGC lookups</t>
        </is>
      </c>
    </row>
    <row r="37">
      <c r="A37" s="9" t="inlineStr">
        <is>
          <t>facility_gps_latitude</t>
        </is>
      </c>
      <c r="B37" s="10" t="inlineStr">
        <is>
          <t>GPS Latitude</t>
        </is>
      </c>
      <c r="C37" s="10" t="inlineStr">
        <is>
          <t>GPS Latitude</t>
        </is>
      </c>
      <c r="D37" s="10" t="inlineStr"/>
      <c r="E37" s="10" t="inlineStr"/>
      <c r="F37" s="10" t="inlineStr">
        <is>
          <t>Facility GPS Capture</t>
        </is>
      </c>
      <c r="G37" s="10" t="inlineStr">
        <is>
          <t>alpha 12</t>
        </is>
      </c>
      <c r="H37" s="10" t="inlineStr"/>
      <c r="I37" s="10" t="inlineStr"/>
      <c r="J37" s="10" t="inlineStr">
        <is>
          <t>[HARD] Alpha; after capture, `tonumber()` must be in `[4.5, 21.5]` (Philippine bounding box)</t>
        </is>
      </c>
    </row>
    <row r="38">
      <c r="A38" s="7" t="inlineStr">
        <is>
          <t>facility_gps_longitude</t>
        </is>
      </c>
      <c r="B38" s="8" t="inlineStr">
        <is>
          <t>GPS Longitude</t>
        </is>
      </c>
      <c r="C38" s="8" t="inlineStr">
        <is>
          <t>GPS Longitude</t>
        </is>
      </c>
      <c r="D38" s="8" t="inlineStr"/>
      <c r="E38" s="8" t="inlineStr"/>
      <c r="F38" s="8" t="inlineStr">
        <is>
          <t>Facility GPS Capture</t>
        </is>
      </c>
      <c r="G38" s="8" t="inlineStr">
        <is>
          <t>alpha 12</t>
        </is>
      </c>
      <c r="H38" s="8" t="inlineStr"/>
      <c r="I38" s="8" t="inlineStr"/>
      <c r="J38" s="8" t="inlineStr">
        <is>
          <t>[HARD] After capture, `tonumber()` in `[116.5, 127.0]`</t>
        </is>
      </c>
    </row>
    <row r="39">
      <c r="A39" s="9" t="inlineStr">
        <is>
          <t>facility_gps_altitude</t>
        </is>
      </c>
      <c r="B39" s="10" t="inlineStr">
        <is>
          <t>GPS Altitude (m)</t>
        </is>
      </c>
      <c r="C39" s="10" t="inlineStr">
        <is>
          <t>GPS Altitude (m)</t>
        </is>
      </c>
      <c r="D39" s="10" t="inlineStr"/>
      <c r="E39" s="10" t="inlineStr"/>
      <c r="F39" s="10" t="inlineStr">
        <is>
          <t>Facility GPS Capture</t>
        </is>
      </c>
      <c r="G39" s="10" t="inlineStr">
        <is>
          <t>alpha 10</t>
        </is>
      </c>
      <c r="H39" s="10" t="inlineStr"/>
      <c r="I39" s="10" t="inlineStr"/>
      <c r="J39" s="10" t="inlineStr"/>
    </row>
    <row r="40">
      <c r="A40" s="7" t="inlineStr">
        <is>
          <t>facility_gps_accuracy</t>
        </is>
      </c>
      <c r="B40" s="8" t="inlineStr">
        <is>
          <t>GPS Accuracy (m)</t>
        </is>
      </c>
      <c r="C40" s="8" t="inlineStr">
        <is>
          <t>GPS Accuracy (m)</t>
        </is>
      </c>
      <c r="D40" s="8" t="inlineStr"/>
      <c r="E40" s="8" t="inlineStr"/>
      <c r="F40" s="8" t="inlineStr">
        <is>
          <t>Facility GPS Capture</t>
        </is>
      </c>
      <c r="G40" s="8" t="inlineStr">
        <is>
          <t>numeric 3</t>
        </is>
      </c>
      <c r="H40" s="8" t="inlineStr"/>
      <c r="I40" s="8" t="inlineStr"/>
      <c r="J40" s="8" t="inlineStr">
        <is>
          <t>[SOFT] Numeric, metres. Warn if `&gt; 30` — re-read outdoors recommended</t>
        </is>
      </c>
    </row>
    <row r="41">
      <c r="A41" s="9" t="inlineStr">
        <is>
          <t>facility_gps_satellites</t>
        </is>
      </c>
      <c r="B41" s="10" t="inlineStr">
        <is>
          <t>GPS Satellites</t>
        </is>
      </c>
      <c r="C41" s="10" t="inlineStr">
        <is>
          <t>GPS Satellites</t>
        </is>
      </c>
      <c r="D41" s="10" t="inlineStr"/>
      <c r="E41" s="10" t="inlineStr"/>
      <c r="F41" s="10" t="inlineStr">
        <is>
          <t>Facility GPS Capture</t>
        </is>
      </c>
      <c r="G41" s="10" t="inlineStr">
        <is>
          <t>numeric 2</t>
        </is>
      </c>
      <c r="H41" s="10" t="inlineStr"/>
      <c r="I41" s="10" t="inlineStr"/>
      <c r="J41" s="10" t="inlineStr">
        <is>
          <t>[SOFT] Numeric. Warn if `&lt; 4` (fix is below minimum for reliable lat/lon)</t>
        </is>
      </c>
    </row>
    <row r="42">
      <c r="A42" s="7" t="inlineStr">
        <is>
          <t>facility_gps_readtime</t>
        </is>
      </c>
      <c r="B42" s="8" t="inlineStr">
        <is>
          <t>GPS Read Time (UTC)</t>
        </is>
      </c>
      <c r="C42" s="8" t="inlineStr">
        <is>
          <t>GPS Read Time (UTC)</t>
        </is>
      </c>
      <c r="D42" s="8" t="inlineStr"/>
      <c r="E42" s="8" t="inlineStr"/>
      <c r="F42" s="8" t="inlineStr">
        <is>
          <t>Facility GPS Capture</t>
        </is>
      </c>
      <c r="G42" s="8" t="inlineStr">
        <is>
          <t>alpha 19</t>
        </is>
      </c>
      <c r="H42" s="8" t="inlineStr"/>
      <c r="I42" s="8" t="inlineStr"/>
      <c r="J42" s="8" t="inlineStr">
        <is>
          <t>[SOFT] Alpha UTC timestamp; must parse and be within `±24 h` of `DATE_FINAL_VISIT`</t>
        </is>
      </c>
    </row>
    <row r="43">
      <c r="A43" s="9" t="inlineStr">
        <is>
          <t>p_home_gps_latitude</t>
        </is>
      </c>
      <c r="B43" s="10" t="inlineStr">
        <is>
          <t>GPS Latitude</t>
        </is>
      </c>
      <c r="C43" s="10" t="inlineStr">
        <is>
          <t>GPS Latitude</t>
        </is>
      </c>
      <c r="D43" s="10" t="inlineStr"/>
      <c r="E43" s="10" t="inlineStr"/>
      <c r="F43" s="10" t="inlineStr">
        <is>
          <t>Patient Home GPS Capture</t>
        </is>
      </c>
      <c r="G43" s="10" t="inlineStr">
        <is>
          <t>alpha 12</t>
        </is>
      </c>
      <c r="H43" s="10" t="inlineStr"/>
      <c r="I43" s="10" t="inlineStr"/>
      <c r="J43" s="10" t="inlineStr">
        <is>
          <t>[HARD] Same bounding-box checks as facility block</t>
        </is>
      </c>
    </row>
    <row r="44">
      <c r="A44" s="7" t="inlineStr">
        <is>
          <t>p_home_gps_longitude</t>
        </is>
      </c>
      <c r="B44" s="8" t="inlineStr">
        <is>
          <t>GPS Longitude</t>
        </is>
      </c>
      <c r="C44" s="8" t="inlineStr">
        <is>
          <t>GPS Longitude</t>
        </is>
      </c>
      <c r="D44" s="8" t="inlineStr"/>
      <c r="E44" s="8" t="inlineStr"/>
      <c r="F44" s="8" t="inlineStr">
        <is>
          <t>Patient Home GPS Capture</t>
        </is>
      </c>
      <c r="G44" s="8" t="inlineStr">
        <is>
          <t>alpha 12</t>
        </is>
      </c>
      <c r="H44" s="8" t="inlineStr"/>
      <c r="I44" s="8" t="inlineStr"/>
      <c r="J44" s="8" t="inlineStr">
        <is>
          <t>[HARD] Same bounding-box checks as facility block</t>
        </is>
      </c>
    </row>
    <row r="45">
      <c r="A45" s="9" t="inlineStr">
        <is>
          <t>p_home_gps_altitude</t>
        </is>
      </c>
      <c r="B45" s="10" t="inlineStr">
        <is>
          <t>GPS Altitude (m)</t>
        </is>
      </c>
      <c r="C45" s="10" t="inlineStr">
        <is>
          <t>GPS Altitude (m)</t>
        </is>
      </c>
      <c r="D45" s="10" t="inlineStr"/>
      <c r="E45" s="10" t="inlineStr"/>
      <c r="F45" s="10" t="inlineStr">
        <is>
          <t>Patient Home GPS Capture</t>
        </is>
      </c>
      <c r="G45" s="10" t="inlineStr">
        <is>
          <t>alpha 10</t>
        </is>
      </c>
      <c r="H45" s="10" t="inlineStr"/>
      <c r="I45" s="10" t="inlineStr"/>
      <c r="J45" s="10" t="inlineStr"/>
    </row>
    <row r="46">
      <c r="A46" s="7" t="inlineStr">
        <is>
          <t>p_home_gps_accuracy</t>
        </is>
      </c>
      <c r="B46" s="8" t="inlineStr">
        <is>
          <t>GPS Accuracy (m)</t>
        </is>
      </c>
      <c r="C46" s="8" t="inlineStr">
        <is>
          <t>GPS Accuracy (m)</t>
        </is>
      </c>
      <c r="D46" s="8" t="inlineStr"/>
      <c r="E46" s="8" t="inlineStr"/>
      <c r="F46" s="8" t="inlineStr">
        <is>
          <t>Patient Home GPS Capture</t>
        </is>
      </c>
      <c r="G46" s="8" t="inlineStr">
        <is>
          <t>numeric 3</t>
        </is>
      </c>
      <c r="H46" s="8" t="inlineStr"/>
      <c r="I46" s="8" t="inlineStr"/>
      <c r="J46" s="8" t="inlineStr">
        <is>
          <t>[SOFT] Same sanity rules as facility block</t>
        </is>
      </c>
    </row>
    <row r="47">
      <c r="A47" s="9" t="inlineStr">
        <is>
          <t>p_home_gps_satellites</t>
        </is>
      </c>
      <c r="B47" s="10" t="inlineStr">
        <is>
          <t>GPS Satellites</t>
        </is>
      </c>
      <c r="C47" s="10" t="inlineStr">
        <is>
          <t>GPS Satellites</t>
        </is>
      </c>
      <c r="D47" s="10" t="inlineStr"/>
      <c r="E47" s="10" t="inlineStr"/>
      <c r="F47" s="10" t="inlineStr">
        <is>
          <t>Patient Home GPS Capture</t>
        </is>
      </c>
      <c r="G47" s="10" t="inlineStr">
        <is>
          <t>numeric 2</t>
        </is>
      </c>
      <c r="H47" s="10" t="inlineStr"/>
      <c r="I47" s="10" t="inlineStr"/>
      <c r="J47" s="10" t="inlineStr">
        <is>
          <t>[SOFT] Same sanity rules as facility block</t>
        </is>
      </c>
    </row>
    <row r="48">
      <c r="A48" s="7" t="inlineStr">
        <is>
          <t>p_home_gps_readtime</t>
        </is>
      </c>
      <c r="B48" s="8" t="inlineStr">
        <is>
          <t>GPS Read Time (UTC)</t>
        </is>
      </c>
      <c r="C48" s="8" t="inlineStr">
        <is>
          <t>GPS Read Time (UTC)</t>
        </is>
      </c>
      <c r="D48" s="8" t="inlineStr"/>
      <c r="E48" s="8" t="inlineStr"/>
      <c r="F48" s="8" t="inlineStr">
        <is>
          <t>Patient Home GPS Capture</t>
        </is>
      </c>
      <c r="G48" s="8" t="inlineStr">
        <is>
          <t>alpha 19</t>
        </is>
      </c>
      <c r="H48" s="8" t="inlineStr"/>
      <c r="I48" s="8" t="inlineStr"/>
      <c r="J48" s="8" t="inlineStr">
        <is>
          <t>[SOFT] Same sanity rules as facility block</t>
        </is>
      </c>
    </row>
    <row r="49">
      <c r="A49" s="9" t="inlineStr">
        <is>
          <t>verification_photo_image</t>
        </is>
      </c>
      <c r="B49" s="10" t="inlineStr">
        <is>
          <t>Verification Photo (binary; syncs to CSWeb)</t>
        </is>
      </c>
      <c r="C49" s="10" t="inlineStr"/>
      <c r="D49" s="10" t="inlineStr"/>
      <c r="E49" s="10" t="inlineStr"/>
      <c r="F49" s="10" t="inlineStr">
        <is>
          <t>Case Verification Photo</t>
        </is>
      </c>
      <c r="G49" s="10" t="inlineStr">
        <is>
          <t>image</t>
        </is>
      </c>
      <c r="H49" s="10" t="inlineStr"/>
      <c r="I49" s="10" t="inlineStr"/>
      <c r="J49" s="10" t="inlineStr"/>
    </row>
    <row r="50">
      <c r="A50" s="7" t="inlineStr">
        <is>
          <t>verification_photo_filename</t>
        </is>
      </c>
      <c r="B50" s="8" t="inlineStr">
        <is>
          <t>Verification Photo Filename</t>
        </is>
      </c>
      <c r="C50" s="8" t="inlineStr">
        <is>
          <t>Verification Photo Filename</t>
        </is>
      </c>
      <c r="D50" s="8" t="inlineStr"/>
      <c r="E50" s="8" t="inlineStr"/>
      <c r="F50" s="8" t="inlineStr">
        <is>
          <t>Case Verification Photo</t>
        </is>
      </c>
      <c r="G50" s="8" t="inlineStr">
        <is>
          <t>alpha 120</t>
        </is>
      </c>
      <c r="H50" s="8" t="inlineStr"/>
      <c r="I50" s="8" t="inlineStr"/>
      <c r="J50" s="8" t="inlineStr">
        <is>
          <t>[HARD] Non-blank when `ENUM_RESULT_FINAL_VISIT = Completed*`; 120-char alpha populated by `TakeVerificationPhoto()`</t>
        </is>
      </c>
    </row>
    <row r="51">
      <c r="A51" s="9" t="inlineStr">
        <is>
          <t>capture_verification_photo</t>
        </is>
      </c>
      <c r="B51" s="10" t="inlineStr">
        <is>
          <t>Take Verification Photo</t>
        </is>
      </c>
      <c r="C51" s="10" t="inlineStr">
        <is>
          <t>Take Verification Photo</t>
        </is>
      </c>
      <c r="D51" s="10" t="inlineStr"/>
      <c r="E51" s="10" t="inlineStr"/>
      <c r="F51" s="10" t="inlineStr">
        <is>
          <t>Case Verification Photo</t>
        </is>
      </c>
      <c r="G51" s="10" t="inlineStr">
        <is>
          <t>numeric 1</t>
        </is>
      </c>
      <c r="H51" s="10" t="inlineStr">
        <is>
          <t>1 = Take verification photo</t>
        </is>
      </c>
      <c r="I51" s="10" t="inlineStr"/>
      <c r="J51" s="10" t="inlineStr">
        <is>
          <t>[—] Trigger; auto-resets to blank after each successful capture</t>
        </is>
      </c>
    </row>
    <row r="52">
      <c r="A52" s="7" t="inlineStr">
        <is>
          <t>q1_is_patient</t>
        </is>
      </c>
      <c r="B52" s="8" t="inlineStr">
        <is>
          <t>1. Before we begin, to confirm, are you the patient?</t>
        </is>
      </c>
      <c r="C52" s="8" t="inlineStr">
        <is>
          <t>1. Before we begin, to confirm, are you the patient?</t>
        </is>
      </c>
      <c r="D52" s="8" t="inlineStr"/>
      <c r="E52" s="8">
        <f> Yes (1) → Q4 (skip Q2, Q3; respondent IS the patient, no relationship or co-residence questions needed)</f>
        <v/>
      </c>
      <c r="F52" s="8" t="inlineStr">
        <is>
          <t>A. Introduction and Informed Consent</t>
        </is>
      </c>
      <c r="G52" s="8" t="inlineStr">
        <is>
          <t>numeric 1</t>
        </is>
      </c>
      <c r="H52" s="8" t="inlineStr">
        <is>
          <t>1 = Yes
2 = No</t>
        </is>
      </c>
      <c r="I52" s="8" t="inlineStr"/>
      <c r="J52" s="8" t="inlineStr"/>
    </row>
    <row r="53">
      <c r="A53" s="9" t="inlineStr">
        <is>
          <t>q2_relationship</t>
        </is>
      </c>
      <c r="B53" s="10" t="inlineStr">
        <is>
          <t>2. What is your relationship to the patient?</t>
        </is>
      </c>
      <c r="C53" s="10" t="inlineStr">
        <is>
          <t>2. What is your relationship to the patient?</t>
        </is>
      </c>
      <c r="D53" s="10" t="inlineStr">
        <is>
          <t>not asked when Q1 IS_PATIENT = Yes (1)</t>
        </is>
      </c>
      <c r="E53" s="10" t="inlineStr"/>
      <c r="F53" s="10" t="inlineStr">
        <is>
          <t>A. Introduction and Informed Consent</t>
        </is>
      </c>
      <c r="G53" s="10" t="inlineStr">
        <is>
          <t>numeric 2</t>
        </is>
      </c>
      <c r="H53" s="10" t="inlineStr">
        <is>
          <t>01 = Spouse
02 = Son
03 = Daughter
04 = Step-son
05 = Step-daughter
06 = Son-in-law
07 = Daughter-in-law
08 = Grandson
09 = Granddaughter
10 = Father
11 = Mother
12 = Brother
13 = Sister
14 = Uncle
15 = Aunt
16 = Nephew
17 = Niece
18 = Neighbor
19 = Other (specify)
20 = Refuse to answer (DO NOT READ OUT LOUD)</t>
        </is>
      </c>
      <c r="I53" s="10" t="inlineStr"/>
      <c r="J53" s="10" t="inlineStr"/>
    </row>
    <row r="54">
      <c r="A54" s="7" t="inlineStr">
        <is>
          <t>q2_relationship_other_txt</t>
        </is>
      </c>
      <c r="B54" s="8" t="inlineStr">
        <is>
          <t>2. Relationship — Other (specify) text</t>
        </is>
      </c>
      <c r="C54" s="8" t="inlineStr">
        <is>
          <t>2. Relationship — Other (specify) text</t>
        </is>
      </c>
      <c r="D54" s="8" t="inlineStr">
        <is>
          <t>not asked when Q1 IS_PATIENT = Yes (1)</t>
        </is>
      </c>
      <c r="E54" s="8" t="inlineStr"/>
      <c r="F54" s="8" t="inlineStr">
        <is>
          <t>A. Introduction and Informed Consent</t>
        </is>
      </c>
      <c r="G54" s="8" t="inlineStr">
        <is>
          <t>alpha 120</t>
        </is>
      </c>
      <c r="H54" s="8" t="inlineStr"/>
      <c r="I54" s="8" t="inlineStr"/>
      <c r="J54" s="8" t="inlineStr"/>
    </row>
    <row r="55">
      <c r="A55" s="9" t="inlineStr">
        <is>
          <t>q3_same_house</t>
        </is>
      </c>
      <c r="B55" s="10" t="inlineStr">
        <is>
          <t>3. Do you live in the same house as the patient?</t>
        </is>
      </c>
      <c r="C55" s="10" t="inlineStr">
        <is>
          <t>3. Do you live in the same house as the patient?</t>
        </is>
      </c>
      <c r="D55" s="10" t="inlineStr">
        <is>
          <t>not asked when Q1 IS_PATIENT = Yes (1)</t>
        </is>
      </c>
      <c r="E55" s="10" t="inlineStr"/>
      <c r="F55" s="10" t="inlineStr">
        <is>
          <t>A. Introduction and Informed Consent</t>
        </is>
      </c>
      <c r="G55" s="10" t="inlineStr">
        <is>
          <t>numeric 1</t>
        </is>
      </c>
      <c r="H55" s="10" t="inlineStr">
        <is>
          <t>1 = Yes
2 = No</t>
        </is>
      </c>
      <c r="I55" s="10" t="inlineStr"/>
      <c r="J55" s="10" t="inlineStr">
        <is>
          <t>[HARD] Required when Q1 = No</t>
        </is>
      </c>
    </row>
    <row r="56">
      <c r="A56" s="7" t="inlineStr">
        <is>
          <t>q4_name</t>
        </is>
      </c>
      <c r="B56" s="8" t="inlineStr">
        <is>
          <t>4. Patient's Name (Last Name, First Name, MI, Extension)</t>
        </is>
      </c>
      <c r="C56" s="8" t="inlineStr">
        <is>
          <t>Before proceeding to the survey proper, we would like to ask the patient about their personal information. Note to enumerator [do not read]: This section is for the Patient Profile. Ask all questions in this section unless a skip rule applies. 4. Patient's Name (Last Name, First Name, MI, Extension)</t>
        </is>
      </c>
      <c r="D56" s="8" t="inlineStr"/>
      <c r="E56" s="8" t="inlineStr"/>
      <c r="F56" s="8" t="inlineStr">
        <is>
          <t>B. Patient Profile</t>
        </is>
      </c>
      <c r="G56" s="8" t="inlineStr">
        <is>
          <t>alpha 120</t>
        </is>
      </c>
      <c r="H56" s="8" t="inlineStr"/>
      <c r="I56" s="8" t="inlineStr"/>
      <c r="J56" s="8" t="inlineStr">
        <is>
          <t>[HARD] Required; non-blank; ≤120 chars</t>
        </is>
      </c>
    </row>
    <row r="57">
      <c r="A57" s="9" t="inlineStr">
        <is>
          <t>q5_birth_month</t>
        </is>
      </c>
      <c r="B57" s="10" t="inlineStr">
        <is>
          <t>5. In what month and year was the patient born? — Month</t>
        </is>
      </c>
      <c r="C57" s="10" t="inlineStr">
        <is>
          <t>5. In what month and year was the patient born? — Month</t>
        </is>
      </c>
      <c r="D57" s="10" t="inlineStr"/>
      <c r="E57" s="10" t="inlineStr"/>
      <c r="F57" s="10" t="inlineStr">
        <is>
          <t>B. Patient Profile</t>
        </is>
      </c>
      <c r="G57" s="10" t="inlineStr">
        <is>
          <t>numeric 2</t>
        </is>
      </c>
      <c r="H57" s="10" t="inlineStr"/>
      <c r="I57" s="10" t="inlineStr"/>
      <c r="J57" s="10" t="inlineStr">
        <is>
          <t>[HARD] Integer 1–12</t>
        </is>
      </c>
    </row>
    <row r="58">
      <c r="A58" s="7" t="inlineStr">
        <is>
          <t>q5_birth_year</t>
        </is>
      </c>
      <c r="B58" s="8" t="inlineStr">
        <is>
          <t>5. In what month and year was the patient born? — Year</t>
        </is>
      </c>
      <c r="C58" s="8" t="inlineStr">
        <is>
          <t>5. In what month and year was the patient born? — Year</t>
        </is>
      </c>
      <c r="D58" s="8" t="inlineStr"/>
      <c r="E58" s="8" t="inlineStr"/>
      <c r="F58" s="8" t="inlineStr">
        <is>
          <t>B. Patient Profile</t>
        </is>
      </c>
      <c r="G58" s="8" t="inlineStr">
        <is>
          <t>numeric 4</t>
        </is>
      </c>
      <c r="H58" s="8" t="inlineStr"/>
      <c r="I58" s="8" t="inlineStr"/>
      <c r="J58" s="8" t="inlineStr">
        <is>
          <t>[HARD] Integer; `1900 ≤ y ≤ current_year`</t>
        </is>
      </c>
    </row>
    <row r="59">
      <c r="A59" s="9" t="inlineStr">
        <is>
          <t>q6_age</t>
        </is>
      </c>
      <c r="B59" s="10" t="inlineStr">
        <is>
          <t>6. Just to confirm, how old is the patient as of his/her last birthday? (in years)</t>
        </is>
      </c>
      <c r="C59" s="10" t="inlineStr">
        <is>
          <t>6. Just to confirm, how old is the patient as of his/her last birthday? (in years)</t>
        </is>
      </c>
      <c r="D59" s="10" t="inlineStr"/>
      <c r="E59" s="10" t="inlineStr"/>
      <c r="F59" s="10" t="inlineStr">
        <is>
          <t>B. Patient Profile</t>
        </is>
      </c>
      <c r="G59" s="10" t="inlineStr">
        <is>
          <t>numeric 3</t>
        </is>
      </c>
      <c r="H59" s="10" t="inlineStr"/>
      <c r="I59" s="10" t="inlineStr"/>
      <c r="J59" s="10" t="inlineStr">
        <is>
          <t>[HARD] `0 ≤ age ≤ 120`</t>
        </is>
      </c>
    </row>
    <row r="60">
      <c r="A60" s="7" t="inlineStr">
        <is>
          <t>q7_sex</t>
        </is>
      </c>
      <c r="B60" s="8" t="inlineStr">
        <is>
          <t>7. What is the patient's sex at birth?</t>
        </is>
      </c>
      <c r="C60" s="8" t="inlineStr">
        <is>
          <t>7. What is the patient's sex at birth?</t>
        </is>
      </c>
      <c r="D60" s="8" t="inlineStr"/>
      <c r="E60" s="8" t="inlineStr"/>
      <c r="F60" s="8" t="inlineStr">
        <is>
          <t>B. Patient Profile</t>
        </is>
      </c>
      <c r="G60" s="8" t="inlineStr">
        <is>
          <t>numeric 1</t>
        </is>
      </c>
      <c r="H60" s="8" t="inlineStr">
        <is>
          <t>1 = Male
2 = Female</t>
        </is>
      </c>
      <c r="I60" s="8" t="inlineStr"/>
      <c r="J60" s="8" t="inlineStr">
        <is>
          <t>[HARD] Required, ∈ {1, 2}</t>
        </is>
      </c>
    </row>
    <row r="61">
      <c r="A61" s="9" t="inlineStr">
        <is>
          <t>q8_lgbtqia</t>
        </is>
      </c>
      <c r="B61" s="10" t="inlineStr">
        <is>
          <t>8. Is the patient part of the LGBTQIA+ community? (e.g., gay, lesbian, bisexual, etc.). It is fine if not comfortable answering.</t>
        </is>
      </c>
      <c r="C61" s="10" t="inlineStr">
        <is>
          <t>8. Is the patient part of the LGBTQIA+ community? (e.g., gay, lesbian, bisexual, etc.). It is fine if not comfortable answering. READ OPTIONS OUT LOUD. SELECT ONE ANSWER ONLY.</t>
        </is>
      </c>
      <c r="D61" s="10" t="inlineStr"/>
      <c r="E61" s="10" t="inlineStr">
        <is>
          <t>Required, ∈ {1–5} → HARD</t>
        </is>
      </c>
      <c r="F61" s="10" t="inlineStr">
        <is>
          <t>B. Patient Profile</t>
        </is>
      </c>
      <c r="G61" s="10" t="inlineStr">
        <is>
          <t>numeric 1</t>
        </is>
      </c>
      <c r="H61" s="10" t="inlineStr">
        <is>
          <t>1 = Yes
2 = No
3 = Not Comfortable to Answer</t>
        </is>
      </c>
      <c r="I61" s="10" t="inlineStr">
        <is>
          <t>4 = Don't Know
5 = Refused to answer</t>
        </is>
      </c>
      <c r="J61" s="10" t="inlineStr"/>
    </row>
    <row r="62">
      <c r="A62" s="7" t="inlineStr">
        <is>
          <t>q9_group</t>
        </is>
      </c>
      <c r="B62" s="8" t="inlineStr">
        <is>
          <t>9. Which group does the patient identify with?</t>
        </is>
      </c>
      <c r="C62" s="8" t="inlineStr">
        <is>
          <t>9. Which group does the patient identify with? READ OPTIONS OUT LOUD. SELECT ONE ANSWER ONLY.</t>
        </is>
      </c>
      <c r="D62" s="8" t="inlineStr"/>
      <c r="E62" s="8" t="inlineStr"/>
      <c r="F62" s="8" t="inlineStr">
        <is>
          <t>B. Patient Profile</t>
        </is>
      </c>
      <c r="G62" s="8" t="inlineStr">
        <is>
          <t>numeric 1</t>
        </is>
      </c>
      <c r="H62" s="8" t="inlineStr">
        <is>
          <t>1 = Lesbian
2 = Gay
3 = Bisexual
4 = Transgender
5 = Queer
6 = Intersex
7 = Asexual
8 = Other (specify)</t>
        </is>
      </c>
      <c r="I62" s="8" t="inlineStr"/>
      <c r="J62" s="8" t="inlineStr"/>
    </row>
    <row r="63">
      <c r="A63" s="9" t="inlineStr">
        <is>
          <t>q9_group_other_txt</t>
        </is>
      </c>
      <c r="B63" s="10" t="inlineStr">
        <is>
          <t>9. Group identity — Other (specify) text</t>
        </is>
      </c>
      <c r="C63" s="10" t="inlineStr">
        <is>
          <t>9. Group identity — Other (specify) text</t>
        </is>
      </c>
      <c r="D63" s="10" t="inlineStr"/>
      <c r="E63" s="10" t="inlineStr"/>
      <c r="F63" s="10" t="inlineStr">
        <is>
          <t>B. Patient Profile</t>
        </is>
      </c>
      <c r="G63" s="10" t="inlineStr">
        <is>
          <t>alpha 120</t>
        </is>
      </c>
      <c r="H63" s="10" t="inlineStr"/>
      <c r="I63" s="10" t="inlineStr"/>
      <c r="J63" s="10" t="inlineStr"/>
    </row>
    <row r="64">
      <c r="A64" s="7" t="inlineStr">
        <is>
          <t>q10_civil_status</t>
        </is>
      </c>
      <c r="B64" s="8" t="inlineStr">
        <is>
          <t>10. What is the patient's civil status?</t>
        </is>
      </c>
      <c r="C64" s="8" t="inlineStr">
        <is>
          <t>10. What is the patient's civil status? READ OPTIONS OUT LOUD. SELECT ONE ANSWER ONLY.</t>
        </is>
      </c>
      <c r="D64" s="8" t="inlineStr"/>
      <c r="E64" s="8" t="inlineStr"/>
      <c r="F64" s="8" t="inlineStr">
        <is>
          <t>B. Patient Profile</t>
        </is>
      </c>
      <c r="G64" s="8" t="inlineStr">
        <is>
          <t>numeric 1</t>
        </is>
      </c>
      <c r="H64" s="8" t="inlineStr">
        <is>
          <t>1 = Single / Never Married
2 = Married
3 = Common law / Live-in
4 = Widowed
5 = Divorced
6 = Separated
7 = Annulled
8 = Not reported</t>
        </is>
      </c>
      <c r="I64" s="8" t="inlineStr"/>
      <c r="J64" s="8" t="inlineStr">
        <is>
          <t>[HARD] Required, ∈ {1–8}</t>
        </is>
      </c>
    </row>
    <row r="65">
      <c r="A65" s="9" t="inlineStr">
        <is>
          <t>q11_pwd</t>
        </is>
      </c>
      <c r="B65" s="10" t="inlineStr">
        <is>
          <t>11. Does the patient identify as a person with a disability?</t>
        </is>
      </c>
      <c r="C65" s="10" t="inlineStr">
        <is>
          <t>11. Does the patient identify as a person with a disability?</t>
        </is>
      </c>
      <c r="D65" s="10" t="inlineStr"/>
      <c r="E65" s="10">
        <f> No → Q15 (skip Q12, Q13, Q14)</f>
        <v/>
      </c>
      <c r="F65" s="10" t="inlineStr">
        <is>
          <t>B. Patient Profile</t>
        </is>
      </c>
      <c r="G65" s="10" t="inlineStr">
        <is>
          <t>numeric 1</t>
        </is>
      </c>
      <c r="H65" s="10" t="inlineStr">
        <is>
          <t>1 = Yes
2 = No</t>
        </is>
      </c>
      <c r="I65" s="10" t="inlineStr"/>
      <c r="J65" s="10" t="inlineStr"/>
    </row>
    <row r="66">
      <c r="A66" s="7" t="inlineStr">
        <is>
          <t>q12_pwd_specify</t>
        </is>
      </c>
      <c r="B66" s="8" t="inlineStr">
        <is>
          <t>12. Would the patient like to specify the type of disability?</t>
        </is>
      </c>
      <c r="C66" s="8" t="inlineStr">
        <is>
          <t>12. Would the patient like to specify the type of disability?</t>
        </is>
      </c>
      <c r="D66" s="8" t="inlineStr">
        <is>
          <t>not asked when Q11 PWD = No</t>
        </is>
      </c>
      <c r="E66" s="8">
        <f> No → Q15 (skip Q13, Q14)</f>
        <v/>
      </c>
      <c r="F66" s="8" t="inlineStr">
        <is>
          <t>B. Patient Profile</t>
        </is>
      </c>
      <c r="G66" s="8" t="inlineStr">
        <is>
          <t>numeric 1</t>
        </is>
      </c>
      <c r="H66" s="8" t="inlineStr">
        <is>
          <t>1 = Yes
2 = No</t>
        </is>
      </c>
      <c r="I66" s="8" t="inlineStr"/>
      <c r="J66" s="8" t="inlineStr"/>
    </row>
    <row r="67">
      <c r="A67" s="9" t="inlineStr">
        <is>
          <t>q13_pwd_card</t>
        </is>
      </c>
      <c r="B67" s="10" t="inlineStr">
        <is>
          <t>13. May we view the patient's PWD Identification Card?</t>
        </is>
      </c>
      <c r="C67" s="10" t="inlineStr">
        <is>
          <t>13. May we view the patient's PWD Identification Card?</t>
        </is>
      </c>
      <c r="D67" s="10" t="inlineStr">
        <is>
          <t>not asked when Q11 PWD = No
not asked when Q12 PWD_SPECIFY = No</t>
        </is>
      </c>
      <c r="E67" s="10" t="inlineStr"/>
      <c r="F67" s="10" t="inlineStr">
        <is>
          <t>B. Patient Profile</t>
        </is>
      </c>
      <c r="G67" s="10" t="inlineStr">
        <is>
          <t>numeric 1</t>
        </is>
      </c>
      <c r="H67" s="10" t="inlineStr">
        <is>
          <t>1 = Yes (card was presented and verified)
2 = No (card not available at the time of interview)</t>
        </is>
      </c>
      <c r="I67" s="10" t="inlineStr">
        <is>
          <t>3 = Respondent refused to present card</t>
        </is>
      </c>
      <c r="J67" s="10" t="inlineStr"/>
    </row>
    <row r="68">
      <c r="A68" s="7" t="inlineStr">
        <is>
          <t>q14_disability_type</t>
        </is>
      </c>
      <c r="B68" s="8" t="inlineStr">
        <is>
          <t>14. Based on the presented PWD Identification Card, what type of disability is indicated?</t>
        </is>
      </c>
      <c r="C68" s="8" t="inlineStr">
        <is>
          <t>14. Based on the presented PWD Identification Card, what type of disability is indicated? Enumerator Instruction (DO NOT READ ALOUD): If the PWD Identification Card is presented, record the type of disability as indicated on the card. Do not ask the respondent directly.</t>
        </is>
      </c>
      <c r="D68" s="8" t="inlineStr">
        <is>
          <t>not asked when Q11 PWD = No
not asked when Q12 PWD_SPECIFY = No</t>
        </is>
      </c>
      <c r="E68" s="8" t="inlineStr"/>
      <c r="F68" s="8" t="inlineStr">
        <is>
          <t>B. Patient Profile</t>
        </is>
      </c>
      <c r="G68" s="8" t="inlineStr">
        <is>
          <t>numeric 1</t>
        </is>
      </c>
      <c r="H68" s="8" t="inlineStr">
        <is>
          <t>1 = Physical disability (Orthopedic)
2 = Visual disability
3 = Hearing disability
4 = Speech impairment
5 = Intellectual disability
6 = Psychosocial disability
7 = Multiple disabilities
8 = Other disability (specify)</t>
        </is>
      </c>
      <c r="I68" s="8" t="inlineStr"/>
      <c r="J68" s="8" t="inlineStr"/>
    </row>
    <row r="69">
      <c r="A69" s="9" t="inlineStr">
        <is>
          <t>q14_disability_other_txt</t>
        </is>
      </c>
      <c r="B69" s="10" t="inlineStr">
        <is>
          <t>14. Disability — Other (specify) text</t>
        </is>
      </c>
      <c r="C69" s="10" t="inlineStr">
        <is>
          <t>14. Disability — Other (specify) text</t>
        </is>
      </c>
      <c r="D69" s="10" t="inlineStr">
        <is>
          <t>not asked when Q11 PWD = No
not asked when Q12 PWD_SPECIFY = No</t>
        </is>
      </c>
      <c r="E69" s="10" t="inlineStr"/>
      <c r="F69" s="10" t="inlineStr">
        <is>
          <t>B. Patient Profile</t>
        </is>
      </c>
      <c r="G69" s="10" t="inlineStr">
        <is>
          <t>alpha 120</t>
        </is>
      </c>
      <c r="H69" s="10" t="inlineStr"/>
      <c r="I69" s="10" t="inlineStr"/>
      <c r="J69" s="10" t="inlineStr"/>
    </row>
    <row r="70">
      <c r="A70" s="7" t="inlineStr">
        <is>
          <t>q15_education</t>
        </is>
      </c>
      <c r="B70" s="8" t="inlineStr">
        <is>
          <t>15. What is the highest level of education the patient has attained?</t>
        </is>
      </c>
      <c r="C70" s="8" t="inlineStr">
        <is>
          <t>15. What is the highest level of education the patient has attained? DO NOT READ OPTIONS OUT LOUD. SELECT ONE ANSWER ONLY.</t>
        </is>
      </c>
      <c r="D70" s="8" t="inlineStr"/>
      <c r="E70" s="8" t="inlineStr"/>
      <c r="F70" s="8" t="inlineStr">
        <is>
          <t>B. Patient Profile</t>
        </is>
      </c>
      <c r="G70" s="8" t="inlineStr">
        <is>
          <t>numeric 2</t>
        </is>
      </c>
      <c r="H70" s="8" t="inlineStr">
        <is>
          <t>01 = Early Childhood Education (Pre-school)
02 = Primary Education (Grade 1 to 6)
03 = Lower Secondary Education (Grade 7 to 10)
04 = Upper Secondary Education (Grade 11 to 12)
05 = Post-Secondary Non-Tertiary Education (including Technical and Vocational degrees with a certificate)
06 = Short-Cycle Tertiary Education or Equivalent (including Technical and Vocational degrees with a diploma)
07 = Bachelor Level Education or Equivalent
08 = Master Level Education or Equivalent
09 = Doctoral Level Education or Equivalent
10 = No schooling
11 = Other (specify)</t>
        </is>
      </c>
      <c r="I70" s="8" t="inlineStr">
        <is>
          <t>98 = I don't know
99 = Not applicable</t>
        </is>
      </c>
      <c r="J70" s="8" t="inlineStr">
        <is>
          <t>[HARD] Required; if = 11 (Other), `Q15_EDUCATION_OTHER_TXT` required</t>
        </is>
      </c>
    </row>
    <row r="71">
      <c r="A71" s="9" t="inlineStr">
        <is>
          <t>q15_education_other_txt</t>
        </is>
      </c>
      <c r="B71" s="10" t="inlineStr">
        <is>
          <t>15. Education — Other (specify) text</t>
        </is>
      </c>
      <c r="C71" s="10" t="inlineStr">
        <is>
          <t>15. Education — Other (specify) text</t>
        </is>
      </c>
      <c r="D71" s="10" t="inlineStr"/>
      <c r="E71" s="10" t="inlineStr"/>
      <c r="F71" s="10" t="inlineStr">
        <is>
          <t>B. Patient Profile</t>
        </is>
      </c>
      <c r="G71" s="10" t="inlineStr">
        <is>
          <t>alpha 120</t>
        </is>
      </c>
      <c r="H71" s="10" t="inlineStr"/>
      <c r="I71" s="10" t="inlineStr"/>
      <c r="J71" s="10" t="inlineStr"/>
    </row>
    <row r="72">
      <c r="A72" s="7" t="inlineStr">
        <is>
          <t>q16_employment</t>
        </is>
      </c>
      <c r="B72" s="8" t="inlineStr">
        <is>
          <t>16. What is the patient's employment status?</t>
        </is>
      </c>
      <c r="C72" s="8" t="inlineStr">
        <is>
          <t>16. What is the patient's employment status? READ OPTIONS OUT LOUD. SELECT ONE ANSWER ONLY.</t>
        </is>
      </c>
      <c r="D72" s="8" t="inlineStr"/>
      <c r="E72" s="8" t="inlineStr"/>
      <c r="F72" s="8" t="inlineStr">
        <is>
          <t>B. Patient Profile</t>
        </is>
      </c>
      <c r="G72" s="8" t="inlineStr">
        <is>
          <t>numeric 1</t>
        </is>
      </c>
      <c r="H72" s="8" t="inlineStr">
        <is>
          <t>1 = Has a permanent job/ own business
2 = Has a short-term, seasonal, casual job/business
3 = Worked on different jobs day to day per week
4 = Unemployed and looking for work
5 = Unemployed and not looking for work
6 = Studying
7 = Retired</t>
        </is>
      </c>
      <c r="I72" s="8" t="inlineStr">
        <is>
          <t>8 = I don't know
9 = Not applicable</t>
        </is>
      </c>
      <c r="J72" s="8" t="inlineStr">
        <is>
          <t>[HARD] Required, ∈ {1–9}</t>
        </is>
      </c>
    </row>
    <row r="73">
      <c r="A73" s="9" t="inlineStr">
        <is>
          <t>q17_income_source</t>
        </is>
      </c>
      <c r="B73" s="10" t="inlineStr">
        <is>
          <t>17. What is the patient's main source of income?</t>
        </is>
      </c>
      <c r="C73" s="10" t="inlineStr">
        <is>
          <t>17. What is the patient's main source of income? READ OPTIONS OUT LOUD. SELECT ONE ANSWER ONLY. IF MORE THAN ONE, ASK FOR THE MAIN SOURCE.</t>
        </is>
      </c>
      <c r="D73" s="10" t="inlineStr"/>
      <c r="E73" s="10" t="inlineStr"/>
      <c r="F73" s="10" t="inlineStr">
        <is>
          <t>B. Patient Profile</t>
        </is>
      </c>
      <c r="G73" s="10" t="inlineStr">
        <is>
          <t>numeric 2</t>
        </is>
      </c>
      <c r="H73" s="10" t="inlineStr">
        <is>
          <t>01 = Working for private company
02 = Working for private household
03 = Working for government
04 = Worked with pay in own family business or farm
05 = Self-employed without any paid employee
06 = Worked without pay in own family business or farm
07 = Pension
08 = Unemployed and looking for work
09 = Unemployed and not looking for work</t>
        </is>
      </c>
      <c r="I73" s="10" t="inlineStr">
        <is>
          <t>99 = I don't know
98 = Not Applicable</t>
        </is>
      </c>
      <c r="J73" s="10" t="inlineStr">
        <is>
          <t>[HARD] Required, ∈ {01–09, 99}</t>
        </is>
      </c>
    </row>
    <row r="74">
      <c r="A74" s="7" t="inlineStr">
        <is>
          <t>q18_income_amount</t>
        </is>
      </c>
      <c r="B74" s="8" t="inlineStr">
        <is>
          <t>18. In the past 6 months, what is the patient's average monthly household income? Please specify in Philippine pesos. — Approximate amount (enter -98 if the patient doesn't know, or -99 if they refuse to answer — do not read these codes aloud)</t>
        </is>
      </c>
      <c r="C74" s="8" t="inlineStr">
        <is>
          <t>18. In the past 6 months, what is the patient's average monthly household income? Please specify in Philippine pesos. — Approximate amount (enter -98 if the patient doesn't know, or -99 if they refuse to answer — do not read these codes aloud) Enumerator note: Tick the income category that corresponds to the respondent’s approximate household income.</t>
        </is>
      </c>
      <c r="D74" s="8" t="inlineStr"/>
      <c r="E74" s="8" t="inlineStr"/>
      <c r="F74" s="8" t="inlineStr">
        <is>
          <t>B. Patient Profile</t>
        </is>
      </c>
      <c r="G74" s="8" t="inlineStr">
        <is>
          <t>numeric 8</t>
        </is>
      </c>
      <c r="H74" s="8" t="inlineStr"/>
      <c r="I74" s="8" t="inlineStr"/>
      <c r="J74" s="8" t="inlineStr">
        <is>
          <t>[HARD] Numeric; `0 ≤ amt ≤ 99,999,999`; units = PHP/month</t>
        </is>
      </c>
    </row>
    <row r="75">
      <c r="A75" s="9" t="inlineStr">
        <is>
          <t>q18_income_bracket</t>
        </is>
      </c>
      <c r="B75" s="10" t="inlineStr">
        <is>
          <t>18. Income category corresponding to the respondent's approximate household income</t>
        </is>
      </c>
      <c r="C75" s="10" t="inlineStr">
        <is>
          <t>18. Income category corresponding to the respondent's approximate household income Enumerator note: Tick the income category that corresponds to the respondent’s approximate household income.</t>
        </is>
      </c>
      <c r="D75" s="10" t="inlineStr"/>
      <c r="E75" s="10" t="inlineStr"/>
      <c r="F75" s="10" t="inlineStr">
        <is>
          <t>B. Patient Profile</t>
        </is>
      </c>
      <c r="G75" s="10" t="inlineStr">
        <is>
          <t>numeric 2</t>
        </is>
      </c>
      <c r="H75" s="10" t="inlineStr">
        <is>
          <t>01 = Under 50,000
02 = 50,000 - 99,999
03 = 100,000 - 149,999
04 = 150,000 - 199,999
05 = 200,000 - 249,999
06 = 250,000 - 299,999
07 = 300,000 - 349,999
08 = 350,000 - 399,999
09 = 400,000 - 449,999
10 = 450,000 - 499,999
11 = 500,000 and above</t>
        </is>
      </c>
      <c r="I75" s="10" t="inlineStr">
        <is>
          <t>99 = Don't know</t>
        </is>
      </c>
      <c r="J75" s="10" t="inlineStr">
        <is>
          <t>[HARD] Required; bracket must contain `Q18_INCOME_AMOUNT` (see table)</t>
        </is>
      </c>
    </row>
    <row r="76">
      <c r="A76" s="7" t="inlineStr">
        <is>
          <t>q19_hh_size</t>
        </is>
      </c>
      <c r="B76" s="8" t="inlineStr">
        <is>
          <t>19. How many total individuals (including children) live in the patient's house now?</t>
        </is>
      </c>
      <c r="C76" s="8" t="inlineStr">
        <is>
          <t>19. How many total individuals (including children) live in the patient's house now?</t>
        </is>
      </c>
      <c r="D76" s="8" t="inlineStr"/>
      <c r="E76" s="8" t="inlineStr"/>
      <c r="F76" s="8" t="inlineStr">
        <is>
          <t>B. Patient Profile</t>
        </is>
      </c>
      <c r="G76" s="8" t="inlineStr">
        <is>
          <t>numeric 2</t>
        </is>
      </c>
      <c r="H76" s="8" t="inlineStr"/>
      <c r="I76" s="8" t="inlineStr"/>
      <c r="J76" s="8" t="inlineStr">
        <is>
          <t>[HARD + SOFT] `1 ≤ size ≤ 30` (SOFT &gt; 15)</t>
        </is>
      </c>
    </row>
    <row r="77">
      <c r="A77" s="9" t="inlineStr">
        <is>
          <t>q20_hh_children</t>
        </is>
      </c>
      <c r="B77" s="10" t="inlineStr">
        <is>
          <t>20. How many non-working age children (i.e., below the age of 18) live in the patient's house now?</t>
        </is>
      </c>
      <c r="C77" s="10" t="inlineStr">
        <is>
          <t>20. How many non-working age children (i.e., below the age of 18) live in the patient's house now?</t>
        </is>
      </c>
      <c r="D77" s="10" t="inlineStr"/>
      <c r="E77" s="10" t="inlineStr"/>
      <c r="F77" s="10" t="inlineStr">
        <is>
          <t>B. Patient Profile</t>
        </is>
      </c>
      <c r="G77" s="10" t="inlineStr">
        <is>
          <t>numeric 2</t>
        </is>
      </c>
      <c r="H77" s="10" t="inlineStr"/>
      <c r="I77" s="10" t="inlineStr"/>
      <c r="J77" s="10" t="inlineStr">
        <is>
          <t>[HARD] `0 ≤ children ≤ Q19_HH_SIZE`</t>
        </is>
      </c>
    </row>
    <row r="78">
      <c r="A78" s="7" t="inlineStr">
        <is>
          <t>q21_hh_seniors</t>
        </is>
      </c>
      <c r="B78" s="8" t="inlineStr">
        <is>
          <t>21. How many senior citizens live in the patient's house now?</t>
        </is>
      </c>
      <c r="C78" s="8" t="inlineStr">
        <is>
          <t>21. How many senior citizens live in the patient's house now?</t>
        </is>
      </c>
      <c r="D78" s="8" t="inlineStr"/>
      <c r="E78" s="8" t="inlineStr"/>
      <c r="F78" s="8" t="inlineStr">
        <is>
          <t>B. Patient Profile</t>
        </is>
      </c>
      <c r="G78" s="8" t="inlineStr">
        <is>
          <t>numeric 2</t>
        </is>
      </c>
      <c r="H78" s="8" t="inlineStr"/>
      <c r="I78" s="8" t="inlineStr"/>
      <c r="J78" s="8" t="inlineStr">
        <is>
          <t>[HARD] `0 ≤ seniors ≤ Q19_HH_SIZE`</t>
        </is>
      </c>
    </row>
    <row r="79">
      <c r="A79" s="9" t="inlineStr">
        <is>
          <t>q22_electricity</t>
        </is>
      </c>
      <c r="B79" s="10" t="inlineStr">
        <is>
          <t>22. Does the patient have electricity in their household?</t>
        </is>
      </c>
      <c r="C79" s="10" t="inlineStr">
        <is>
          <t>22. Does the patient have electricity in their household?</t>
        </is>
      </c>
      <c r="D79" s="10" t="inlineStr"/>
      <c r="E79" s="10" t="inlineStr"/>
      <c r="F79" s="10" t="inlineStr">
        <is>
          <t>B. Patient Profile</t>
        </is>
      </c>
      <c r="G79" s="10" t="inlineStr">
        <is>
          <t>numeric 1</t>
        </is>
      </c>
      <c r="H79" s="10" t="inlineStr">
        <is>
          <t>1 = Yes
2 = No</t>
        </is>
      </c>
      <c r="I79" s="10" t="inlineStr"/>
      <c r="J79" s="10" t="inlineStr">
        <is>
          <t>[HARD] Required, ∈ {1, 2}</t>
        </is>
      </c>
    </row>
    <row r="80">
      <c r="A80" s="7" t="inlineStr">
        <is>
          <t>q23_water</t>
        </is>
      </c>
      <c r="B80" s="8" t="inlineStr">
        <is>
          <t>23. What is the patient's family's main source of water supply for daily use?</t>
        </is>
      </c>
      <c r="C80" s="8" t="inlineStr">
        <is>
          <t>23. What is the patient's family's main source of water supply for daily use?</t>
        </is>
      </c>
      <c r="D80" s="8" t="inlineStr"/>
      <c r="E80" s="8" t="inlineStr"/>
      <c r="F80" s="8" t="inlineStr">
        <is>
          <t>B. Patient Profile</t>
        </is>
      </c>
      <c r="G80" s="8" t="inlineStr">
        <is>
          <t>numeric 1</t>
        </is>
      </c>
      <c r="H80" s="8" t="inlineStr">
        <is>
          <t>1 = Faucet inside the house
2 = Tubed/piped well
3 = Dug well
4 = Other (specify)</t>
        </is>
      </c>
      <c r="I80" s="8" t="inlineStr"/>
      <c r="J80" s="8" t="inlineStr">
        <is>
          <t>[HARD] Required, ∈ {1–4}; if = 4 (Other), `Q23_WATER_OTHER_TXT` required</t>
        </is>
      </c>
    </row>
    <row r="81">
      <c r="A81" s="9" t="inlineStr">
        <is>
          <t>q23_water_other_txt</t>
        </is>
      </c>
      <c r="B81" s="10" t="inlineStr">
        <is>
          <t>23. Water — Other (specify) text</t>
        </is>
      </c>
      <c r="C81" s="10" t="inlineStr">
        <is>
          <t>23. Water — Other (specify) text</t>
        </is>
      </c>
      <c r="D81" s="10" t="inlineStr"/>
      <c r="E81" s="10" t="inlineStr"/>
      <c r="F81" s="10" t="inlineStr">
        <is>
          <t>B. Patient Profile</t>
        </is>
      </c>
      <c r="G81" s="10" t="inlineStr">
        <is>
          <t>alpha 120</t>
        </is>
      </c>
      <c r="H81" s="10" t="inlineStr"/>
      <c r="I81" s="10" t="inlineStr"/>
      <c r="J81" s="10" t="inlineStr"/>
    </row>
    <row r="82">
      <c r="A82" s="7" t="inlineStr">
        <is>
          <t>q24_faucet_own</t>
        </is>
      </c>
      <c r="B82" s="8" t="inlineStr">
        <is>
          <t>24. Does the patient have their own faucet, or do they share with their community?</t>
        </is>
      </c>
      <c r="C82" s="8" t="inlineStr">
        <is>
          <t>24. Does the patient have their own faucet, or do they share with their community?</t>
        </is>
      </c>
      <c r="D82" s="8" t="inlineStr"/>
      <c r="E82" s="8" t="inlineStr"/>
      <c r="F82" s="8" t="inlineStr">
        <is>
          <t>B. Patient Profile</t>
        </is>
      </c>
      <c r="G82" s="8" t="inlineStr">
        <is>
          <t>numeric 1</t>
        </is>
      </c>
      <c r="H82" s="8" t="inlineStr">
        <is>
          <t>1 = I/we have our own
2 = I/we share with our community</t>
        </is>
      </c>
      <c r="I82" s="8" t="inlineStr"/>
      <c r="J82" s="8" t="inlineStr"/>
    </row>
    <row r="83">
      <c r="A83" s="9" t="inlineStr">
        <is>
          <t>q25_tube_own</t>
        </is>
      </c>
      <c r="B83" s="10" t="inlineStr">
        <is>
          <t>25. Does the patient have their own tube/pipe, or do they share with their community?</t>
        </is>
      </c>
      <c r="C83" s="10" t="inlineStr">
        <is>
          <t>25. Does the patient have their own tube/pipe, or do they share with their community?</t>
        </is>
      </c>
      <c r="D83" s="10" t="inlineStr"/>
      <c r="E83" s="10" t="inlineStr"/>
      <c r="F83" s="10" t="inlineStr">
        <is>
          <t>B. Patient Profile</t>
        </is>
      </c>
      <c r="G83" s="10" t="inlineStr">
        <is>
          <t>numeric 1</t>
        </is>
      </c>
      <c r="H83" s="10" t="inlineStr">
        <is>
          <t>1 = I/we have our own
2 = I/we share with our community</t>
        </is>
      </c>
      <c r="I83" s="10" t="inlineStr"/>
      <c r="J83" s="10" t="inlineStr"/>
    </row>
    <row r="84">
      <c r="A84" s="7" t="inlineStr">
        <is>
          <t>q26_refrigerator</t>
        </is>
      </c>
      <c r="B84" s="8" t="inlineStr">
        <is>
          <t>26. Does the patient's family own a refrigerator/freezer?</t>
        </is>
      </c>
      <c r="C84" s="8" t="inlineStr">
        <is>
          <t>26. Does the patient's family own a refrigerator/freezer?</t>
        </is>
      </c>
      <c r="D84" s="8" t="inlineStr"/>
      <c r="E84" s="8" t="inlineStr"/>
      <c r="F84" s="8" t="inlineStr">
        <is>
          <t>B. Patient Profile</t>
        </is>
      </c>
      <c r="G84" s="8" t="inlineStr">
        <is>
          <t>numeric 1</t>
        </is>
      </c>
      <c r="H84" s="8" t="inlineStr">
        <is>
          <t>1 = Yes, I/ we have
2 = No, I/we don't have</t>
        </is>
      </c>
      <c r="I84" s="8" t="inlineStr"/>
      <c r="J84" s="8" t="inlineStr">
        <is>
          <t>[HARD] Required, ∈ {1, 2}</t>
        </is>
      </c>
    </row>
    <row r="85">
      <c r="A85" s="9" t="inlineStr">
        <is>
          <t>q27_television</t>
        </is>
      </c>
      <c r="B85" s="10" t="inlineStr">
        <is>
          <t>27. Does the patient's family own a television set?</t>
        </is>
      </c>
      <c r="C85" s="10" t="inlineStr">
        <is>
          <t>27. Does the patient's family own a television set?</t>
        </is>
      </c>
      <c r="D85" s="10" t="inlineStr"/>
      <c r="E85" s="10" t="inlineStr"/>
      <c r="F85" s="10" t="inlineStr">
        <is>
          <t>B. Patient Profile</t>
        </is>
      </c>
      <c r="G85" s="10" t="inlineStr">
        <is>
          <t>numeric 1</t>
        </is>
      </c>
      <c r="H85" s="10" t="inlineStr">
        <is>
          <t>1 = Yes, I/ we have
2 = No, I/we don't have</t>
        </is>
      </c>
      <c r="I85" s="10" t="inlineStr"/>
      <c r="J85" s="10" t="inlineStr">
        <is>
          <t>[HARD] Required, ∈ {1, 2}</t>
        </is>
      </c>
    </row>
    <row r="86">
      <c r="A86" s="7" t="inlineStr">
        <is>
          <t>q28_washer</t>
        </is>
      </c>
      <c r="B86" s="8" t="inlineStr">
        <is>
          <t>28. Does the patient's family own a washing machine?</t>
        </is>
      </c>
      <c r="C86" s="8" t="inlineStr">
        <is>
          <t>28. Does the patient's family own a washing machine?</t>
        </is>
      </c>
      <c r="D86" s="8" t="inlineStr"/>
      <c r="E86" s="8" t="inlineStr"/>
      <c r="F86" s="8" t="inlineStr">
        <is>
          <t>B. Patient Profile</t>
        </is>
      </c>
      <c r="G86" s="8" t="inlineStr">
        <is>
          <t>numeric 1</t>
        </is>
      </c>
      <c r="H86" s="8" t="inlineStr">
        <is>
          <t>1 = Yes, I/ we have
2 = No, I/we don't have</t>
        </is>
      </c>
      <c r="I86" s="8" t="inlineStr"/>
      <c r="J86" s="8" t="inlineStr">
        <is>
          <t>[HARD] Required, ∈ {1, 2}</t>
        </is>
      </c>
    </row>
    <row r="87">
      <c r="A87" s="9" t="inlineStr">
        <is>
          <t>q29_sec_class</t>
        </is>
      </c>
      <c r="B87" s="10" t="inlineStr">
        <is>
          <t>29. How would the socioeconomic class of the patient's household be classified?</t>
        </is>
      </c>
      <c r="C87" s="10" t="inlineStr">
        <is>
          <t>29. How would the socioeconomic class of the patient's household be classified? Please choose one from the options I will mention.</t>
        </is>
      </c>
      <c r="D87" s="10" t="inlineStr"/>
      <c r="E87" s="10" t="inlineStr"/>
      <c r="F87" s="10" t="inlineStr">
        <is>
          <t>B. Patient Profile</t>
        </is>
      </c>
      <c r="G87" s="10" t="inlineStr">
        <is>
          <t>numeric 1</t>
        </is>
      </c>
      <c r="H87" s="10" t="inlineStr">
        <is>
          <t>1 = Class A or B (working professionals or with a business with several assets)
2 = Class C (working professionals with permanent or semi-permanent income and some assets)
3 = Class D or E (semi-permanent workers or informal sector workers with little to no assets)
5 = Refuse to answer [DO NOT READ OUT LOUD]</t>
        </is>
      </c>
      <c r="I87" s="10" t="inlineStr">
        <is>
          <t>4 = I don't know [DO NOT READ OUT LOUD]</t>
        </is>
      </c>
      <c r="J87" s="10" t="inlineStr">
        <is>
          <t>[HARD] Required, ∈ {1–4}</t>
        </is>
      </c>
    </row>
    <row r="88">
      <c r="A88" s="7" t="inlineStr">
        <is>
          <t>q30_ip</t>
        </is>
      </c>
      <c r="B88" s="8" t="inlineStr">
        <is>
          <t>30. Is the patient member of Indigenous People (IP) community, like the Igorot, Lumad, Mangyans, etc.?</t>
        </is>
      </c>
      <c r="C88" s="8" t="inlineStr">
        <is>
          <t>30. Is the patient member of Indigenous People (IP) community, like the Igorot, Lumad, Mangyans, etc.?</t>
        </is>
      </c>
      <c r="D88" s="8" t="inlineStr"/>
      <c r="E88" s="8">
        <f> No → Q32 (skip Q31)</f>
        <v/>
      </c>
      <c r="F88" s="8" t="inlineStr">
        <is>
          <t>B. Patient Profile</t>
        </is>
      </c>
      <c r="G88" s="8" t="inlineStr">
        <is>
          <t>numeric 1</t>
        </is>
      </c>
      <c r="H88" s="8" t="inlineStr">
        <is>
          <t>1 = Yes
2 = No</t>
        </is>
      </c>
      <c r="I88" s="8" t="inlineStr"/>
      <c r="J88" s="8" t="inlineStr"/>
    </row>
    <row r="89">
      <c r="A89" s="9" t="inlineStr">
        <is>
          <t>q31_ip_group</t>
        </is>
      </c>
      <c r="B89" s="10" t="inlineStr">
        <is>
          <t>31. If yes, which group? (Specify)</t>
        </is>
      </c>
      <c r="C89" s="10" t="inlineStr">
        <is>
          <t>31. If yes, which group? (Specify)</t>
        </is>
      </c>
      <c r="D89" s="10" t="inlineStr">
        <is>
          <t>not asked when Q30 IP = No</t>
        </is>
      </c>
      <c r="E89" s="10" t="inlineStr"/>
      <c r="F89" s="10" t="inlineStr">
        <is>
          <t>B. Patient Profile</t>
        </is>
      </c>
      <c r="G89" s="10" t="inlineStr">
        <is>
          <t>alpha 120</t>
        </is>
      </c>
      <c r="H89" s="10" t="inlineStr"/>
      <c r="I89" s="10" t="inlineStr"/>
      <c r="J89" s="10" t="inlineStr">
        <is>
          <t>[HARD] Required when Q31 enabled; non-blank</t>
        </is>
      </c>
    </row>
    <row r="90">
      <c r="A90" s="7" t="inlineStr">
        <is>
          <t>q32_4ps</t>
        </is>
      </c>
      <c r="B90" s="8" t="inlineStr">
        <is>
          <t>32. Is the patient's household a beneficiary of the Pantawid Pamilyang Pilipino Program (4Ps)?</t>
        </is>
      </c>
      <c r="C90" s="8" t="inlineStr">
        <is>
          <t>32. Is the patient's household a beneficiary of the Pantawid Pamilyang Pilipino Program (4Ps)?</t>
        </is>
      </c>
      <c r="D90" s="8" t="inlineStr"/>
      <c r="E90" s="8" t="inlineStr"/>
      <c r="F90" s="8" t="inlineStr">
        <is>
          <t>B. Patient Profile</t>
        </is>
      </c>
      <c r="G90" s="8" t="inlineStr">
        <is>
          <t>numeric 1</t>
        </is>
      </c>
      <c r="H90" s="8" t="inlineStr">
        <is>
          <t>1 = Yes
2 = No</t>
        </is>
      </c>
      <c r="I90" s="8" t="inlineStr"/>
      <c r="J90" s="8" t="inlineStr">
        <is>
          <t>[HARD] Required, ∈ {1, 2}</t>
        </is>
      </c>
    </row>
    <row r="91">
      <c r="A91" s="9" t="inlineStr">
        <is>
          <t>q33_decision_maker</t>
        </is>
      </c>
      <c r="B91" s="10" t="inlineStr">
        <is>
          <t>33. Is the patient the main decision-maker on health care in your household?</t>
        </is>
      </c>
      <c r="C91" s="10" t="inlineStr">
        <is>
          <t>33. Is the patient the main decision-maker on health care in your household?</t>
        </is>
      </c>
      <c r="D91" s="10" t="inlineStr"/>
      <c r="E91" s="10">
        <f> Yes (1) or "Companion is main DM" (3) → Q35 (skip Q34)</f>
        <v/>
      </c>
      <c r="F91" s="10" t="inlineStr">
        <is>
          <t>B. Patient Profile</t>
        </is>
      </c>
      <c r="G91" s="10" t="inlineStr">
        <is>
          <t>numeric 1</t>
        </is>
      </c>
      <c r="H91" s="10" t="inlineStr">
        <is>
          <t>1 = Yes (the Patient is the main decision maker)
2 = No
3 = The Companion answering the survey is the main decision maker</t>
        </is>
      </c>
      <c r="I91" s="10" t="inlineStr"/>
      <c r="J91" s="10" t="inlineStr">
        <is>
          <t>[HARD] Required, ∈ {1, 2, 3}</t>
        </is>
      </c>
    </row>
    <row r="92">
      <c r="A92" s="7" t="inlineStr">
        <is>
          <t>q34_who_decides</t>
        </is>
      </c>
      <c r="B92" s="8" t="inlineStr">
        <is>
          <t>34. Who takes the most responsibility for making the decisions regarding healthcare in the patient's household?</t>
        </is>
      </c>
      <c r="C92" s="8" t="inlineStr">
        <is>
          <t>34. Who takes the most responsibility for making the decisions regarding healthcare in the patient's household? READ OPTIONS OUT LOUD. SELECT ONE ANSWER ONLY.</t>
        </is>
      </c>
      <c r="D92" s="8" t="inlineStr">
        <is>
          <t>not asked when Q33 DECISION_MAKER = Yes (1) or "Companion is main DM" (3)</t>
        </is>
      </c>
      <c r="E92" s="8" t="inlineStr"/>
      <c r="F92" s="8" t="inlineStr">
        <is>
          <t>B. Patient Profile</t>
        </is>
      </c>
      <c r="G92" s="8" t="inlineStr">
        <is>
          <t>numeric 2</t>
        </is>
      </c>
      <c r="H92" s="8" t="inlineStr">
        <is>
          <t>01 = Patient's father
02 = Patient's mother
03 = Patient's parents
04 = Patient's spouse/partner
05 = Both patient and spouse
06 = Patient's sibling
07 = Patient's grandfather
08 = Patient's grandmother
09 = Patient's uncle
10 = Patient's aunt
11 = Other (specify)</t>
        </is>
      </c>
      <c r="I92" s="8" t="inlineStr"/>
      <c r="J92" s="8" t="inlineStr"/>
    </row>
    <row r="93">
      <c r="A93" s="9" t="inlineStr">
        <is>
          <t>q34_who_decides_other_txt</t>
        </is>
      </c>
      <c r="B93" s="10" t="inlineStr">
        <is>
          <t>34. Decision maker — Other (specify) text</t>
        </is>
      </c>
      <c r="C93" s="10" t="inlineStr">
        <is>
          <t>34. Decision maker — Other (specify) text</t>
        </is>
      </c>
      <c r="D93" s="10" t="inlineStr">
        <is>
          <t>not asked when Q33 DECISION_MAKER = Yes (1) or "Companion is main DM" (3)</t>
        </is>
      </c>
      <c r="E93" s="10" t="inlineStr"/>
      <c r="F93" s="10" t="inlineStr">
        <is>
          <t>B. Patient Profile</t>
        </is>
      </c>
      <c r="G93" s="10" t="inlineStr">
        <is>
          <t>alpha 120</t>
        </is>
      </c>
      <c r="H93" s="10" t="inlineStr"/>
      <c r="I93" s="10" t="inlineStr"/>
      <c r="J93" s="10" t="inlineStr"/>
    </row>
    <row r="94">
      <c r="A94" s="7" t="inlineStr">
        <is>
          <t>q35_uhc_heard</t>
        </is>
      </c>
      <c r="B94" s="8" t="inlineStr">
        <is>
          <t>35. Have you heard about Universal Health Care (UHC) prior to this survey?</t>
        </is>
      </c>
      <c r="C94" s="8" t="inlineStr">
        <is>
          <t>We will now ask about the patient’s awareness of the Universal Health Care (UHC). Note to enumerator [do not read]: This section is for the Patient’s awareness on Universal Health Care. Ask all questions in this section unless a skip rule applies. 35. Have you heard about Universal Health Care (UHC) prior to this survey?</t>
        </is>
      </c>
      <c r="D94" s="8" t="inlineStr"/>
      <c r="E94" s="8">
        <f> No → Q38 (skip Q36, Q37)</f>
        <v/>
      </c>
      <c r="F94" s="8" t="inlineStr">
        <is>
          <t>C. Awareness on Universal Health Care (UHC)</t>
        </is>
      </c>
      <c r="G94" s="8" t="inlineStr">
        <is>
          <t>numeric 1</t>
        </is>
      </c>
      <c r="H94" s="8" t="inlineStr">
        <is>
          <t>1 = Yes
2 = No</t>
        </is>
      </c>
      <c r="I94" s="8" t="inlineStr"/>
      <c r="J94" s="8" t="inlineStr">
        <is>
          <t>[HARD] Required, ∈ {1, 2}</t>
        </is>
      </c>
    </row>
    <row r="95">
      <c r="A95" s="9" t="inlineStr">
        <is>
          <t>q36_uhc_source</t>
        </is>
      </c>
      <c r="B95" s="10" t="inlineStr">
        <is>
          <t>36. What is your source of information about UHC?</t>
        </is>
      </c>
      <c r="C95" s="10" t="inlineStr">
        <is>
          <t>36. What is your source of information about UHC? DO NOT READ OPTIONS OUT LOUD. SELECT ALL THAT APPLY.</t>
        </is>
      </c>
      <c r="D95" s="10" t="inlineStr">
        <is>
          <t>not asked when Q35 UHC_HEARD = No</t>
        </is>
      </c>
      <c r="E95" s="10" t="inlineStr"/>
      <c r="F95" s="10" t="inlineStr">
        <is>
          <t>C. Awareness on Universal Health Care (UHC)</t>
        </is>
      </c>
      <c r="G95" s="10" t="inlineStr">
        <is>
          <t>alpha 16</t>
        </is>
      </c>
      <c r="H95" s="10" t="inlineStr">
        <is>
          <t>01 = News
02 = Legislation
03 = Social Media
04 = Friends / Family
05 = Health center/ facility
06 = LGU/ Barangay
99 = Other (Specify)</t>
        </is>
      </c>
      <c r="I95" s="10" t="inlineStr">
        <is>
          <t>90 = I don't know</t>
        </is>
      </c>
      <c r="J95" s="10" t="inlineStr">
        <is>
          <t>[HARD] ≥ 1 option ticked when enabled
[HARD] Cannot be combined with any other option
[HARD] `Q36_UHC_SOURCE_OTHER_TXT` required</t>
        </is>
      </c>
    </row>
    <row r="96">
      <c r="A96" s="7" t="inlineStr">
        <is>
          <t>q36_uhc_source_other_txt</t>
        </is>
      </c>
      <c r="B96" s="8" t="inlineStr">
        <is>
          <t>36. What is your source of information about UHC? — Other (specify) text</t>
        </is>
      </c>
      <c r="C96" s="8" t="inlineStr">
        <is>
          <t>36. What is your source of information about UHC? — Other (specify) text</t>
        </is>
      </c>
      <c r="D96" s="8" t="inlineStr">
        <is>
          <t>not asked when Q35 UHC_HEARD = No</t>
        </is>
      </c>
      <c r="E96" s="8" t="inlineStr"/>
      <c r="F96" s="8" t="inlineStr">
        <is>
          <t>C. Awareness on Universal Health Care (UHC)</t>
        </is>
      </c>
      <c r="G96" s="8" t="inlineStr">
        <is>
          <t>alpha 120</t>
        </is>
      </c>
      <c r="H96" s="8" t="inlineStr"/>
      <c r="I96" s="8" t="inlineStr"/>
      <c r="J96" s="8" t="inlineStr"/>
    </row>
    <row r="97">
      <c r="A97" s="9" t="inlineStr">
        <is>
          <t>q37_uhc_understand</t>
        </is>
      </c>
      <c r="B97" s="10" t="inlineStr">
        <is>
          <t>37. What is your understanding about UHC?</t>
        </is>
      </c>
      <c r="C97" s="10" t="inlineStr">
        <is>
          <t>37. What is your understanding about UHC? DO NOT READ OPTIONS OUT LOUD. SELECT ALL THAT APPLY.</t>
        </is>
      </c>
      <c r="D97" s="10" t="inlineStr">
        <is>
          <t>not asked when Q35 UHC_HEARD = No</t>
        </is>
      </c>
      <c r="E97" s="10" t="inlineStr"/>
      <c r="F97" s="10" t="inlineStr">
        <is>
          <t>C. Awareness on Universal Health Care (UHC)</t>
        </is>
      </c>
      <c r="G97" s="10" t="inlineStr">
        <is>
          <t>alpha 12</t>
        </is>
      </c>
      <c r="H97" s="10" t="inlineStr">
        <is>
          <t>01 = Protection from financial risk/decreased out-of-pocket spending
02 = Access to quality and affordable health care goods and services
03 = Automatic enrollment into PhilHealth
04 = Primary care provider for every Filipino
99 = Other (Specify)</t>
        </is>
      </c>
      <c r="I97" s="10" t="inlineStr">
        <is>
          <t>90 = I don't know</t>
        </is>
      </c>
      <c r="J97" s="10" t="inlineStr">
        <is>
          <t>[HARD] ≥ 1 option ticked when enabled
[HARD] Cannot be combined with any other option
[HARD] `Q37_UHC_UNDERSTAND_OTHER_TXT` required</t>
        </is>
      </c>
    </row>
    <row r="98">
      <c r="A98" s="7" t="inlineStr">
        <is>
          <t>q37_uhc_understand_other_txt</t>
        </is>
      </c>
      <c r="B98" s="8" t="inlineStr">
        <is>
          <t>37. What is your understanding about UHC? — Other (specify) text</t>
        </is>
      </c>
      <c r="C98" s="8" t="inlineStr">
        <is>
          <t>37. What is your understanding about UHC? — Other (specify) text</t>
        </is>
      </c>
      <c r="D98" s="8" t="inlineStr">
        <is>
          <t>not asked when Q35 UHC_HEARD = No</t>
        </is>
      </c>
      <c r="E98" s="8" t="inlineStr"/>
      <c r="F98" s="8" t="inlineStr">
        <is>
          <t>C. Awareness on Universal Health Care (UHC)</t>
        </is>
      </c>
      <c r="G98" s="8" t="inlineStr">
        <is>
          <t>alpha 120</t>
        </is>
      </c>
      <c r="H98" s="8" t="inlineStr"/>
      <c r="I98" s="8" t="inlineStr"/>
      <c r="J98" s="8" t="inlineStr"/>
    </row>
    <row r="99">
      <c r="A99" s="9" t="inlineStr">
        <is>
          <t>q38_philhealth_reg</t>
        </is>
      </c>
      <c r="B99" s="10" t="inlineStr">
        <is>
          <t>38. Are you currently registered with PhilHealth?</t>
        </is>
      </c>
      <c r="C99" s="10" t="inlineStr">
        <is>
          <t>The next questions we will be asking are related to the patient’s PhilHealth registration experience. We will also confirm their PhilHealth registration status and membership, and their registration to other health insurance. Note to enumerator [do not read]: This section is for the Patient’s PhilHealth Registration and Health Insurance. Ask all questions in this section unless a skip rule applies. 38. Are you currently registered with PhilHealth?</t>
        </is>
      </c>
      <c r="D99" s="10" t="inlineStr">
        <is>
          <t>not asked when Q38 PHILHEALTH_REG = No (2)
not asked when Q38 PHILHEALTH_REG = "I don't know" (3)</t>
        </is>
      </c>
      <c r="E99" s="10">
        <f> Yes (1) → Q38.1 (when registered) then continue to Q39
= No (2) → Q38.2 (why not registered) then Q43 (skip Q39–Q42/Q38.1)
= "I don't know" (3) → Q43 (skip Q38.1/Q38.2/Q39–Q42)</f>
        <v/>
      </c>
      <c r="F99" s="10" t="inlineStr">
        <is>
          <t>D. PhilHealth Registration and Health Insurance</t>
        </is>
      </c>
      <c r="G99" s="10" t="inlineStr">
        <is>
          <t>numeric 1</t>
        </is>
      </c>
      <c r="H99" s="10" t="inlineStr">
        <is>
          <t>1 = Yes
2 = No</t>
        </is>
      </c>
      <c r="I99" s="10" t="inlineStr">
        <is>
          <t>3 = I don't know</t>
        </is>
      </c>
      <c r="J99" s="10" t="inlineStr">
        <is>
          <t>[HARD] Required, ∈ {1, 2, 3}</t>
        </is>
      </c>
    </row>
    <row r="100">
      <c r="A100" s="7" t="inlineStr">
        <is>
          <t>q38_1_pin_when</t>
        </is>
      </c>
      <c r="B100" s="8" t="inlineStr">
        <is>
          <t>38.1. When did you register and receive your PhilHealth PIN? (Only answer if 'Yes' in Q38.) SELECT ONE ANSWER ONLY.</t>
        </is>
      </c>
      <c r="C100" s="8" t="inlineStr">
        <is>
          <t>38.1. When did you register and receive your PhilHealth PIN? (Only answer if 'Yes' in Q38.) SELECT ONE ANSWER ONLY. Note to enumerator [do not read]: This section is for the Patient’s PhilHealth Registration and Health Insurance. Ask all questions in this section unless a skip rule applies.</t>
        </is>
      </c>
      <c r="D100" s="8" t="inlineStr">
        <is>
          <t>not asked when Q38 PHILHEALTH_REG = No (2)
not asked when Q38 PHILHEALTH_REG = "I don't know" (3)</t>
        </is>
      </c>
      <c r="E100" s="8" t="inlineStr"/>
      <c r="F100" s="8" t="inlineStr">
        <is>
          <t>D. PhilHealth Registration and Health Insurance</t>
        </is>
      </c>
      <c r="G100" s="8" t="inlineStr">
        <is>
          <t>numeric 1</t>
        </is>
      </c>
      <c r="H100" s="8" t="inlineStr">
        <is>
          <t>1 = Within the past year
2 = Within the last 2-3 years
3 = Within the last 4-5 years
4 = Over 5 years</t>
        </is>
      </c>
      <c r="I100" s="8" t="inlineStr">
        <is>
          <t>5 = I don't know [DO NOT READ OUT LOUD]</t>
        </is>
      </c>
      <c r="J100" s="8" t="inlineStr">
        <is>
          <t>[GATE] `Q38_PHILHEALTH_REG = Yes` (1) — ✅ built+deployed (#764); select-one 1–4 + 5 IDK[DNR]</t>
        </is>
      </c>
    </row>
    <row r="101">
      <c r="A101" s="9" t="inlineStr">
        <is>
          <t>q38_2_why_not_reg</t>
        </is>
      </c>
      <c r="B101" s="10" t="inlineStr">
        <is>
          <t>38.2. Why are you not registered? READ OPTIONS OUT LOUD. SELECT ALL THAT APPLY.</t>
        </is>
      </c>
      <c r="C101" s="10" t="inlineStr">
        <is>
          <t>38.2. Why are you not registered? READ OPTIONS OUT LOUD. SELECT ALL THAT APPLY. Note to enumerator [do not read]: This section is for the Patient’s PhilHealth Registration and Health Insurance. Ask all questions in this section unless a skip rule applies.</t>
        </is>
      </c>
      <c r="D101" s="10" t="inlineStr">
        <is>
          <t>not asked when Q38 PHILHEALTH_REG = No (2)
not asked when Q38 PHILHEALTH_REG = "I don't know" (3)</t>
        </is>
      </c>
      <c r="E101" s="10" t="inlineStr"/>
      <c r="F101" s="10" t="inlineStr">
        <is>
          <t>D. PhilHealth Registration and Health Insurance</t>
        </is>
      </c>
      <c r="G101" s="10" t="inlineStr">
        <is>
          <t>alpha 18</t>
        </is>
      </c>
      <c r="H101" s="10" t="inlineStr">
        <is>
          <t>01 = Difficult to register
02 = Don't see value in registering
05 = A family member is currently registered with PhilHealth
06 = Currently unemployed
07 = No time to register
08 = No valid ID to register
99 = Other (specify)</t>
        </is>
      </c>
      <c r="I101" s="10" t="inlineStr">
        <is>
          <t>03 = Don't know how to register
04 = Don't know what PhilHealth is</t>
        </is>
      </c>
      <c r="J101" s="10" t="inlineStr">
        <is>
          <t>[GATE] `Q38_PHILHEALTH_REG = No` (2) — ✅ built+deployed (#764); tick-all 01–08 + 99 Other→`_OTHER_TXT` (in optimize CHECKBOX set; ≥1 required)</t>
        </is>
      </c>
    </row>
    <row r="102">
      <c r="A102" s="7" t="inlineStr">
        <is>
          <t>q38_2_why_not_reg_other_txt</t>
        </is>
      </c>
      <c r="B102" s="8" t="inlineStr">
        <is>
          <t>38.2. Why are you not registered? READ OPTIONS OUT LOUD. SELECT ALL THAT APPLY. — Other (specify) text</t>
        </is>
      </c>
      <c r="C102" s="8" t="inlineStr">
        <is>
          <t>38.2. Why are you not registered? READ OPTIONS OUT LOUD. SELECT ALL THAT APPLY. — Other (specify) text</t>
        </is>
      </c>
      <c r="D102" s="8" t="inlineStr">
        <is>
          <t>not asked when Q38 PHILHEALTH_REG = No (2)
not asked when Q38 PHILHEALTH_REG = "I don't know" (3)</t>
        </is>
      </c>
      <c r="E102" s="8" t="inlineStr"/>
      <c r="F102" s="8" t="inlineStr">
        <is>
          <t>D. PhilHealth Registration and Health Insurance</t>
        </is>
      </c>
      <c r="G102" s="8" t="inlineStr">
        <is>
          <t>alpha 120</t>
        </is>
      </c>
      <c r="H102" s="8" t="inlineStr"/>
      <c r="I102" s="8" t="inlineStr"/>
      <c r="J102" s="8" t="inlineStr"/>
    </row>
    <row r="103">
      <c r="A103" s="9" t="inlineStr">
        <is>
          <t>q39_how_find_out</t>
        </is>
      </c>
      <c r="B103" s="10" t="inlineStr">
        <is>
          <t>39. How did you find out about how to register for PhilHealth?</t>
        </is>
      </c>
      <c r="C103" s="10" t="inlineStr">
        <is>
          <t>39. How did you find out about how to register for PhilHealth? DO NOT READ OPTIONS OUT LOUD. SELECT ONE ANSWER ONLY.</t>
        </is>
      </c>
      <c r="D103" s="10" t="inlineStr">
        <is>
          <t>not asked when Q38 PHILHEALTH_REG = No (2)
not asked when Q38 PHILHEALTH_REG = "I don't know" (3)</t>
        </is>
      </c>
      <c r="E103" s="10" t="inlineStr"/>
      <c r="F103" s="10" t="inlineStr">
        <is>
          <t>D. PhilHealth Registration and Health Insurance</t>
        </is>
      </c>
      <c r="G103" s="10" t="inlineStr">
        <is>
          <t>numeric 2</t>
        </is>
      </c>
      <c r="H103" s="10" t="inlineStr">
        <is>
          <t>01 = PhilHealth representative
02 = LGU
03 = Primary care provider
04 = Other health care provider
05 = Employer
06 = No one / self-registered
07 = Barangay Health Worker
08 = Friends / Family
09 = Health center/facility
10 = Other (Specify)</t>
        </is>
      </c>
      <c r="I103" s="10" t="inlineStr"/>
      <c r="J103" s="10" t="inlineStr"/>
    </row>
    <row r="104">
      <c r="A104" s="7" t="inlineStr">
        <is>
          <t>q39_how_find_out_other_txt</t>
        </is>
      </c>
      <c r="B104" s="8" t="inlineStr">
        <is>
          <t>39. How found out — Other (specify) text</t>
        </is>
      </c>
      <c r="C104" s="8" t="inlineStr">
        <is>
          <t>39. How found out — Other (specify) text</t>
        </is>
      </c>
      <c r="D104" s="8" t="inlineStr">
        <is>
          <t>not asked when Q38 PHILHEALTH_REG = No (2)
not asked when Q38 PHILHEALTH_REG = "I don't know" (3)</t>
        </is>
      </c>
      <c r="E104" s="8" t="inlineStr"/>
      <c r="F104" s="8" t="inlineStr">
        <is>
          <t>D. PhilHealth Registration and Health Insurance</t>
        </is>
      </c>
      <c r="G104" s="8" t="inlineStr">
        <is>
          <t>alpha 120</t>
        </is>
      </c>
      <c r="H104" s="8" t="inlineStr"/>
      <c r="I104" s="8" t="inlineStr"/>
      <c r="J104" s="8" t="inlineStr"/>
    </row>
    <row r="105">
      <c r="A105" s="9" t="inlineStr">
        <is>
          <t>q40_who_assisted</t>
        </is>
      </c>
      <c r="B105" s="10" t="inlineStr">
        <is>
          <t>40. Who assisted you in the registration process?</t>
        </is>
      </c>
      <c r="C105" s="10" t="inlineStr">
        <is>
          <t>40. Who assisted you in the registration process? DO NOT READ OPTIONS OUT LOUD. SELECT ONE ANSWER ONLY.</t>
        </is>
      </c>
      <c r="D105" s="10" t="inlineStr"/>
      <c r="E105" s="10" t="inlineStr"/>
      <c r="F105" s="10" t="inlineStr">
        <is>
          <t>D. PhilHealth Registration and Health Insurance</t>
        </is>
      </c>
      <c r="G105" s="10" t="inlineStr">
        <is>
          <t>numeric 2</t>
        </is>
      </c>
      <c r="H105" s="10" t="inlineStr">
        <is>
          <t>01 = PhilHealth representative
02 = LGU
03 = Primary care provider
04 = Other health care provider
05 = Employer
06 = No one / self-registered
07 = Barangay Health Worker
08 = Friends / Family
09 = Health center/facility
10 = Other (Specify)</t>
        </is>
      </c>
      <c r="I105" s="10" t="inlineStr"/>
      <c r="J105" s="10" t="inlineStr"/>
    </row>
    <row r="106">
      <c r="A106" s="7" t="inlineStr">
        <is>
          <t>q40_who_assisted_other_txt</t>
        </is>
      </c>
      <c r="B106" s="8" t="inlineStr">
        <is>
          <t>40. Who assisted — Other (specify) text</t>
        </is>
      </c>
      <c r="C106" s="8" t="inlineStr">
        <is>
          <t>40. Who assisted — Other (specify) text</t>
        </is>
      </c>
      <c r="D106" s="8" t="inlineStr"/>
      <c r="E106" s="8" t="inlineStr"/>
      <c r="F106" s="8" t="inlineStr">
        <is>
          <t>D. PhilHealth Registration and Health Insurance</t>
        </is>
      </c>
      <c r="G106" s="8" t="inlineStr">
        <is>
          <t>alpha 120</t>
        </is>
      </c>
      <c r="H106" s="8" t="inlineStr"/>
      <c r="I106" s="8" t="inlineStr"/>
      <c r="J106" s="8" t="inlineStr"/>
    </row>
    <row r="107">
      <c r="A107" s="9" t="inlineStr">
        <is>
          <t>q41_reg_difficulty</t>
        </is>
      </c>
      <c r="B107" s="10" t="inlineStr">
        <is>
          <t>41. Did you have any difficulties in the registration process?</t>
        </is>
      </c>
      <c r="C107" s="10" t="inlineStr">
        <is>
          <t>41. Did you have any difficulties in the registration process? DO NOT READ OPTIONS OUT LOUD. SELECT ONE ANSWER ONLY.</t>
        </is>
      </c>
      <c r="D107" s="10" t="inlineStr"/>
      <c r="E107" s="10">
        <f> No → Q43 (skip Q42 — no difficulty → no reason-for-difficulty)</f>
        <v/>
      </c>
      <c r="F107" s="10" t="inlineStr">
        <is>
          <t>D. PhilHealth Registration and Health Insurance</t>
        </is>
      </c>
      <c r="G107" s="10" t="inlineStr">
        <is>
          <t>numeric 1</t>
        </is>
      </c>
      <c r="H107" s="10" t="inlineStr">
        <is>
          <t>1 = Yes
2 = No</t>
        </is>
      </c>
      <c r="I107" s="10" t="inlineStr"/>
      <c r="J107" s="10" t="inlineStr"/>
    </row>
    <row r="108">
      <c r="A108" s="7" t="inlineStr">
        <is>
          <t>q42_difficulty</t>
        </is>
      </c>
      <c r="B108" s="8" t="inlineStr">
        <is>
          <t>42. What did you find difficult about the process?</t>
        </is>
      </c>
      <c r="C108" s="8" t="inlineStr">
        <is>
          <t>42. What did you find difficult about the process? READ OPTIONS OUT LOUD. SELECT ALL THAT APPLY.</t>
        </is>
      </c>
      <c r="D108" s="8" t="inlineStr">
        <is>
          <t>not asked when Q38 PHILHEALTH_REG = No (2)
not asked when Q38 PHILHEALTH_REG = "I don't know" (3)
not asked when Q41 REG_DIFFICULTY = No</t>
        </is>
      </c>
      <c r="E108" s="8" t="inlineStr"/>
      <c r="F108" s="8" t="inlineStr">
        <is>
          <t>D. PhilHealth Registration and Health Insurance</t>
        </is>
      </c>
      <c r="G108" s="8" t="inlineStr">
        <is>
          <t>alpha 16</t>
        </is>
      </c>
      <c r="H108" s="8" t="inlineStr">
        <is>
          <t>01 = Unclear process
02 = Took a long time
03 = Did not know where to ask for help
04 = Had to travel a long way
05 = No valid ID
06 = Did not know the required documents to register
99 = Other (Specify)</t>
        </is>
      </c>
      <c r="I108" s="8" t="inlineStr">
        <is>
          <t>90 = I don't know</t>
        </is>
      </c>
      <c r="J108" s="8" t="inlineStr">
        <is>
          <t>[HARD] ≥ 1 option ticked when enabled
[HARD] Cannot be combined with any other option</t>
        </is>
      </c>
    </row>
    <row r="109">
      <c r="A109" s="9" t="inlineStr">
        <is>
          <t>q42_difficulty_other_txt</t>
        </is>
      </c>
      <c r="B109" s="10" t="inlineStr">
        <is>
          <t>42. What did you find difficult about the process? — Other (specify) text</t>
        </is>
      </c>
      <c r="C109" s="10" t="inlineStr">
        <is>
          <t>42. What did you find difficult about the process? — Other (specify) text</t>
        </is>
      </c>
      <c r="D109" s="10" t="inlineStr">
        <is>
          <t>not asked when Q38 PHILHEALTH_REG = No (2)
not asked when Q38 PHILHEALTH_REG = "I don't know" (3)
not asked when Q41 REG_DIFFICULTY = No</t>
        </is>
      </c>
      <c r="E109" s="10" t="inlineStr"/>
      <c r="F109" s="10" t="inlineStr">
        <is>
          <t>D. PhilHealth Registration and Health Insurance</t>
        </is>
      </c>
      <c r="G109" s="10" t="inlineStr">
        <is>
          <t>alpha 120</t>
        </is>
      </c>
      <c r="H109" s="10" t="inlineStr"/>
      <c r="I109" s="10" t="inlineStr"/>
      <c r="J109" s="10" t="inlineStr"/>
    </row>
    <row r="110">
      <c r="A110" s="7" t="inlineStr">
        <is>
          <t>q43_knows_assist</t>
        </is>
      </c>
      <c r="B110" s="8" t="inlineStr">
        <is>
          <t>43. Would you know where to go to seek assistance during registration?</t>
        </is>
      </c>
      <c r="C110" s="8" t="inlineStr">
        <is>
          <t>43. Would you know where to go to seek assistance during registration?</t>
        </is>
      </c>
      <c r="D110" s="8" t="inlineStr"/>
      <c r="E110" s="8">
        <f> No → Q45 (skip Q44 — patient doesn't know where to go, no point asking)</f>
        <v/>
      </c>
      <c r="F110" s="8" t="inlineStr">
        <is>
          <t>D. PhilHealth Registration and Health Insurance</t>
        </is>
      </c>
      <c r="G110" s="8" t="inlineStr">
        <is>
          <t>numeric 1</t>
        </is>
      </c>
      <c r="H110" s="8" t="inlineStr">
        <is>
          <t>1 = Yes
2 = No</t>
        </is>
      </c>
      <c r="I110" s="8" t="inlineStr"/>
      <c r="J110" s="8" t="inlineStr"/>
    </row>
    <row r="111">
      <c r="A111" s="9" t="inlineStr">
        <is>
          <t>q44_where_assist</t>
        </is>
      </c>
      <c r="B111" s="10" t="inlineStr">
        <is>
          <t>44. Where would you go to seek assistance?</t>
        </is>
      </c>
      <c r="C111" s="10" t="inlineStr">
        <is>
          <t>44. Where would you go to seek assistance?</t>
        </is>
      </c>
      <c r="D111" s="10" t="inlineStr">
        <is>
          <t>not asked when Q43 KNOWS_ASSIST = No</t>
        </is>
      </c>
      <c r="E111" s="10" t="inlineStr"/>
      <c r="F111" s="10" t="inlineStr">
        <is>
          <t>D. PhilHealth Registration and Health Insurance</t>
        </is>
      </c>
      <c r="G111" s="10" t="inlineStr">
        <is>
          <t>numeric 2</t>
        </is>
      </c>
      <c r="H111" s="10" t="inlineStr">
        <is>
          <t>01 = PhilHealth representative
02 = LGU
03 = Primary care provider
04 = Other health care provider
05 = Employer
06 = No one / self-registered
07 = Barangay Health Worker
08 = Friends / Family
09 = Health center/facility
10 = Other (Specify)</t>
        </is>
      </c>
      <c r="I111" s="10" t="inlineStr"/>
      <c r="J111" s="10" t="inlineStr"/>
    </row>
    <row r="112">
      <c r="A112" s="7" t="inlineStr">
        <is>
          <t>q44_where_assist_other_txt</t>
        </is>
      </c>
      <c r="B112" s="8" t="inlineStr">
        <is>
          <t>44. Where to seek assistance — Other (specify) text</t>
        </is>
      </c>
      <c r="C112" s="8" t="inlineStr">
        <is>
          <t>44. Where to seek assistance — Other (specify) text</t>
        </is>
      </c>
      <c r="D112" s="8" t="inlineStr">
        <is>
          <t>not asked when Q43 KNOWS_ASSIST = No</t>
        </is>
      </c>
      <c r="E112" s="8" t="inlineStr"/>
      <c r="F112" s="8" t="inlineStr">
        <is>
          <t>D. PhilHealth Registration and Health Insurance</t>
        </is>
      </c>
      <c r="G112" s="8" t="inlineStr">
        <is>
          <t>alpha 120</t>
        </is>
      </c>
      <c r="H112" s="8" t="inlineStr"/>
      <c r="I112" s="8" t="inlineStr"/>
      <c r="J112" s="8" t="inlineStr"/>
    </row>
    <row r="113">
      <c r="A113" s="9" t="inlineStr">
        <is>
          <t>q45_category</t>
        </is>
      </c>
      <c r="B113" s="10" t="inlineStr">
        <is>
          <t>45. What category of member are you?</t>
        </is>
      </c>
      <c r="C113" s="10" t="inlineStr">
        <is>
          <t>45. What category of member are you? READ OPTIONS OUT LOUD. SELECT ONE ANSWER ONLY.</t>
        </is>
      </c>
      <c r="D113" s="10" t="inlineStr"/>
      <c r="E113" s="10" t="inlineStr"/>
      <c r="F113" s="10" t="inlineStr">
        <is>
          <t>D. PhilHealth Registration and Health Insurance</t>
        </is>
      </c>
      <c r="G113" s="10" t="inlineStr">
        <is>
          <t>numeric 2</t>
        </is>
      </c>
      <c r="H113" s="10" t="inlineStr">
        <is>
          <t>01 = Formal economy (i.e., individuals working in the government or private sector based in the country)
02 = Informal economy (i.e., unemployed, self-employed, informal workers, Filipinos with dual citizenship, naturalized Filipino citizens, citizens of other countries working and/or residing in the Philippines)
03 = Indigent (i.e., individuals who have no visible means of income, or whose income is insufficient for family subsistence based on DSWD's specific criteria)
04 = Sponsored (i.e., members whose contributions are being paid for by another individual, government agencies, or private entities. Includes some low-income citizens that are not indigent e.g. BHWs, PWDs)
05 = Lifetime member (i.e., individuals aged 60 years and above, uniformed personnel aged 56 years and above, and SSS underground miner-retirees aged 55 years and above and paid at least 120 monthly contributions with PhilHealth and the former Medicare...
06 = Senior citizen (i.e., residents of the Philippines, aged sixty (60) years or above and are not currently covered by any membership category of PhilHealth and qualified dependents of senior citizen members who are also senior citizen themselves or...
07 = Overseas Filipino Worker (OFW)
08 = Qualified dependents (i.e., those whose contributions are declared and covered by a principal member)
99 = Other (Specify)</t>
        </is>
      </c>
      <c r="I113" s="10" t="inlineStr">
        <is>
          <t>98 = I don't know</t>
        </is>
      </c>
      <c r="J113" s="10" t="inlineStr">
        <is>
          <t>[HARD] Required when enabled, ∈ {01–08, 98, 99}</t>
        </is>
      </c>
    </row>
    <row r="114">
      <c r="A114" s="7" t="inlineStr">
        <is>
          <t>q45_category_other_txt</t>
        </is>
      </c>
      <c r="B114" s="8" t="inlineStr">
        <is>
          <t>45. Category — Other (specify) text</t>
        </is>
      </c>
      <c r="C114" s="8" t="inlineStr">
        <is>
          <t>45. Category — Other (specify) text</t>
        </is>
      </c>
      <c r="D114" s="8" t="inlineStr"/>
      <c r="E114" s="8" t="inlineStr"/>
      <c r="F114" s="8" t="inlineStr">
        <is>
          <t>D. PhilHealth Registration and Health Insurance</t>
        </is>
      </c>
      <c r="G114" s="8" t="inlineStr">
        <is>
          <t>alpha 120</t>
        </is>
      </c>
      <c r="H114" s="8" t="inlineStr"/>
      <c r="I114" s="8" t="inlineStr"/>
      <c r="J114" s="8" t="inlineStr"/>
    </row>
    <row r="115">
      <c r="A115" s="9" t="inlineStr">
        <is>
          <t>q46_benefits</t>
        </is>
      </c>
      <c r="B115" s="10" t="inlineStr">
        <is>
          <t>46. What are some of the benefits that come with being a PhilHealth member?</t>
        </is>
      </c>
      <c r="C115" s="10" t="inlineStr">
        <is>
          <t>46. What are some of the benefits that come with being a PhilHealth member? DO NOT READ OPTIONS OUT LOUD. SELECT ALL THAT APPLY.</t>
        </is>
      </c>
      <c r="D115" s="10" t="inlineStr"/>
      <c r="E115" s="10" t="inlineStr"/>
      <c r="F115" s="10" t="inlineStr">
        <is>
          <t>D. PhilHealth Registration and Health Insurance</t>
        </is>
      </c>
      <c r="G115" s="10" t="inlineStr">
        <is>
          <t>alpha 12</t>
        </is>
      </c>
      <c r="H115" s="10" t="inlineStr">
        <is>
          <t>01 = No balance billing for basic ward accommodation
02 = Subsidized inpatient services
03 = Subsidized outpatient services
04 = There are no benefits to being a member
99 = Other (Specify)</t>
        </is>
      </c>
      <c r="I115" s="10" t="inlineStr">
        <is>
          <t>90 = I don't know</t>
        </is>
      </c>
      <c r="J115" s="10" t="inlineStr">
        <is>
          <t>[HARD] ≥ 1 option ticked when enabled
[HARD] Cannot be combined with any other option</t>
        </is>
      </c>
    </row>
    <row r="116">
      <c r="A116" s="7" t="inlineStr">
        <is>
          <t>q46_benefits_other_txt</t>
        </is>
      </c>
      <c r="B116" s="8" t="inlineStr">
        <is>
          <t>46. What are some of the benefits that come with being a PhilHealth member? — Other (specify) text</t>
        </is>
      </c>
      <c r="C116" s="8" t="inlineStr">
        <is>
          <t>46. What are some of the benefits that come with being a PhilHealth member? — Other (specify) text</t>
        </is>
      </c>
      <c r="D116" s="8" t="inlineStr"/>
      <c r="E116" s="8" t="inlineStr"/>
      <c r="F116" s="8" t="inlineStr">
        <is>
          <t>D. PhilHealth Registration and Health Insurance</t>
        </is>
      </c>
      <c r="G116" s="8" t="inlineStr">
        <is>
          <t>alpha 120</t>
        </is>
      </c>
      <c r="H116" s="8" t="inlineStr"/>
      <c r="I116" s="8" t="inlineStr"/>
      <c r="J116" s="8" t="inlineStr"/>
    </row>
    <row r="117">
      <c r="A117" s="9" t="inlineStr">
        <is>
          <t>q47_physician_checkup</t>
        </is>
      </c>
      <c r="B117" s="10" t="inlineStr">
        <is>
          <t>47. Awareness of PhilHealth package — Physician check-up</t>
        </is>
      </c>
      <c r="C117" s="10" t="inlineStr">
        <is>
          <t>Are you aware that there are PhilHealth packages for the following health services? 47. Awareness of PhilHealth package — Physician check-up</t>
        </is>
      </c>
      <c r="D117" s="10" t="inlineStr"/>
      <c r="E117" s="10" t="inlineStr"/>
      <c r="F117" s="10" t="inlineStr">
        <is>
          <t>D. PhilHealth Registration and Health Insurance</t>
        </is>
      </c>
      <c r="G117" s="10" t="inlineStr">
        <is>
          <t>numeric 1</t>
        </is>
      </c>
      <c r="H117" s="10" t="inlineStr">
        <is>
          <t>1 = Yes
2 = No</t>
        </is>
      </c>
      <c r="I117" s="10" t="inlineStr"/>
      <c r="J117" s="10" t="inlineStr"/>
    </row>
    <row r="118">
      <c r="A118" s="7" t="inlineStr">
        <is>
          <t>q47_diagnostic_tests</t>
        </is>
      </c>
      <c r="B118" s="8" t="inlineStr">
        <is>
          <t>47. Awareness of PhilHealth package — Diagnostic tests (e.g. laboratory tests and imaging)</t>
        </is>
      </c>
      <c r="C118" s="8" t="inlineStr">
        <is>
          <t>47. Awareness of PhilHealth package — Diagnostic tests (e.g. laboratory tests and imaging)</t>
        </is>
      </c>
      <c r="D118" s="8" t="inlineStr"/>
      <c r="E118" s="8" t="inlineStr"/>
      <c r="F118" s="8" t="inlineStr">
        <is>
          <t>D. PhilHealth Registration and Health Insurance</t>
        </is>
      </c>
      <c r="G118" s="8" t="inlineStr">
        <is>
          <t>numeric 1</t>
        </is>
      </c>
      <c r="H118" s="8" t="inlineStr">
        <is>
          <t>1 = Yes
2 = No</t>
        </is>
      </c>
      <c r="I118" s="8" t="inlineStr"/>
      <c r="J118" s="8" t="inlineStr"/>
    </row>
    <row r="119">
      <c r="A119" s="9" t="inlineStr">
        <is>
          <t>q47_hospital_conf</t>
        </is>
      </c>
      <c r="B119" s="10" t="inlineStr">
        <is>
          <t>47. Awareness of PhilHealth package — Hospital confinement</t>
        </is>
      </c>
      <c r="C119" s="10" t="inlineStr">
        <is>
          <t>47. Awareness of PhilHealth package — Hospital confinement</t>
        </is>
      </c>
      <c r="D119" s="10" t="inlineStr"/>
      <c r="E119" s="10" t="inlineStr"/>
      <c r="F119" s="10" t="inlineStr">
        <is>
          <t>D. PhilHealth Registration and Health Insurance</t>
        </is>
      </c>
      <c r="G119" s="10" t="inlineStr">
        <is>
          <t>numeric 1</t>
        </is>
      </c>
      <c r="H119" s="10" t="inlineStr">
        <is>
          <t>1 = Yes
2 = No</t>
        </is>
      </c>
      <c r="I119" s="10" t="inlineStr"/>
      <c r="J119" s="10" t="inlineStr"/>
    </row>
    <row r="120">
      <c r="A120" s="7" t="inlineStr">
        <is>
          <t>q47_outpatient_drugs</t>
        </is>
      </c>
      <c r="B120" s="8" t="inlineStr">
        <is>
          <t>47. Awareness of PhilHealth package — Outpatient drugs</t>
        </is>
      </c>
      <c r="C120" s="8" t="inlineStr">
        <is>
          <t>47. Awareness of PhilHealth package — Outpatient drugs</t>
        </is>
      </c>
      <c r="D120" s="8" t="inlineStr"/>
      <c r="E120" s="8" t="inlineStr"/>
      <c r="F120" s="8" t="inlineStr">
        <is>
          <t>D. PhilHealth Registration and Health Insurance</t>
        </is>
      </c>
      <c r="G120" s="8" t="inlineStr">
        <is>
          <t>numeric 1</t>
        </is>
      </c>
      <c r="H120" s="8" t="inlineStr">
        <is>
          <t>1 = Yes
2 = No</t>
        </is>
      </c>
      <c r="I120" s="8" t="inlineStr"/>
      <c r="J120" s="8" t="inlineStr"/>
    </row>
    <row r="121">
      <c r="A121" s="9" t="inlineStr">
        <is>
          <t>q48_premium_pay</t>
        </is>
      </c>
      <c r="B121" s="10" t="inlineStr">
        <is>
          <t>48. Do you pay PhilHealth premiums every month?</t>
        </is>
      </c>
      <c r="C121" s="10" t="inlineStr">
        <is>
          <t>48. Do you pay PhilHealth premiums every month? READ OPTIONS OUT LOUD. SELECT ONE ANSWER ONLY.</t>
        </is>
      </c>
      <c r="D121" s="10" t="inlineStr"/>
      <c r="E121" s="10">
        <f> "No, I do not pay premiums" (3) → Q51 (skip Q49, Q50)</f>
        <v/>
      </c>
      <c r="F121" s="10" t="inlineStr">
        <is>
          <t>D. PhilHealth Registration and Health Insurance</t>
        </is>
      </c>
      <c r="G121" s="10" t="inlineStr">
        <is>
          <t>numeric 1</t>
        </is>
      </c>
      <c r="H121" s="10" t="inlineStr">
        <is>
          <t>1 = Yes, I pay directly
2 = Yes, my employer pays
3 = No, I do not pay premiums</t>
        </is>
      </c>
      <c r="I121" s="10" t="inlineStr"/>
      <c r="J121" s="10" t="inlineStr">
        <is>
          <t>[HARD] Required when enabled, ∈ {1, 2, 3}</t>
        </is>
      </c>
    </row>
    <row r="122">
      <c r="A122" s="7" t="inlineStr">
        <is>
          <t>q49_premium_difficult</t>
        </is>
      </c>
      <c r="B122" s="8" t="inlineStr">
        <is>
          <t>49. Do you find it difficult to pay your PhilHealth premium every month?</t>
        </is>
      </c>
      <c r="C122" s="8" t="inlineStr">
        <is>
          <t>49. Do you find it difficult to pay your PhilHealth premium every month?</t>
        </is>
      </c>
      <c r="D122" s="8" t="inlineStr">
        <is>
          <t>not asked when Q48 PREMIUM_PAY = "No, I do not pay premiums" (3)</t>
        </is>
      </c>
      <c r="E122" s="8">
        <f> No → Q51 (skip Q50)</f>
        <v/>
      </c>
      <c r="F122" s="8" t="inlineStr">
        <is>
          <t>D. PhilHealth Registration and Health Insurance</t>
        </is>
      </c>
      <c r="G122" s="8" t="inlineStr">
        <is>
          <t>numeric 1</t>
        </is>
      </c>
      <c r="H122" s="8" t="inlineStr">
        <is>
          <t>1 = Yes
2 = No</t>
        </is>
      </c>
      <c r="I122" s="8" t="inlineStr"/>
      <c r="J122" s="8" t="inlineStr"/>
    </row>
    <row r="123">
      <c r="A123" s="9" t="inlineStr">
        <is>
          <t>q50_difficulty_paying</t>
        </is>
      </c>
      <c r="B123" s="10" t="inlineStr">
        <is>
          <t>50. Why did you find it difficult?</t>
        </is>
      </c>
      <c r="C123" s="10" t="inlineStr">
        <is>
          <t>50. Why did you find it difficult? READ OPTIONS OUT LOUD. SELECT ALL THAT APPLY.</t>
        </is>
      </c>
      <c r="D123" s="10" t="inlineStr">
        <is>
          <t>not asked when Q48 PREMIUM_PAY = "No, I do not pay premiums" (3)
not asked when Q49 PREMIUM_DIFFICULT = No</t>
        </is>
      </c>
      <c r="E123" s="10" t="inlineStr"/>
      <c r="F123" s="10" t="inlineStr">
        <is>
          <t>D. PhilHealth Registration and Health Insurance</t>
        </is>
      </c>
      <c r="G123" s="10" t="inlineStr">
        <is>
          <t>alpha 14</t>
        </is>
      </c>
      <c r="H123" s="10" t="inlineStr">
        <is>
          <t>01 = Cannot afford the premium
02 = Payment options are inconvenient
03 = No time to pay
04 = Don't see value in paying
05 = System of PhilHealth is unreliable/usually down
99 = Other (Specify)</t>
        </is>
      </c>
      <c r="I123" s="10" t="inlineStr">
        <is>
          <t>90 = I don't know</t>
        </is>
      </c>
      <c r="J123" s="10" t="inlineStr">
        <is>
          <t>[HARD] ≥ 1 option ticked when enabled
[HARD] Cannot be combined with any other option</t>
        </is>
      </c>
    </row>
    <row r="124">
      <c r="A124" s="7" t="inlineStr">
        <is>
          <t>q50_difficulty_paying_other_txt</t>
        </is>
      </c>
      <c r="B124" s="8" t="inlineStr">
        <is>
          <t>50. Why did you find it difficult? — Other (specify) text</t>
        </is>
      </c>
      <c r="C124" s="8" t="inlineStr">
        <is>
          <t>50. Why did you find it difficult? — Other (specify) text</t>
        </is>
      </c>
      <c r="D124" s="8" t="inlineStr">
        <is>
          <t>not asked when Q48 PREMIUM_PAY = "No, I do not pay premiums" (3)
not asked when Q49 PREMIUM_DIFFICULT = No</t>
        </is>
      </c>
      <c r="E124" s="8" t="inlineStr"/>
      <c r="F124" s="8" t="inlineStr">
        <is>
          <t>D. PhilHealth Registration and Health Insurance</t>
        </is>
      </c>
      <c r="G124" s="8" t="inlineStr">
        <is>
          <t>alpha 120</t>
        </is>
      </c>
      <c r="H124" s="8" t="inlineStr"/>
      <c r="I124" s="8" t="inlineStr"/>
      <c r="J124" s="8" t="inlineStr"/>
    </row>
    <row r="125">
      <c r="A125" s="9" t="inlineStr">
        <is>
          <t>q51_other_insurance</t>
        </is>
      </c>
      <c r="B125" s="10" t="inlineStr">
        <is>
          <t>51. Are you registered with another health insurance plan?</t>
        </is>
      </c>
      <c r="C125" s="10" t="inlineStr">
        <is>
          <t>51. Are you registered with another health insurance plan?</t>
        </is>
      </c>
      <c r="D125" s="10" t="inlineStr"/>
      <c r="E125" s="10">
        <f> No → Q53 (skip Q52)</f>
        <v/>
      </c>
      <c r="F125" s="10" t="inlineStr">
        <is>
          <t>D. PhilHealth Registration and Health Insurance</t>
        </is>
      </c>
      <c r="G125" s="10" t="inlineStr">
        <is>
          <t>numeric 1</t>
        </is>
      </c>
      <c r="H125" s="10" t="inlineStr">
        <is>
          <t>1 = Yes
2 = No</t>
        </is>
      </c>
      <c r="I125" s="10" t="inlineStr"/>
      <c r="J125" s="10" t="inlineStr">
        <is>
          <t>[HARD] Required, ∈ {1, 2}</t>
        </is>
      </c>
    </row>
    <row r="126">
      <c r="A126" s="7" t="inlineStr">
        <is>
          <t>q52_plans</t>
        </is>
      </c>
      <c r="B126" s="8" t="inlineStr">
        <is>
          <t>52. Which health insurance plan/s are you enrolled in?</t>
        </is>
      </c>
      <c r="C126" s="8" t="inlineStr">
        <is>
          <t>52. Which health insurance plan/s are you enrolled in? READ OPTIONS OUT LOUD. SELECT ALL THAT APPLY.</t>
        </is>
      </c>
      <c r="D126" s="8" t="inlineStr">
        <is>
          <t>not asked when Q51 OTHER_INSURANCE = No</t>
        </is>
      </c>
      <c r="E126" s="8" t="inlineStr"/>
      <c r="F126" s="8" t="inlineStr">
        <is>
          <t>D. PhilHealth Registration and Health Insurance</t>
        </is>
      </c>
      <c r="G126" s="8" t="inlineStr">
        <is>
          <t>alpha 14</t>
        </is>
      </c>
      <c r="H126" s="8" t="inlineStr">
        <is>
          <t>01 = GSIS
02 = SSS
03 = Private Insurance
04 = HMO
05 = Pag-ibig
99 = Others (specify)</t>
        </is>
      </c>
      <c r="I126" s="8" t="inlineStr">
        <is>
          <t>90 = I don't know</t>
        </is>
      </c>
      <c r="J126" s="8" t="inlineStr">
        <is>
          <t>[HARD] ≥ 1 option ticked when enabled
[HARD] Cannot be combined with any other option</t>
        </is>
      </c>
    </row>
    <row r="127">
      <c r="A127" s="9" t="inlineStr">
        <is>
          <t>q52_plans_other_txt</t>
        </is>
      </c>
      <c r="B127" s="10" t="inlineStr">
        <is>
          <t>52. Which health insurance plan/s are you enrolled in? — Other (specify) text</t>
        </is>
      </c>
      <c r="C127" s="10" t="inlineStr">
        <is>
          <t>52. Which health insurance plan/s are you enrolled in? — Other (specify) text</t>
        </is>
      </c>
      <c r="D127" s="10" t="inlineStr">
        <is>
          <t>not asked when Q51 OTHER_INSURANCE = No</t>
        </is>
      </c>
      <c r="E127" s="10" t="inlineStr"/>
      <c r="F127" s="10" t="inlineStr">
        <is>
          <t>D. PhilHealth Registration and Health Insurance</t>
        </is>
      </c>
      <c r="G127" s="10" t="inlineStr">
        <is>
          <t>alpha 120</t>
        </is>
      </c>
      <c r="H127" s="10" t="inlineStr"/>
      <c r="I127" s="10" t="inlineStr"/>
      <c r="J127" s="10" t="inlineStr"/>
    </row>
    <row r="128">
      <c r="A128" s="7" t="inlineStr">
        <is>
          <t>q53_has_pcp</t>
        </is>
      </c>
      <c r="B128" s="8" t="inlineStr">
        <is>
          <t>53. Do you have a primary care provider?</t>
        </is>
      </c>
      <c r="C128" s="8" t="inlineStr">
        <is>
          <t>We will now ask questions about the patient’s access to a primary care provider. Note to enumerator [do not read]: This section is about the Patient’s Primary Care Utilization. Ask all questions in this section unless a skip rule applies. A primary care provider is your first contact healthcare provider (i.e., general practitioner doctor) for an undiagnosed concern or continuing care of varied medical conditions. 53. Do you have a primary care provider?</t>
        </is>
      </c>
      <c r="D128" s="8" t="inlineStr"/>
      <c r="E128" s="8">
        <f> No → Q63 (skip Q54–Q62 — no PCP, no PCP-specific questions)</f>
        <v/>
      </c>
      <c r="F128" s="8" t="inlineStr">
        <is>
          <t>E. Primary Care Utilization</t>
        </is>
      </c>
      <c r="G128" s="8" t="inlineStr">
        <is>
          <t>numeric 1</t>
        </is>
      </c>
      <c r="H128" s="8" t="inlineStr">
        <is>
          <t>1 = Yes
2 = No</t>
        </is>
      </c>
      <c r="I128" s="8" t="inlineStr"/>
      <c r="J128" s="8" t="inlineStr">
        <is>
          <t>[HARD] Required, ∈ {1, 2}</t>
        </is>
      </c>
    </row>
    <row r="129">
      <c r="A129" s="9" t="inlineStr">
        <is>
          <t>q54_pcp_type</t>
        </is>
      </c>
      <c r="B129" s="10" t="inlineStr">
        <is>
          <t>54. Who is your main primary care provider?</t>
        </is>
      </c>
      <c r="C129" s="10" t="inlineStr">
        <is>
          <t>54. Who is your main primary care provider?</t>
        </is>
      </c>
      <c r="D129" s="10" t="inlineStr">
        <is>
          <t>not asked when Q53 HAS_PCP = No</t>
        </is>
      </c>
      <c r="E129" s="10" t="inlineStr"/>
      <c r="F129" s="10" t="inlineStr">
        <is>
          <t>E. Primary Care Utilization</t>
        </is>
      </c>
      <c r="G129" s="10" t="inlineStr">
        <is>
          <t>numeric 1</t>
        </is>
      </c>
      <c r="H129" s="10" t="inlineStr">
        <is>
          <t>1 = General practitioner (a doctor who is qualified for medical practice)
2 = Specialty Care Provider/ Specialist (a doctor with more expertise in specific areas of health)
3 = Both
4 = Other (specify)
5 = None</t>
        </is>
      </c>
      <c r="I129" s="10" t="inlineStr"/>
      <c r="J129" s="10" t="inlineStr">
        <is>
          <t>[HARD] Required when enabled, ∈ {1–5}</t>
        </is>
      </c>
    </row>
    <row r="130">
      <c r="A130" s="7" t="inlineStr">
        <is>
          <t>q54_pcp_type_other_txt</t>
        </is>
      </c>
      <c r="B130" s="8" t="inlineStr">
        <is>
          <t>54. Primary care provider — Other (specify) text</t>
        </is>
      </c>
      <c r="C130" s="8" t="inlineStr">
        <is>
          <t>54. Primary care provider — Other (specify) text</t>
        </is>
      </c>
      <c r="D130" s="8" t="inlineStr">
        <is>
          <t>not asked when Q53 HAS_PCP = No</t>
        </is>
      </c>
      <c r="E130" s="8" t="inlineStr"/>
      <c r="F130" s="8" t="inlineStr">
        <is>
          <t>E. Primary Care Utilization</t>
        </is>
      </c>
      <c r="G130" s="8" t="inlineStr">
        <is>
          <t>alpha 120</t>
        </is>
      </c>
      <c r="H130" s="8" t="inlineStr"/>
      <c r="I130" s="8" t="inlineStr"/>
      <c r="J130" s="8" t="inlineStr"/>
    </row>
    <row r="131">
      <c r="A131" s="9" t="inlineStr">
        <is>
          <t>q55_loc_convenient</t>
        </is>
      </c>
      <c r="B131" s="10" t="inlineStr">
        <is>
          <t>55. Is the location of your main primary care provider convenient for you?</t>
        </is>
      </c>
      <c r="C131" s="10" t="inlineStr">
        <is>
          <t>55. Is the location of your main primary care provider convenient for you?</t>
        </is>
      </c>
      <c r="D131" s="10" t="inlineStr"/>
      <c r="E131" s="10" t="inlineStr"/>
      <c r="F131" s="10" t="inlineStr">
        <is>
          <t>E. Primary Care Utilization</t>
        </is>
      </c>
      <c r="G131" s="10" t="inlineStr">
        <is>
          <t>numeric 1</t>
        </is>
      </c>
      <c r="H131" s="10" t="inlineStr">
        <is>
          <t>1 = Yes
2 = No</t>
        </is>
      </c>
      <c r="I131" s="10" t="inlineStr"/>
      <c r="J131" s="10" t="inlineStr">
        <is>
          <t>[HARD] Required when enabled, ∈ {1, 2}</t>
        </is>
      </c>
    </row>
    <row r="132">
      <c r="A132" s="7" t="inlineStr">
        <is>
          <t>q56_hours_convenient</t>
        </is>
      </c>
      <c r="B132" s="8" t="inlineStr">
        <is>
          <t>56. Is your main primary care provider's clinic hours (time that your provider/s is/are open for medical appointments) convenient for you?</t>
        </is>
      </c>
      <c r="C132" s="8" t="inlineStr">
        <is>
          <t>56. Is your main primary care provider's clinic hours (time that your provider/s is/are open for medical appointments) convenient for you?</t>
        </is>
      </c>
      <c r="D132" s="8" t="inlineStr"/>
      <c r="E132" s="8" t="inlineStr"/>
      <c r="F132" s="8" t="inlineStr">
        <is>
          <t>E. Primary Care Utilization</t>
        </is>
      </c>
      <c r="G132" s="8" t="inlineStr">
        <is>
          <t>numeric 1</t>
        </is>
      </c>
      <c r="H132" s="8" t="inlineStr">
        <is>
          <t>1 = Yes
2 = No</t>
        </is>
      </c>
      <c r="I132" s="8" t="inlineStr"/>
      <c r="J132" s="8" t="inlineStr">
        <is>
          <t>[HARD] Required when enabled, ∈ {1, 2}</t>
        </is>
      </c>
    </row>
    <row r="133">
      <c r="A133" s="9" t="inlineStr">
        <is>
          <t>q57_wait_convenient</t>
        </is>
      </c>
      <c r="B133" s="10" t="inlineStr">
        <is>
          <t>57. Is the usual wait for setting an appointment with your main primary care provider convenient for you?</t>
        </is>
      </c>
      <c r="C133" s="10" t="inlineStr">
        <is>
          <t>57. Is the usual wait for setting an appointment with your main primary care provider convenient for you?</t>
        </is>
      </c>
      <c r="D133" s="10" t="inlineStr"/>
      <c r="E133" s="10" t="inlineStr"/>
      <c r="F133" s="10" t="inlineStr">
        <is>
          <t>E. Primary Care Utilization</t>
        </is>
      </c>
      <c r="G133" s="10" t="inlineStr">
        <is>
          <t>numeric 1</t>
        </is>
      </c>
      <c r="H133" s="10" t="inlineStr">
        <is>
          <t>1 = Yes
2 = No</t>
        </is>
      </c>
      <c r="I133" s="10" t="inlineStr"/>
      <c r="J133" s="10" t="inlineStr">
        <is>
          <t>[HARD] Required when enabled, ∈ {1, 2}</t>
        </is>
      </c>
    </row>
    <row r="134">
      <c r="A134" s="7" t="inlineStr">
        <is>
          <t>q58_wait_days</t>
        </is>
      </c>
      <c r="B134" s="8" t="inlineStr">
        <is>
          <t>58. What is your waiting time, in days and/or minutes to set an appointment with your main primary care provider (this facility)? — Days</t>
        </is>
      </c>
      <c r="C134" s="8" t="inlineStr">
        <is>
          <t>58. What is your waiting time, in days and/or minutes to set an appointment with your main primary care provider (~~FACILITY_NAME~~)? — Days</t>
        </is>
      </c>
      <c r="D134" s="8" t="inlineStr"/>
      <c r="E134" s="8" t="inlineStr"/>
      <c r="F134" s="8" t="inlineStr">
        <is>
          <t>E. Primary Care Utilization</t>
        </is>
      </c>
      <c r="G134" s="8" t="inlineStr">
        <is>
          <t>numeric 3</t>
        </is>
      </c>
      <c r="H134" s="8" t="inlineStr"/>
      <c r="I134" s="8" t="inlineStr"/>
      <c r="J134" s="8" t="inlineStr">
        <is>
          <t>[HARD] `0 ≤ days ≤ 365`</t>
        </is>
      </c>
    </row>
    <row r="135">
      <c r="A135" s="9" t="inlineStr">
        <is>
          <t>q58_wait_minutes</t>
        </is>
      </c>
      <c r="B135" s="10" t="inlineStr">
        <is>
          <t>58. What is your waiting time, in days and/or minutes to set an appointment with your main primary care provider (this facility)? — Minutes</t>
        </is>
      </c>
      <c r="C135" s="10" t="inlineStr">
        <is>
          <t>58. What is your waiting time, in days and/or minutes to set an appointment with your main primary care provider (~~FACILITY_NAME~~)? — Minutes</t>
        </is>
      </c>
      <c r="D135" s="10" t="inlineStr"/>
      <c r="E135" s="10" t="inlineStr"/>
      <c r="F135" s="10" t="inlineStr">
        <is>
          <t>E. Primary Care Utilization</t>
        </is>
      </c>
      <c r="G135" s="10" t="inlineStr">
        <is>
          <t>numeric 4</t>
        </is>
      </c>
      <c r="H135" s="10" t="inlineStr"/>
      <c r="I135" s="10" t="inlineStr"/>
      <c r="J135" s="10" t="inlineStr">
        <is>
          <t>[HARD] `0 ≤ minutes ≤ 1440` (24 h cap)</t>
        </is>
      </c>
    </row>
    <row r="136">
      <c r="A136" s="7" t="inlineStr">
        <is>
          <t>q59_sched_comm</t>
        </is>
      </c>
      <c r="B136" s="8" t="inlineStr">
        <is>
          <t>59. What mode/s of communication was/were available to you when scheduling a consultation with your main primary care provider?</t>
        </is>
      </c>
      <c r="C136" s="8" t="inlineStr">
        <is>
          <t>59. What mode/s of communication was/were available to you when scheduling a consultation with your main primary care provider?</t>
        </is>
      </c>
      <c r="D136" s="8" t="inlineStr"/>
      <c r="E136" s="8" t="inlineStr">
        <is>
          <t>"Teleconsultation" (2) NOT ticked → Q60 disabled (teleconsult-success gate)</t>
        </is>
      </c>
      <c r="F136" s="8" t="inlineStr">
        <is>
          <t>E. Primary Care Utilization</t>
        </is>
      </c>
      <c r="G136" s="8" t="inlineStr">
        <is>
          <t>alpha 8</t>
        </is>
      </c>
      <c r="H136" s="8" t="inlineStr">
        <is>
          <t>01 = Face-to-face
02 = Teleconsultation: Cellphone
03 = Teleconsultation: Landline
04 = Teleconsultation: Video Conference</t>
        </is>
      </c>
      <c r="I136" s="8" t="inlineStr"/>
      <c r="J136" s="8" t="inlineStr">
        <is>
          <t>[HARD] ≥ 1 option ticked when enabled</t>
        </is>
      </c>
    </row>
    <row r="137">
      <c r="A137" s="9" t="inlineStr">
        <is>
          <t>q60_sched_telecon_ok</t>
        </is>
      </c>
      <c r="B137" s="10" t="inlineStr">
        <is>
          <t>60. If teleconsultation was available, did you succeed in using the teleconsult? (scheduling)</t>
        </is>
      </c>
      <c r="C137" s="10" t="inlineStr">
        <is>
          <t>60. If teleconsultation was available, did you succeed in using the teleconsult? (scheduling)</t>
        </is>
      </c>
      <c r="D137" s="10" t="inlineStr"/>
      <c r="E137" s="10" t="inlineStr"/>
      <c r="F137" s="10" t="inlineStr">
        <is>
          <t>E. Primary Care Utilization</t>
        </is>
      </c>
      <c r="G137" s="10" t="inlineStr">
        <is>
          <t>numeric 1</t>
        </is>
      </c>
      <c r="H137" s="10" t="inlineStr">
        <is>
          <t>1 = Yes
2 = No</t>
        </is>
      </c>
      <c r="I137" s="10" t="inlineStr"/>
      <c r="J137" s="10" t="inlineStr">
        <is>
          <t>[HARD] Required when enabled, ∈ {1, 2}</t>
        </is>
      </c>
    </row>
    <row r="138">
      <c r="A138" s="7" t="inlineStr">
        <is>
          <t>q61_consult_comm</t>
        </is>
      </c>
      <c r="B138" s="8" t="inlineStr">
        <is>
          <t>61. What mode/s of communication was/were available to you when consulting with your main primary care provider?</t>
        </is>
      </c>
      <c r="C138" s="8" t="inlineStr">
        <is>
          <t>61. What mode/s of communication was/were available to you when consulting with your main primary care provider?</t>
        </is>
      </c>
      <c r="D138" s="8" t="inlineStr"/>
      <c r="E138" s="8" t="inlineStr">
        <is>
          <t>"Teleconsultation" (2) NOT ticked → Q62 disabled (teleconsult-success gate)</t>
        </is>
      </c>
      <c r="F138" s="8" t="inlineStr">
        <is>
          <t>E. Primary Care Utilization</t>
        </is>
      </c>
      <c r="G138" s="8" t="inlineStr">
        <is>
          <t>alpha 8</t>
        </is>
      </c>
      <c r="H138" s="8" t="inlineStr">
        <is>
          <t>01 = Face-to-face
02 = Teleconsultation: Cellphone
03 = Teleconsultation: Landline
04 = Teleconsultation: Video Conference</t>
        </is>
      </c>
      <c r="I138" s="8" t="inlineStr"/>
      <c r="J138" s="8" t="inlineStr">
        <is>
          <t>[HARD] ≥ 1 option ticked when enabled</t>
        </is>
      </c>
    </row>
    <row r="139">
      <c r="A139" s="9" t="inlineStr">
        <is>
          <t>q62_consult_telecon_ok</t>
        </is>
      </c>
      <c r="B139" s="10" t="inlineStr">
        <is>
          <t>62. If teleconsultation was available, did you succeed in using the teleconsult? (consultation)</t>
        </is>
      </c>
      <c r="C139" s="10" t="inlineStr">
        <is>
          <t>62. If teleconsultation was available, did you succeed in using the teleconsult? (consultation)</t>
        </is>
      </c>
      <c r="D139" s="10" t="inlineStr">
        <is>
          <t>not asked when Q53 HAS_PCP = No</t>
        </is>
      </c>
      <c r="E139" s="10" t="inlineStr"/>
      <c r="F139" s="10" t="inlineStr">
        <is>
          <t>E. Primary Care Utilization</t>
        </is>
      </c>
      <c r="G139" s="10" t="inlineStr">
        <is>
          <t>numeric 1</t>
        </is>
      </c>
      <c r="H139" s="10" t="inlineStr">
        <is>
          <t>1 = Yes
2 = No</t>
        </is>
      </c>
      <c r="I139" s="10" t="inlineStr"/>
      <c r="J139" s="10" t="inlineStr">
        <is>
          <t>[HARD] Required when enabled, ∈ {1, 2}</t>
        </is>
      </c>
    </row>
    <row r="140">
      <c r="A140" s="7" t="inlineStr">
        <is>
          <t>q63_has_usual_facility</t>
        </is>
      </c>
      <c r="B140" s="8" t="inlineStr">
        <is>
          <t>63. In the past 12 months, do you have a clinic, or health center that you usually go to?</t>
        </is>
      </c>
      <c r="C140" s="8" t="inlineStr">
        <is>
          <t>63. In the past 12 months, do you have a clinic, or health center that you usually go to?</t>
        </is>
      </c>
      <c r="D140" s="8" t="inlineStr"/>
      <c r="E140" s="8">
        <f> No → Q65 (skip Q64 — no usual facility → no name to record)
= Yes → Q66 (skip Q65 — usual facility present → no reason-for-none question)</f>
        <v/>
      </c>
      <c r="F140" s="8" t="inlineStr">
        <is>
          <t>E. Primary Care Utilization</t>
        </is>
      </c>
      <c r="G140" s="8" t="inlineStr">
        <is>
          <t>numeric 1</t>
        </is>
      </c>
      <c r="H140" s="8" t="inlineStr">
        <is>
          <t>1 = Yes
2 = No</t>
        </is>
      </c>
      <c r="I140" s="8" t="inlineStr"/>
      <c r="J140" s="8" t="inlineStr">
        <is>
          <t>[HARD] Required, ∈ {1, 2}</t>
        </is>
      </c>
    </row>
    <row r="141">
      <c r="A141" s="9" t="inlineStr">
        <is>
          <t>q64_facility_name</t>
        </is>
      </c>
      <c r="B141" s="10" t="inlineStr">
        <is>
          <t>64. What is the name of the facility?</t>
        </is>
      </c>
      <c r="C141" s="10" t="inlineStr">
        <is>
          <t>64. What is the name of the facility? PROVIDE FULL NAME OF THE FACILITY, DO NOT ABBREVIATE.</t>
        </is>
      </c>
      <c r="D141" s="10" t="inlineStr">
        <is>
          <t>not asked when Q63 HAS_USUAL_FACILITY = No</t>
        </is>
      </c>
      <c r="E141" s="10" t="inlineStr"/>
      <c r="F141" s="10" t="inlineStr">
        <is>
          <t>E. Primary Care Utilization</t>
        </is>
      </c>
      <c r="G141" s="10" t="inlineStr">
        <is>
          <t>alpha 120</t>
        </is>
      </c>
      <c r="H141" s="10" t="inlineStr"/>
      <c r="I141" s="10" t="inlineStr"/>
      <c r="J141" s="10" t="inlineStr">
        <is>
          <t>[HARD] Required when enabled, non-blank</t>
        </is>
      </c>
    </row>
    <row r="142">
      <c r="A142" s="7" t="inlineStr">
        <is>
          <t>q65_why_no_usual</t>
        </is>
      </c>
      <c r="B142" s="8" t="inlineStr">
        <is>
          <t>65. If none, why do you not have a usual clinic, or health center that you usually go to?</t>
        </is>
      </c>
      <c r="C142" s="8" t="inlineStr">
        <is>
          <t>65. If none, why do you not have a usual clinic, or health center that you usually go to? DO NOT READ OPTIONS OUT LOUD. SELECT ALL THAT APPLY.</t>
        </is>
      </c>
      <c r="D142" s="8" t="inlineStr">
        <is>
          <t>not asked when Q63 HAS_USUAL_FACILITY = Yes</t>
        </is>
      </c>
      <c r="E142" s="8" t="inlineStr"/>
      <c r="F142" s="8" t="inlineStr">
        <is>
          <t>E. Primary Care Utilization</t>
        </is>
      </c>
      <c r="G142" s="8" t="inlineStr">
        <is>
          <t>alpha 14</t>
        </is>
      </c>
      <c r="H142" s="8" t="inlineStr">
        <is>
          <t>01 = I don't get sick
02 = I recently moved into the area
03 = It's expensive
04 = I can treat myself
99 = Other (Specify)</t>
        </is>
      </c>
      <c r="I142" s="8" t="inlineStr">
        <is>
          <t>05 = I don't know where to go for care
90 = I don't know</t>
        </is>
      </c>
      <c r="J142" s="8" t="inlineStr">
        <is>
          <t>[HARD] ≥ 1 option ticked when enabled
[HARD] Cannot be combined with any other option</t>
        </is>
      </c>
    </row>
    <row r="143">
      <c r="A143" s="9" t="inlineStr">
        <is>
          <t>q65_why_no_usual_other_txt</t>
        </is>
      </c>
      <c r="B143" s="10" t="inlineStr">
        <is>
          <t>65. If none, why do you not have a usual clinic, or health center that you usually go to? — Other (specify) text</t>
        </is>
      </c>
      <c r="C143" s="10" t="inlineStr">
        <is>
          <t>65. If none, why do you not have a usual clinic, or health center that you usually go to? — Other (specify) text</t>
        </is>
      </c>
      <c r="D143" s="10" t="inlineStr">
        <is>
          <t>not asked when Q63 HAS_USUAL_FACILITY = Yes</t>
        </is>
      </c>
      <c r="E143" s="10" t="inlineStr"/>
      <c r="F143" s="10" t="inlineStr">
        <is>
          <t>E. Primary Care Utilization</t>
        </is>
      </c>
      <c r="G143" s="10" t="inlineStr">
        <is>
          <t>alpha 120</t>
        </is>
      </c>
      <c r="H143" s="10" t="inlineStr"/>
      <c r="I143" s="10" t="inlineStr"/>
      <c r="J143" s="10" t="inlineStr"/>
    </row>
    <row r="144">
      <c r="A144" s="7" t="inlineStr">
        <is>
          <t>q66_same_as_usual</t>
        </is>
      </c>
      <c r="B144" s="8" t="inlineStr">
        <is>
          <t>66. Is this the facility you usually go to for general health concerns?</t>
        </is>
      </c>
      <c r="C144" s="8" t="inlineStr">
        <is>
          <t>66. Is ~~FACILITY_NAME~~ the facility you usually go to for general health concerns?</t>
        </is>
      </c>
      <c r="D144" s="8" t="inlineStr"/>
      <c r="E144" s="8">
        <f> Yes → Q68 (skip Q67 — this IS the usual facility, so no why-different reason)</f>
        <v/>
      </c>
      <c r="F144" s="8" t="inlineStr">
        <is>
          <t>E. Primary Care Utilization</t>
        </is>
      </c>
      <c r="G144" s="8" t="inlineStr">
        <is>
          <t>numeric 1</t>
        </is>
      </c>
      <c r="H144" s="8" t="inlineStr">
        <is>
          <t>1 = Yes
2 = No</t>
        </is>
      </c>
      <c r="I144" s="8" t="inlineStr"/>
      <c r="J144" s="8" t="inlineStr">
        <is>
          <t>[HARD] Required when enabled, ∈ {1, 2}</t>
        </is>
      </c>
    </row>
    <row r="145">
      <c r="A145" s="9" t="inlineStr">
        <is>
          <t>q67_why_this_facility</t>
        </is>
      </c>
      <c r="B145" s="10" t="inlineStr">
        <is>
          <t>67. Why did you go to this facility instead of your usual facility?</t>
        </is>
      </c>
      <c r="C145" s="10" t="inlineStr">
        <is>
          <t>67. Why did you go to this facility instead of your usual facility? DO NOT READ OPTIONS OUT LOUD. SELECT ALL THAT APPLY.</t>
        </is>
      </c>
      <c r="D145" s="10" t="inlineStr">
        <is>
          <t>not asked when Q66 SAME_AS_USUAL = Yes</t>
        </is>
      </c>
      <c r="E145" s="10" t="inlineStr"/>
      <c r="F145" s="10" t="inlineStr">
        <is>
          <t>E. Primary Care Utilization</t>
        </is>
      </c>
      <c r="G145" s="10" t="inlineStr">
        <is>
          <t>alpha 16</t>
        </is>
      </c>
      <c r="H145" s="10" t="inlineStr">
        <is>
          <t>01 = This facility is more accessible than my usual facility (i.e., nearer, has more transportation options to get to, and cheaper to travel to)
02 = Needed a service/specialist not available at my usual facility
03 = Recommended by friends/family
04 = Wanted to try another facility than my usual
05 = Prefer this facility than my usual
06 = This was referred to me by my usual facility
07 = Usual facility is closed for today
99 = Other (Specify)</t>
        </is>
      </c>
      <c r="I145" s="10" t="inlineStr"/>
      <c r="J145" s="10" t="inlineStr">
        <is>
          <t>[HARD] ≥ 1 option ticked when enabled</t>
        </is>
      </c>
    </row>
    <row r="146">
      <c r="A146" s="7" t="inlineStr">
        <is>
          <t>q67_why_this_facility_other_txt</t>
        </is>
      </c>
      <c r="B146" s="8" t="inlineStr">
        <is>
          <t>67. Why did you go to this facility instead of your usual facility? — Other (specify) text</t>
        </is>
      </c>
      <c r="C146" s="8" t="inlineStr">
        <is>
          <t>67. Why did you go to this facility instead of your usual facility? — Other (specify) text</t>
        </is>
      </c>
      <c r="D146" s="8" t="inlineStr">
        <is>
          <t>not asked when Q66 SAME_AS_USUAL = Yes</t>
        </is>
      </c>
      <c r="E146" s="8" t="inlineStr"/>
      <c r="F146" s="8" t="inlineStr">
        <is>
          <t>E. Primary Care Utilization</t>
        </is>
      </c>
      <c r="G146" s="8" t="inlineStr">
        <is>
          <t>alpha 120</t>
        </is>
      </c>
      <c r="H146" s="8" t="inlineStr"/>
      <c r="I146" s="8" t="inlineStr"/>
      <c r="J146" s="8" t="inlineStr"/>
    </row>
    <row r="147">
      <c r="A147" s="9" t="inlineStr">
        <is>
          <t>q68_usual_fac_type</t>
        </is>
      </c>
      <c r="B147" s="10" t="inlineStr">
        <is>
          <t>68. What is the type of health facility that you usually go to?</t>
        </is>
      </c>
      <c r="C147" s="10" t="inlineStr">
        <is>
          <t>68. What is the type of health facility that you usually go to?</t>
        </is>
      </c>
      <c r="D147" s="10" t="inlineStr"/>
      <c r="E147" s="10" t="inlineStr"/>
      <c r="F147" s="10" t="inlineStr">
        <is>
          <t>E. Primary Care Utilization</t>
        </is>
      </c>
      <c r="G147" s="10" t="inlineStr">
        <is>
          <t>numeric 1</t>
        </is>
      </c>
      <c r="H147" s="10" t="inlineStr">
        <is>
          <t>1 = YAKAP/Konsulta or primary care provider
2 = Barangay Health Center/ Barangay Health Station
3 = Rural Health Unit / Urban Health Center
4 = Public Hospital
5 = Private Hospital
6 = Private Clinic
7 = Traditional Healer or Manghihilot/ Albularyo
9 = Other (specify)</t>
        </is>
      </c>
      <c r="I147" s="10" t="inlineStr">
        <is>
          <t>8 = I don't know</t>
        </is>
      </c>
      <c r="J147" s="10" t="inlineStr">
        <is>
          <t>[HARD] Required when enabled, ∈ {1–9}</t>
        </is>
      </c>
    </row>
    <row r="148">
      <c r="A148" s="7" t="inlineStr">
        <is>
          <t>q68_usual_fac_type_other_txt</t>
        </is>
      </c>
      <c r="B148" s="8" t="inlineStr">
        <is>
          <t>68. Usual facility type — Other (specify) text</t>
        </is>
      </c>
      <c r="C148" s="8" t="inlineStr">
        <is>
          <t>68. Usual facility type — Other (specify) text</t>
        </is>
      </c>
      <c r="D148" s="8" t="inlineStr"/>
      <c r="E148" s="8" t="inlineStr"/>
      <c r="F148" s="8" t="inlineStr">
        <is>
          <t>E. Primary Care Utilization</t>
        </is>
      </c>
      <c r="G148" s="8" t="inlineStr">
        <is>
          <t>alpha 120</t>
        </is>
      </c>
      <c r="H148" s="8" t="inlineStr"/>
      <c r="I148" s="8" t="inlineStr"/>
      <c r="J148" s="8" t="inlineStr"/>
    </row>
    <row r="149">
      <c r="A149" s="9" t="inlineStr">
        <is>
          <t>q69_usual_travel_hh</t>
        </is>
      </c>
      <c r="B149" s="10" t="inlineStr">
        <is>
          <t>69. How long does it take you to travel to the health facility you usually go to — Hours</t>
        </is>
      </c>
      <c r="C149" s="10" t="inlineStr">
        <is>
          <t>69. How long does it take you to travel to the health facility you usually go to — Hours</t>
        </is>
      </c>
      <c r="D149" s="10" t="inlineStr"/>
      <c r="E149" s="10" t="inlineStr"/>
      <c r="F149" s="10" t="inlineStr">
        <is>
          <t>E. Primary Care Utilization</t>
        </is>
      </c>
      <c r="G149" s="10" t="inlineStr">
        <is>
          <t>numeric 2</t>
        </is>
      </c>
      <c r="H149" s="10" t="inlineStr"/>
      <c r="I149" s="10" t="inlineStr"/>
      <c r="J149" s="10" t="inlineStr">
        <is>
          <t>[HARD] `0 ≤ HH ≤ 24`</t>
        </is>
      </c>
    </row>
    <row r="150">
      <c r="A150" s="7" t="inlineStr">
        <is>
          <t>q69_usual_travel_mm</t>
        </is>
      </c>
      <c r="B150" s="8" t="inlineStr">
        <is>
          <t>69. How long does it take you to travel to the health facility you usually go to — Minutes</t>
        </is>
      </c>
      <c r="C150" s="8" t="inlineStr">
        <is>
          <t>69. How long does it take you to travel to the health facility you usually go to — Minutes</t>
        </is>
      </c>
      <c r="D150" s="8" t="inlineStr"/>
      <c r="E150" s="8" t="inlineStr"/>
      <c r="F150" s="8" t="inlineStr">
        <is>
          <t>E. Primary Care Utilization</t>
        </is>
      </c>
      <c r="G150" s="8" t="inlineStr">
        <is>
          <t>numeric 2</t>
        </is>
      </c>
      <c r="H150" s="8" t="inlineStr"/>
      <c r="I150" s="8" t="inlineStr"/>
      <c r="J150" s="8" t="inlineStr">
        <is>
          <t>[HARD] `0 ≤ MM ≤ 59`</t>
        </is>
      </c>
    </row>
    <row r="151">
      <c r="A151" s="9" t="inlineStr">
        <is>
          <t>q70_usual_transport</t>
        </is>
      </c>
      <c r="B151" s="10" t="inlineStr">
        <is>
          <t>70. What mode/s of transportation do you use when travelling to the health facility that you usually go to?</t>
        </is>
      </c>
      <c r="C151" s="10" t="inlineStr">
        <is>
          <t>70. What mode/s of transportation do you use when travelling to the health facility that you usually go to?</t>
        </is>
      </c>
      <c r="D151" s="10" t="inlineStr"/>
      <c r="E151" s="10" t="inlineStr"/>
      <c r="F151" s="10" t="inlineStr">
        <is>
          <t>E. Primary Care Utilization</t>
        </is>
      </c>
      <c r="G151" s="10" t="inlineStr">
        <is>
          <t>alpha 24</t>
        </is>
      </c>
      <c r="H151" s="10" t="inlineStr">
        <is>
          <t>01 = Walk
02 = Bike
03 = Public Bus
04 = Jeepney
05 = Tricycle
06 = Car (including private taxi/cab)
07 = Motorcycle
08 = Boat
09 = Taxi
10 = Pedicab
11 = E-bike
99 = Other (Specify)</t>
        </is>
      </c>
      <c r="I151" s="10" t="inlineStr"/>
      <c r="J151" s="10" t="inlineStr">
        <is>
          <t>[HARD] ≥ 1 option ticked when enabled</t>
        </is>
      </c>
    </row>
    <row r="152">
      <c r="A152" s="7" t="inlineStr">
        <is>
          <t>q70_usual_transport_other_txt</t>
        </is>
      </c>
      <c r="B152" s="8" t="inlineStr">
        <is>
          <t>70. What mode/s of transportation do you use when travelling to the health facility that you usually go to? — Other (specify) text</t>
        </is>
      </c>
      <c r="C152" s="8" t="inlineStr">
        <is>
          <t>70. What mode/s of transportation do you use when travelling to the health facility that you usually go to? — Other (specify) text</t>
        </is>
      </c>
      <c r="D152" s="8" t="inlineStr"/>
      <c r="E152" s="8" t="inlineStr"/>
      <c r="F152" s="8" t="inlineStr">
        <is>
          <t>E. Primary Care Utilization</t>
        </is>
      </c>
      <c r="G152" s="8" t="inlineStr">
        <is>
          <t>alpha 120</t>
        </is>
      </c>
      <c r="H152" s="8" t="inlineStr"/>
      <c r="I152" s="8" t="inlineStr"/>
      <c r="J152" s="8" t="inlineStr"/>
    </row>
    <row r="153">
      <c r="A153" s="9" t="inlineStr">
        <is>
          <t>q71_nearest_type</t>
        </is>
      </c>
      <c r="B153" s="10" t="inlineStr">
        <is>
          <t>71. What is the type of the primary care facility nearest to your house?</t>
        </is>
      </c>
      <c r="C153" s="10" t="inlineStr">
        <is>
          <t>71. What is the type of the primary care facility nearest to your house? An institution that primarily delivers primary care services or the initial-contact facility for coordinated care (e.g., RHU, health center, general practitioner clinic).</t>
        </is>
      </c>
      <c r="D153" s="10" t="inlineStr"/>
      <c r="E153" s="10" t="inlineStr"/>
      <c r="F153" s="10" t="inlineStr">
        <is>
          <t>E. Primary Care Utilization</t>
        </is>
      </c>
      <c r="G153" s="10" t="inlineStr">
        <is>
          <t>numeric 1</t>
        </is>
      </c>
      <c r="H153" s="10" t="inlineStr">
        <is>
          <t>1 = Barangay Health Center/ Barangay Health Station
2 = Rural Health Unit / Urban Health Center
3 = Public Hospital
4 = Private Hospital
5 = Private Clinic
6 = Traditional Healer or Manghihilot/ Albularyo
8 = Other (specify)</t>
        </is>
      </c>
      <c r="I153" s="10" t="inlineStr">
        <is>
          <t>7 = I don't know</t>
        </is>
      </c>
      <c r="J153" s="10" t="inlineStr">
        <is>
          <t>[HARD] Required, ∈ {1–8}</t>
        </is>
      </c>
    </row>
    <row r="154">
      <c r="A154" s="7" t="inlineStr">
        <is>
          <t>q71_nearest_type_other_txt</t>
        </is>
      </c>
      <c r="B154" s="8" t="inlineStr">
        <is>
          <t>71. Nearest primary care facility type — Other (specify) text</t>
        </is>
      </c>
      <c r="C154" s="8" t="inlineStr">
        <is>
          <t>71. Nearest primary care facility type — Other (specify) text</t>
        </is>
      </c>
      <c r="D154" s="8" t="inlineStr"/>
      <c r="E154" s="8" t="inlineStr"/>
      <c r="F154" s="8" t="inlineStr">
        <is>
          <t>E. Primary Care Utilization</t>
        </is>
      </c>
      <c r="G154" s="8" t="inlineStr">
        <is>
          <t>alpha 120</t>
        </is>
      </c>
      <c r="H154" s="8" t="inlineStr"/>
      <c r="I154" s="8" t="inlineStr"/>
      <c r="J154" s="8" t="inlineStr"/>
    </row>
    <row r="155">
      <c r="A155" s="9" t="inlineStr">
        <is>
          <t>q72_nearest_travel_hh</t>
        </is>
      </c>
      <c r="B155" s="10" t="inlineStr">
        <is>
          <t>72. How long does it take you to travel from your house when going to the nearest primary care facility? — Hours</t>
        </is>
      </c>
      <c r="C155" s="10" t="inlineStr">
        <is>
          <t>72. How long does it take you to travel from your house when going to the nearest primary care facility? — Hours</t>
        </is>
      </c>
      <c r="D155" s="10" t="inlineStr"/>
      <c r="E155" s="10" t="inlineStr"/>
      <c r="F155" s="10" t="inlineStr">
        <is>
          <t>E. Primary Care Utilization</t>
        </is>
      </c>
      <c r="G155" s="10" t="inlineStr">
        <is>
          <t>numeric 2</t>
        </is>
      </c>
      <c r="H155" s="10" t="inlineStr"/>
      <c r="I155" s="10" t="inlineStr"/>
      <c r="J155" s="10" t="inlineStr">
        <is>
          <t>[HARD] `0 ≤ HH ≤ 24`</t>
        </is>
      </c>
    </row>
    <row r="156">
      <c r="A156" s="7" t="inlineStr">
        <is>
          <t>q72_nearest_travel_mm</t>
        </is>
      </c>
      <c r="B156" s="8" t="inlineStr">
        <is>
          <t>72. How long does it take you to travel from your house when going to the nearest primary care facility? — Minutes</t>
        </is>
      </c>
      <c r="C156" s="8" t="inlineStr">
        <is>
          <t>72. How long does it take you to travel from your house when going to the nearest primary care facility? — Minutes</t>
        </is>
      </c>
      <c r="D156" s="8" t="inlineStr"/>
      <c r="E156" s="8" t="inlineStr"/>
      <c r="F156" s="8" t="inlineStr">
        <is>
          <t>E. Primary Care Utilization</t>
        </is>
      </c>
      <c r="G156" s="8" t="inlineStr">
        <is>
          <t>numeric 2</t>
        </is>
      </c>
      <c r="H156" s="8" t="inlineStr"/>
      <c r="I156" s="8" t="inlineStr"/>
      <c r="J156" s="8" t="inlineStr">
        <is>
          <t>[HARD] `0 ≤ MM ≤ 59`</t>
        </is>
      </c>
    </row>
    <row r="157">
      <c r="A157" s="9" t="inlineStr">
        <is>
          <t>q73_nearest_transport</t>
        </is>
      </c>
      <c r="B157" s="10" t="inlineStr">
        <is>
          <t>73. What mode/s of transportation do you use when travelling to the nearest primary care facility?</t>
        </is>
      </c>
      <c r="C157" s="10" t="inlineStr">
        <is>
          <t>73. What mode/s of transportation do you use when travelling to the nearest primary care facility?</t>
        </is>
      </c>
      <c r="D157" s="10" t="inlineStr"/>
      <c r="E157" s="10" t="inlineStr"/>
      <c r="F157" s="10" t="inlineStr">
        <is>
          <t>E. Primary Care Utilization</t>
        </is>
      </c>
      <c r="G157" s="10" t="inlineStr">
        <is>
          <t>alpha 24</t>
        </is>
      </c>
      <c r="H157" s="10" t="inlineStr">
        <is>
          <t>01 = Walk
02 = Bike
03 = Public Bus
04 = Jeepney
05 = Tricycle
06 = Car (including private taxi/cab)
07 = Motorcycle
08 = Boat
09 = Taxi
10 = Pedicab
11 = E-bike
99 = Other (Specify)</t>
        </is>
      </c>
      <c r="I157" s="10" t="inlineStr"/>
      <c r="J157" s="10" t="inlineStr">
        <is>
          <t>[HARD] ≥ 1 option ticked when enabled</t>
        </is>
      </c>
    </row>
    <row r="158">
      <c r="A158" s="7" t="inlineStr">
        <is>
          <t>q73_nearest_transport_other_txt</t>
        </is>
      </c>
      <c r="B158" s="8" t="inlineStr">
        <is>
          <t>73. What mode/s of transportation do you use when travelling to the nearest primary care facility? — Other (specify) text</t>
        </is>
      </c>
      <c r="C158" s="8" t="inlineStr">
        <is>
          <t>73. What mode/s of transportation do you use when travelling to the nearest primary care facility? — Other (specify) text</t>
        </is>
      </c>
      <c r="D158" s="8" t="inlineStr"/>
      <c r="E158" s="8" t="inlineStr"/>
      <c r="F158" s="8" t="inlineStr">
        <is>
          <t>E. Primary Care Utilization</t>
        </is>
      </c>
      <c r="G158" s="8" t="inlineStr">
        <is>
          <t>alpha 120</t>
        </is>
      </c>
      <c r="H158" s="8" t="inlineStr"/>
      <c r="I158" s="8" t="inlineStr"/>
      <c r="J158" s="8" t="inlineStr"/>
    </row>
    <row r="159">
      <c r="A159" s="9" t="inlineStr">
        <is>
          <t>q74_kon_heard</t>
        </is>
      </c>
      <c r="B159" s="10" t="inlineStr">
        <is>
          <t>74. Have you heard of the term "YAKAP/ Konsulta package"?</t>
        </is>
      </c>
      <c r="C159" s="10" t="inlineStr">
        <is>
          <t>We will now ask about the patient’s awareness of the YAKAP/Konsulta package. 74. Have you heard of the term "YAKAP/ Konsulta package"?</t>
        </is>
      </c>
      <c r="D159" s="10" t="inlineStr"/>
      <c r="E159" s="10">
        <f> No → Q83 (skip Q75–Q82 — never heard of YAKAP/Konsulta; all remaining E block out)</f>
        <v/>
      </c>
      <c r="F159" s="10" t="inlineStr">
        <is>
          <t>E. Primary Care Utilization</t>
        </is>
      </c>
      <c r="G159" s="10" t="inlineStr">
        <is>
          <t>numeric 1</t>
        </is>
      </c>
      <c r="H159" s="10" t="inlineStr">
        <is>
          <t>1 = Yes
2 = No</t>
        </is>
      </c>
      <c r="I159" s="10" t="inlineStr"/>
      <c r="J159" s="10" t="inlineStr">
        <is>
          <t>[HARD] Required, ∈ {1, 2}</t>
        </is>
      </c>
    </row>
    <row r="160">
      <c r="A160" s="7" t="inlineStr">
        <is>
          <t>q75_kon_source</t>
        </is>
      </c>
      <c r="B160" s="8" t="inlineStr">
        <is>
          <t>75. What are your sources of information about the YAKAP/Konsulta package?</t>
        </is>
      </c>
      <c r="C160" s="8" t="inlineStr">
        <is>
          <t>75. What are your sources of information about the YAKAP/Konsulta package?</t>
        </is>
      </c>
      <c r="D160" s="8" t="inlineStr">
        <is>
          <t>not asked when Q74 KON_HEARD = No</t>
        </is>
      </c>
      <c r="E160" s="8" t="inlineStr"/>
      <c r="F160" s="8" t="inlineStr">
        <is>
          <t>E. Primary Care Utilization</t>
        </is>
      </c>
      <c r="G160" s="8" t="inlineStr">
        <is>
          <t>alpha 16</t>
        </is>
      </c>
      <c r="H160" s="8" t="inlineStr">
        <is>
          <t>01 = News
02 = Legislation
03 = Social Media
04 = Friends / Family
05 = Health center/facility
06 = LGU/Barangay
99 = Other (Specify)</t>
        </is>
      </c>
      <c r="I160" s="8" t="inlineStr">
        <is>
          <t>90 = I don't know</t>
        </is>
      </c>
      <c r="J160" s="8" t="inlineStr">
        <is>
          <t>[HARD] ≥ 1 option ticked when enabled
[HARD] Cannot be combined with any other option</t>
        </is>
      </c>
    </row>
    <row r="161">
      <c r="A161" s="9" t="inlineStr">
        <is>
          <t>q75_kon_source_other_txt</t>
        </is>
      </c>
      <c r="B161" s="10" t="inlineStr">
        <is>
          <t>75. What are your sources of information about the YAKAP/Konsulta package? — Other (specify) text</t>
        </is>
      </c>
      <c r="C161" s="10" t="inlineStr">
        <is>
          <t>75. What are your sources of information about the YAKAP/Konsulta package? — Other (specify) text</t>
        </is>
      </c>
      <c r="D161" s="10" t="inlineStr">
        <is>
          <t>not asked when Q74 KON_HEARD = No</t>
        </is>
      </c>
      <c r="E161" s="10" t="inlineStr"/>
      <c r="F161" s="10" t="inlineStr">
        <is>
          <t>E. Primary Care Utilization</t>
        </is>
      </c>
      <c r="G161" s="10" t="inlineStr">
        <is>
          <t>alpha 120</t>
        </is>
      </c>
      <c r="H161" s="10" t="inlineStr"/>
      <c r="I161" s="10" t="inlineStr"/>
      <c r="J161" s="10" t="inlineStr"/>
    </row>
    <row r="162">
      <c r="A162" s="7" t="inlineStr">
        <is>
          <t>q76_kon_understand</t>
        </is>
      </c>
      <c r="B162" s="8" t="inlineStr">
        <is>
          <t>76. What is your understanding about the YAKAP/Konsulta package?</t>
        </is>
      </c>
      <c r="C162" s="8" t="inlineStr">
        <is>
          <t>76. What is your understanding about the YAKAP/Konsulta package? DO NOT READ OPTIONS OUT LOUD. SELECT ALL THAT APPLY.</t>
        </is>
      </c>
      <c r="D162" s="8" t="inlineStr"/>
      <c r="E162" s="8" t="inlineStr"/>
      <c r="F162" s="8" t="inlineStr">
        <is>
          <t>E. Primary Care Utilization</t>
        </is>
      </c>
      <c r="G162" s="8" t="inlineStr">
        <is>
          <t>alpha 14</t>
        </is>
      </c>
      <c r="H162" s="8" t="inlineStr">
        <is>
          <t>01 = Free primary care consultation (with a registered YAKAP/Konsulta provider)
02 = Free health risk screening and assessment (with a registered YAKAP/Konsulta provider)
03 = Free selected laboratory / diagnostics examination
04 = Free selected drugs and medicines
05 = There are no benefits of the package
99 = Other (Specify)</t>
        </is>
      </c>
      <c r="I162" s="8" t="inlineStr">
        <is>
          <t>90 = I don't know</t>
        </is>
      </c>
      <c r="J162" s="8" t="inlineStr">
        <is>
          <t>[HARD] ≥ 1 option ticked when enabled
[HARD] Cannot be combined with any other option</t>
        </is>
      </c>
    </row>
    <row r="163">
      <c r="A163" s="9" t="inlineStr">
        <is>
          <t>q76_kon_understand_other_txt</t>
        </is>
      </c>
      <c r="B163" s="10" t="inlineStr">
        <is>
          <t>76. What is your understanding about the YAKAP/Konsulta package? — Other (specify) text</t>
        </is>
      </c>
      <c r="C163" s="10" t="inlineStr">
        <is>
          <t>76. What is your understanding about the YAKAP/Konsulta package? — Other (specify) text</t>
        </is>
      </c>
      <c r="D163" s="10" t="inlineStr"/>
      <c r="E163" s="10" t="inlineStr"/>
      <c r="F163" s="10" t="inlineStr">
        <is>
          <t>E. Primary Care Utilization</t>
        </is>
      </c>
      <c r="G163" s="10" t="inlineStr">
        <is>
          <t>alpha 120</t>
        </is>
      </c>
      <c r="H163" s="10" t="inlineStr"/>
      <c r="I163" s="10" t="inlineStr"/>
      <c r="J163" s="10" t="inlineStr"/>
    </row>
    <row r="164">
      <c r="A164" s="7" t="inlineStr">
        <is>
          <t>q77_kon_registered</t>
        </is>
      </c>
      <c r="B164" s="8" t="inlineStr">
        <is>
          <t>77. Are you registered with a YAKAP/Konsulta package provider?</t>
        </is>
      </c>
      <c r="C164" s="8" t="inlineStr">
        <is>
          <t>77. Are you registered with a YAKAP/Konsulta package provider?</t>
        </is>
      </c>
      <c r="D164" s="8" t="inlineStr"/>
      <c r="E164" s="8">
        <f> No (2) → Q82 (skip Q78–Q81 — not registered → jump to reasons-not-registered)
= "I've never heard of it" (3) or "I don't know" (4) → Q83 (skip Q78–Q82 entirely — exit Section E)</f>
        <v/>
      </c>
      <c r="F164" s="8" t="inlineStr">
        <is>
          <t>E. Primary Care Utilization</t>
        </is>
      </c>
      <c r="G164" s="8" t="inlineStr">
        <is>
          <t>numeric 1</t>
        </is>
      </c>
      <c r="H164" s="8" t="inlineStr">
        <is>
          <t>1 = Yes
2 = No
3 = I've never heard of it</t>
        </is>
      </c>
      <c r="I164" s="8" t="inlineStr">
        <is>
          <t>4 = I don't know</t>
        </is>
      </c>
      <c r="J164" s="8" t="inlineStr">
        <is>
          <t>[HARD] Required when enabled, ∈ {1, 2, 3, 4}</t>
        </is>
      </c>
    </row>
    <row r="165">
      <c r="A165" s="9" t="inlineStr">
        <is>
          <t>q78_kon_when_reg</t>
        </is>
      </c>
      <c r="B165" s="10" t="inlineStr">
        <is>
          <t>78. When did you register with a YAKAP/Konsulta package provider?</t>
        </is>
      </c>
      <c r="C165" s="10" t="inlineStr">
        <is>
          <t>78. When did you register with a YAKAP/Konsulta package provider?</t>
        </is>
      </c>
      <c r="D165" s="10" t="inlineStr">
        <is>
          <t>not asked when Q77 KON_REGISTERED = No (2)
not asked when Q77 KON_REGISTERED = "I've never heard of it" (3) or "I don't know" (4)</t>
        </is>
      </c>
      <c r="E165" s="10" t="inlineStr"/>
      <c r="F165" s="10" t="inlineStr">
        <is>
          <t>E. Primary Care Utilization</t>
        </is>
      </c>
      <c r="G165" s="10" t="inlineStr">
        <is>
          <t>numeric 1</t>
        </is>
      </c>
      <c r="H165" s="10" t="inlineStr">
        <is>
          <t>1 = Within the past six (6) months
2 = More than six (6) months but less than one (1) year ago
3 = One (1) year but less than two (2) years ago
4 = Two (2) years ago or more</t>
        </is>
      </c>
      <c r="I165" s="10" t="inlineStr"/>
      <c r="J165" s="10" t="inlineStr">
        <is>
          <t>[HARD] Required when enabled, ∈ {1–4}
[SOFT] Warn if `Q78 ∈ {3, 4}` and Q6 age suggests YAKAP/Konsulta did not yet exist at that time (configurable by ASPSI)</t>
        </is>
      </c>
    </row>
    <row r="166">
      <c r="A166" s="7" t="inlineStr">
        <is>
          <t>q79_kon_had_appt</t>
        </is>
      </c>
      <c r="B166" s="8" t="inlineStr">
        <is>
          <t>79. Since registering, have you had an appointment with your YAKAP/Konsulta package provider?</t>
        </is>
      </c>
      <c r="C166" s="8" t="inlineStr">
        <is>
          <t>79. Since registering, have you had an appointment with your YAKAP/Konsulta package provider?</t>
        </is>
      </c>
      <c r="D166" s="8" t="inlineStr"/>
      <c r="E166" s="8" t="inlineStr"/>
      <c r="F166" s="8" t="inlineStr">
        <is>
          <t>E. Primary Care Utilization</t>
        </is>
      </c>
      <c r="G166" s="8" t="inlineStr">
        <is>
          <t>numeric 1</t>
        </is>
      </c>
      <c r="H166" s="8" t="inlineStr">
        <is>
          <t>1 = Yes
2 = No</t>
        </is>
      </c>
      <c r="I166" s="8" t="inlineStr"/>
      <c r="J166" s="8" t="inlineStr"/>
    </row>
    <row r="167">
      <c r="A167" s="9" t="inlineStr">
        <is>
          <t>q80_kon_knows_booking</t>
        </is>
      </c>
      <c r="B167" s="10" t="inlineStr">
        <is>
          <t>80. When you have a health problem, do you know how to book an appointment at your YAKAP/Konsulta package provider?</t>
        </is>
      </c>
      <c r="C167" s="10" t="inlineStr">
        <is>
          <t>80. When you have a health problem, do you know how to book an appointment at your YAKAP/Konsulta package provider?</t>
        </is>
      </c>
      <c r="D167" s="10" t="inlineStr"/>
      <c r="E167" s="10" t="inlineStr"/>
      <c r="F167" s="10" t="inlineStr">
        <is>
          <t>E. Primary Care Utilization</t>
        </is>
      </c>
      <c r="G167" s="10" t="inlineStr">
        <is>
          <t>numeric 1</t>
        </is>
      </c>
      <c r="H167" s="10" t="inlineStr">
        <is>
          <t>1 = Yes
2 = No</t>
        </is>
      </c>
      <c r="I167" s="10" t="inlineStr"/>
      <c r="J167" s="10" t="inlineStr"/>
    </row>
    <row r="168">
      <c r="A168" s="7" t="inlineStr">
        <is>
          <t>q81_kon_appt_checkup</t>
        </is>
      </c>
      <c r="B168" s="8" t="inlineStr">
        <is>
          <t>81. Was that appointment for a general check-up (i.e. not related to an illness or injury)?</t>
        </is>
      </c>
      <c r="C168" s="8" t="inlineStr">
        <is>
          <t>81. Was that appointment for a general check-up (i.e. not related to an illness or injury)?</t>
        </is>
      </c>
      <c r="D168" s="8" t="inlineStr">
        <is>
          <t>not asked when Q77 KON_REGISTERED = No (2)</t>
        </is>
      </c>
      <c r="E168" s="8" t="inlineStr"/>
      <c r="F168" s="8" t="inlineStr">
        <is>
          <t>E. Primary Care Utilization</t>
        </is>
      </c>
      <c r="G168" s="8" t="inlineStr">
        <is>
          <t>numeric 1</t>
        </is>
      </c>
      <c r="H168" s="8" t="inlineStr">
        <is>
          <t>1 = Yes
2 = No</t>
        </is>
      </c>
      <c r="I168" s="8" t="inlineStr"/>
      <c r="J168" s="8" t="inlineStr"/>
    </row>
    <row r="169">
      <c r="A169" s="9" t="inlineStr">
        <is>
          <t>q82_kon_why_not_reg</t>
        </is>
      </c>
      <c r="B169" s="10" t="inlineStr">
        <is>
          <t>82. Why are you NOT registered with a YAKAP/Konsulta package provider?</t>
        </is>
      </c>
      <c r="C169" s="10" t="inlineStr">
        <is>
          <t>82. Why are you NOT registered with a YAKAP/Konsulta package provider?</t>
        </is>
      </c>
      <c r="D169" s="10" t="inlineStr">
        <is>
          <t>not asked when Q74 KON_HEARD = No
not asked when Q77 KON_REGISTERED = "I've never heard of it" (3) or "I don't know" (4)</t>
        </is>
      </c>
      <c r="E169" s="10" t="inlineStr"/>
      <c r="F169" s="10" t="inlineStr">
        <is>
          <t>E. Primary Care Utilization</t>
        </is>
      </c>
      <c r="G169" s="10" t="inlineStr">
        <is>
          <t>alpha 22</t>
        </is>
      </c>
      <c r="H169" s="10" t="inlineStr">
        <is>
          <t>02 = Don't trust PhilHealth
04 = Registration is confusing/time-consuming/inconvenient
05 = Intend to register but do not have found a time to do it.
06 = YAKAP/Konsulta is not available in my local area
07 = Already have a usual primary care provider that I go to
08 = Don't have the required PhilHealth ID to register for YAKAP/Konsulta
09 = Don't have the other requirements to register
99 = Other (specify)</t>
        </is>
      </c>
      <c r="I169" s="10" t="inlineStr">
        <is>
          <t>01 = Don't know what a YAKAP/Konsulta provider is
03 = Don't know how to register
90 = I don't know</t>
        </is>
      </c>
      <c r="J169" s="10" t="inlineStr">
        <is>
          <t>[HARD] ≥ 1 option ticked when enabled
[HARD] Cannot be combined with any other option</t>
        </is>
      </c>
    </row>
    <row r="170">
      <c r="A170" s="7" t="inlineStr">
        <is>
          <t>q82_kon_why_not_reg_other_txt</t>
        </is>
      </c>
      <c r="B170" s="8" t="inlineStr">
        <is>
          <t>82. Why are you NOT registered with a YAKAP/Konsulta package provider? — Other (specify) text</t>
        </is>
      </c>
      <c r="C170" s="8" t="inlineStr">
        <is>
          <t>82. Why are you NOT registered with a YAKAP/Konsulta package provider? — Other (specify) text</t>
        </is>
      </c>
      <c r="D170" s="8" t="inlineStr">
        <is>
          <t>not asked when Q74 KON_HEARD = No
not asked when Q77 KON_REGISTERED = "I've never heard of it" (3) or "I don't know" (4)</t>
        </is>
      </c>
      <c r="E170" s="8" t="inlineStr"/>
      <c r="F170" s="8" t="inlineStr">
        <is>
          <t>E. Primary Care Utilization</t>
        </is>
      </c>
      <c r="G170" s="8" t="inlineStr">
        <is>
          <t>alpha 120</t>
        </is>
      </c>
      <c r="H170" s="8" t="inlineStr"/>
      <c r="I170" s="8" t="inlineStr"/>
      <c r="J170" s="8" t="inlineStr"/>
    </row>
    <row r="171">
      <c r="A171" s="9" t="inlineStr">
        <is>
          <t>q83_visit_reason</t>
        </is>
      </c>
      <c r="B171" s="10" t="inlineStr">
        <is>
          <t>83. What best describes why the patient visited a health facility (e.g. RHU, health center, clinic, hospital)?</t>
        </is>
      </c>
      <c r="C171" s="10" t="inlineStr">
        <is>
          <t>We will now be asking about the patient’s actions taken for health concerns. This includes the type of services and facilities they access for their health and well-being. Note to enumerator [do not read]: This section is for the Patient’s Health-Seeking Behavior. Ask all questions in this section unless a skip rule applies. READ OPTIONS OUT LOUD. SELECT ONE ANSWER ONLY. 83. What best describes why the patient visited a health facility (e.g. RHU, health center, clinic, hospital)?</t>
        </is>
      </c>
      <c r="D171" s="10" t="inlineStr"/>
      <c r="E171" s="10" t="inlineStr"/>
      <c r="F171" s="10" t="inlineStr">
        <is>
          <t>F. Patient's Health-Seeking Behavior</t>
        </is>
      </c>
      <c r="G171" s="10" t="inlineStr">
        <is>
          <t>numeric 1</t>
        </is>
      </c>
      <c r="H171" s="10" t="inlineStr">
        <is>
          <t>1 = Consultation for new health problem
2 = Consultation to follow-up an ongoing health problem
3 = For tests/diagnostics only
4 = For a general check-up
5 = To get a health certificate/administrative reason
6 = For immunizations/vaccinations
7 = My doctor transferred to this health facility
8 = Other (Specify)</t>
        </is>
      </c>
      <c r="I171" s="10" t="inlineStr"/>
      <c r="J171" s="10" t="inlineStr">
        <is>
          <t>[HARD] Required, ∈ {1–8}</t>
        </is>
      </c>
    </row>
    <row r="172">
      <c r="A172" s="7" t="inlineStr">
        <is>
          <t>q83_visit_reason_other_txt</t>
        </is>
      </c>
      <c r="B172" s="8" t="inlineStr">
        <is>
          <t>83. Visit reason — Other (specify) text</t>
        </is>
      </c>
      <c r="C172" s="8" t="inlineStr">
        <is>
          <t>83. Visit reason — Other (specify) text</t>
        </is>
      </c>
      <c r="D172" s="8" t="inlineStr"/>
      <c r="E172" s="8" t="inlineStr"/>
      <c r="F172" s="8" t="inlineStr">
        <is>
          <t>F. Patient's Health-Seeking Behavior</t>
        </is>
      </c>
      <c r="G172" s="8" t="inlineStr">
        <is>
          <t>alpha 120</t>
        </is>
      </c>
      <c r="H172" s="8" t="inlineStr"/>
      <c r="I172" s="8" t="inlineStr"/>
      <c r="J172" s="8" t="inlineStr"/>
    </row>
    <row r="173">
      <c r="A173" s="9" t="inlineStr">
        <is>
          <t>q84_service_type</t>
        </is>
      </c>
      <c r="B173" s="10" t="inlineStr">
        <is>
          <t>84. What type of service did the patient usually access?</t>
        </is>
      </c>
      <c r="C173" s="10" t="inlineStr">
        <is>
          <t>84. What type of service did the patient usually access? READ OPTIONS OUT LOUD. SELECT ONE ANSWER ONLY.</t>
        </is>
      </c>
      <c r="D173" s="10" t="inlineStr"/>
      <c r="E173" s="10" t="inlineStr"/>
      <c r="F173" s="10" t="inlineStr">
        <is>
          <t>F. Patient's Health-Seeking Behavior</t>
        </is>
      </c>
      <c r="G173" s="10" t="inlineStr">
        <is>
          <t>numeric 1</t>
        </is>
      </c>
      <c r="H173" s="10" t="inlineStr">
        <is>
          <t>1 = Outpatient care (Consultation, procedure, or treatment where the patient visits and leaves within the same day)
2 = Inpatient care (Care provided in hospital or another facility where the patient is admitted for at least one night)
3 = Emergency care (Care for serious illnesses or injuries that need immediate medical attention; usually provided in an emergency room or ER)
4 = Primary care consultation
5 = Other (Specify)</t>
        </is>
      </c>
      <c r="I173" s="10" t="inlineStr"/>
      <c r="J173" s="10" t="inlineStr">
        <is>
          <t>[HARD] Required, ∈ {1–5}</t>
        </is>
      </c>
    </row>
    <row r="174">
      <c r="A174" s="7" t="inlineStr">
        <is>
          <t>q84_service_type_other_txt</t>
        </is>
      </c>
      <c r="B174" s="8" t="inlineStr">
        <is>
          <t>84. Service type — Other (specify) text</t>
        </is>
      </c>
      <c r="C174" s="8" t="inlineStr">
        <is>
          <t>84. Service type — Other (specify) text</t>
        </is>
      </c>
      <c r="D174" s="8" t="inlineStr"/>
      <c r="E174" s="8" t="inlineStr"/>
      <c r="F174" s="8" t="inlineStr">
        <is>
          <t>F. Patient's Health-Seeking Behavior</t>
        </is>
      </c>
      <c r="G174" s="8" t="inlineStr">
        <is>
          <t>alpha 120</t>
        </is>
      </c>
      <c r="H174" s="8" t="inlineStr"/>
      <c r="I174" s="8" t="inlineStr"/>
      <c r="J174" s="8" t="inlineStr"/>
    </row>
    <row r="175">
      <c r="A175" s="9" t="inlineStr">
        <is>
          <t>q85_conditions</t>
        </is>
      </c>
      <c r="B175" s="10" t="inlineStr">
        <is>
          <t>85. What condition/s do/es the patient usually visit the facility for?</t>
        </is>
      </c>
      <c r="C175" s="10" t="inlineStr">
        <is>
          <t>85. What condition/s do/es the patient usually visit the facility for? READ OPTIONS OUT LOUD. SELECT ALL THAT APPLY.</t>
        </is>
      </c>
      <c r="D175" s="10" t="inlineStr"/>
      <c r="E175" s="10" t="inlineStr"/>
      <c r="F175" s="10" t="inlineStr">
        <is>
          <t>F. Patient's Health-Seeking Behavior</t>
        </is>
      </c>
      <c r="G175" s="10" t="inlineStr">
        <is>
          <t>alpha 40</t>
        </is>
      </c>
      <c r="H175" s="10" t="inlineStr">
        <is>
          <t>01 = Upper respiratory infection
02 = Hypertension
03 = Immunization
04 = Pregnancy or birth
05 = Flu
06 = Fever
07 = Joint and muscle pain
08 = Asthma or COPD (chronic breathing problem, not cancer)
09 = Diabetes
10 = Heart problem
11 = Kidney problem /Dialysis
12 = Cancer (any)
13 = Gastro problem (vomiting, diarrhea etc.)
14 = Other infection (e.g. urine, skin, other virus etc.)
15 = Accident/injury (e.g. wound/broken bone)
16 = Dental
17 = ENT (problem with ear/nose/throat)
18 = Allergy
19 = No condition - Regular check-up only
99 = Other (Specify)</t>
        </is>
      </c>
      <c r="I175" s="10" t="inlineStr"/>
      <c r="J175" s="10" t="inlineStr">
        <is>
          <t>[HARD] ≥ 1 option ticked
[HARD] Cannot be combined with any other option</t>
        </is>
      </c>
    </row>
    <row r="176">
      <c r="A176" s="7" t="inlineStr">
        <is>
          <t>q85_conditions_other_txt</t>
        </is>
      </c>
      <c r="B176" s="8" t="inlineStr">
        <is>
          <t>85. What condition/s do/es the patient usually visit the facility for? — Other (specify) text</t>
        </is>
      </c>
      <c r="C176" s="8" t="inlineStr">
        <is>
          <t>85. What condition/s do/es the patient usually visit the facility for? — Other (specify) text</t>
        </is>
      </c>
      <c r="D176" s="8" t="inlineStr"/>
      <c r="E176" s="8" t="inlineStr"/>
      <c r="F176" s="8" t="inlineStr">
        <is>
          <t>F. Patient's Health-Seeking Behavior</t>
        </is>
      </c>
      <c r="G176" s="8" t="inlineStr">
        <is>
          <t>alpha 120</t>
        </is>
      </c>
      <c r="H176" s="8" t="inlineStr"/>
      <c r="I176" s="8" t="inlineStr"/>
      <c r="J176" s="8" t="inlineStr"/>
    </row>
    <row r="177">
      <c r="A177" s="9" t="inlineStr">
        <is>
          <t>q86_visit_events</t>
        </is>
      </c>
      <c r="B177" s="10" t="inlineStr">
        <is>
          <t>86. Which of the following happened during the patient's most recent visit?</t>
        </is>
      </c>
      <c r="C177" s="10" t="inlineStr">
        <is>
          <t>86. Which of the following happened during the patient's most recent visit? READ OPTIONS OUT LOUD. SELECT ALL THAT APPLY.</t>
        </is>
      </c>
      <c r="D177" s="10" t="inlineStr"/>
      <c r="E177" s="10" t="inlineStr"/>
      <c r="F177" s="10" t="inlineStr">
        <is>
          <t>F. Patient's Health-Seeking Behavior</t>
        </is>
      </c>
      <c r="G177" s="10" t="inlineStr">
        <is>
          <t>alpha 22</t>
        </is>
      </c>
      <c r="H177" s="10" t="inlineStr">
        <is>
          <t>01 = Saw a doctor
02 = Saw a nurse/midwife
03 = Saw any other healthcare worker/member of medical staff
04 = Had basic tests done (e.g. blood pressure check, height/weight)
05 = Had any laboratory tests done (e.g. blood, urine sample)
06 = Had any imaging done (e.g. ultrasound, Xray, CT)
07 = Prescribed medication
08 = Had any minor procedure/surgery done
09 = Picked up medical certificate/other administration
10 = Was admitted for confinement
99 = Other (Specify)</t>
        </is>
      </c>
      <c r="I177" s="10" t="inlineStr"/>
      <c r="J177" s="10" t="inlineStr">
        <is>
          <t>[HARD] ≥ 1 option ticked (a visit must have SOMETHING happen)</t>
        </is>
      </c>
    </row>
    <row r="178">
      <c r="A178" s="7" t="inlineStr">
        <is>
          <t>q86_visit_events_other_txt</t>
        </is>
      </c>
      <c r="B178" s="8" t="inlineStr">
        <is>
          <t>86. Which of the following happened during the patient's most recent visit? — Other (specify) text</t>
        </is>
      </c>
      <c r="C178" s="8" t="inlineStr">
        <is>
          <t>86. Which of the following happened during the patient's most recent visit? — Other (specify) text</t>
        </is>
      </c>
      <c r="D178" s="8" t="inlineStr"/>
      <c r="E178" s="8" t="inlineStr"/>
      <c r="F178" s="8" t="inlineStr">
        <is>
          <t>F. Patient's Health-Seeking Behavior</t>
        </is>
      </c>
      <c r="G178" s="8" t="inlineStr">
        <is>
          <t>alpha 120</t>
        </is>
      </c>
      <c r="H178" s="8" t="inlineStr"/>
      <c r="I178" s="8" t="inlineStr"/>
      <c r="J178" s="8" t="inlineStr"/>
    </row>
    <row r="179">
      <c r="A179" s="9" t="inlineStr">
        <is>
          <t>q87_other_actions</t>
        </is>
      </c>
      <c r="B179" s="10" t="inlineStr">
        <is>
          <t>87. Apart from this visit, has the patient done anything else to improve his/her health condition or address his/her health concern?</t>
        </is>
      </c>
      <c r="C179" s="10" t="inlineStr">
        <is>
          <t>87. Apart from this visit, has the patient done anything else to improve his/her health condition or address his/her health concern?</t>
        </is>
      </c>
      <c r="D179" s="10" t="inlineStr"/>
      <c r="E179" s="10" t="inlineStr"/>
      <c r="F179" s="10" t="inlineStr">
        <is>
          <t>F. Patient's Health-Seeking Behavior</t>
        </is>
      </c>
      <c r="G179" s="10" t="inlineStr">
        <is>
          <t>alpha 14</t>
        </is>
      </c>
      <c r="H179" s="10" t="inlineStr">
        <is>
          <t>01 = Visited other healthcare facility
02 = Sought alternative care (Healthcare apart from medical doctors or the formal healthcare system; such as reflexology, acupuncture, massage therapy, herbal medicines, etc.)
03 = Sought telemedicine (Remote diagnosis and treatment of patients by means of telecommunications technology)
04 = Used home care (Healthcare services and support provided to individuals in their own homes)
05 = Bought medicine from a pharmacy
06 = Did not seek other forms of care
99 = Other (Specify)</t>
        </is>
      </c>
      <c r="I179" s="10" t="inlineStr"/>
      <c r="J179" s="10" t="inlineStr">
        <is>
          <t>[HARD] ≥ 1 option ticked
[HARD] Cannot be combined with any other option</t>
        </is>
      </c>
    </row>
    <row r="180">
      <c r="A180" s="7" t="inlineStr">
        <is>
          <t>q87_other_actions_other_txt</t>
        </is>
      </c>
      <c r="B180" s="8" t="inlineStr">
        <is>
          <t>87. Apart from this visit, has the patient done anything else to improve his/her health condition or address his/her health concern? — Other (specify) text</t>
        </is>
      </c>
      <c r="C180" s="8" t="inlineStr">
        <is>
          <t>87. Apart from this visit, has the patient done anything else to improve his/her health condition or address his/her health concern? — Other (specify) text</t>
        </is>
      </c>
      <c r="D180" s="8" t="inlineStr"/>
      <c r="E180" s="8" t="inlineStr"/>
      <c r="F180" s="8" t="inlineStr">
        <is>
          <t>F. Patient's Health-Seeking Behavior</t>
        </is>
      </c>
      <c r="G180" s="8" t="inlineStr">
        <is>
          <t>alpha 120</t>
        </is>
      </c>
      <c r="H180" s="8" t="inlineStr"/>
      <c r="I180" s="8" t="inlineStr"/>
      <c r="J180" s="8" t="inlineStr"/>
    </row>
    <row r="181">
      <c r="A181" s="9" t="inlineStr">
        <is>
          <t>q88_why_visit</t>
        </is>
      </c>
      <c r="B181" s="10" t="inlineStr">
        <is>
          <t>88. Why are you visiting this facility for consultation/advice or treatment?</t>
        </is>
      </c>
      <c r="C181" s="10" t="inlineStr">
        <is>
          <t>For the following questions, we will ask about the patient’s most current outpatient visit. 88. Why are you visiting ~~FACILITY_NAME~~ for consultation/advice or treatment?</t>
        </is>
      </c>
      <c r="D181" s="10" t="inlineStr"/>
      <c r="E181" s="10" t="inlineStr"/>
      <c r="F181" s="10" t="inlineStr">
        <is>
          <t>G. Outpatient Care</t>
        </is>
      </c>
      <c r="G181" s="10" t="inlineStr">
        <is>
          <t>numeric 1</t>
        </is>
      </c>
      <c r="H181" s="10" t="inlineStr">
        <is>
          <t>1 = Sick/Injured
2 = Prenatal/Post-natal Check-up
3 = Gave Birth
4 = Dental check-up
5 = Medical check-up
6 = Medical requirement
7 = NHTS/CCT/4Ps Requirement
8 = Other (specify)</t>
        </is>
      </c>
      <c r="I181" s="10" t="inlineStr"/>
      <c r="J181" s="10" t="inlineStr">
        <is>
          <t>[HARD] Required, ∈ {1–8}</t>
        </is>
      </c>
    </row>
    <row r="182">
      <c r="A182" s="7" t="inlineStr">
        <is>
          <t>q88_why_visit_other_txt</t>
        </is>
      </c>
      <c r="B182" s="8" t="inlineStr">
        <is>
          <t>88. Why visit — Other (specify) text</t>
        </is>
      </c>
      <c r="C182" s="8" t="inlineStr">
        <is>
          <t>88. Why visit — Other (specify) text</t>
        </is>
      </c>
      <c r="D182" s="8" t="inlineStr"/>
      <c r="E182" s="8" t="inlineStr"/>
      <c r="F182" s="8" t="inlineStr">
        <is>
          <t>G. Outpatient Care</t>
        </is>
      </c>
      <c r="G182" s="8" t="inlineStr">
        <is>
          <t>alpha 120</t>
        </is>
      </c>
      <c r="H182" s="8" t="inlineStr"/>
      <c r="I182" s="8" t="inlineStr"/>
      <c r="J182" s="8" t="inlineStr"/>
    </row>
    <row r="183">
      <c r="A183" s="9" t="inlineStr">
        <is>
          <t>q89_advised_admit</t>
        </is>
      </c>
      <c r="B183" s="10" t="inlineStr">
        <is>
          <t>89. Were you advised for hospitalization / to be admitted in the hospital?</t>
        </is>
      </c>
      <c r="C183" s="10" t="inlineStr">
        <is>
          <t>89. Were you advised for hospitalization / to be admitted in the hospital?</t>
        </is>
      </c>
      <c r="D183" s="10" t="inlineStr"/>
      <c r="E183" s="10">
        <f> Yes → Q91 (Q90 is the "why not confined" reasons — only meaningful when Q89 = No; see §3.8 sanity rule)</f>
        <v/>
      </c>
      <c r="F183" s="10" t="inlineStr">
        <is>
          <t>G. Outpatient Care</t>
        </is>
      </c>
      <c r="G183" s="10" t="inlineStr">
        <is>
          <t>numeric 1</t>
        </is>
      </c>
      <c r="H183" s="10" t="inlineStr">
        <is>
          <t>1 = Yes
2 = No</t>
        </is>
      </c>
      <c r="I183" s="10" t="inlineStr"/>
      <c r="J183" s="10" t="inlineStr">
        <is>
          <t>[HARD] Required, ∈ {1, 2}</t>
        </is>
      </c>
    </row>
    <row r="184">
      <c r="A184" s="7" t="inlineStr">
        <is>
          <t>q90_not_confined</t>
        </is>
      </c>
      <c r="B184" s="8" t="inlineStr">
        <is>
          <t>90. What were the reasons why you were not confined/ admitted in a hospital/clinic?</t>
        </is>
      </c>
      <c r="C184" s="8" t="inlineStr">
        <is>
          <t>90. What were the reasons why you were not confined/ admitted in a hospital/clinic?</t>
        </is>
      </c>
      <c r="D184" s="8" t="inlineStr"/>
      <c r="E184" s="8" t="inlineStr"/>
      <c r="F184" s="8" t="inlineStr">
        <is>
          <t>G. Outpatient Care</t>
        </is>
      </c>
      <c r="G184" s="8" t="inlineStr">
        <is>
          <t>alpha 14</t>
        </is>
      </c>
      <c r="H184" s="8" t="inlineStr">
        <is>
          <t>01 = Facility is far
02 = No money
03 = Worried about treatment cost
04 = Home remedy is available
05 = Health facility is not PhilHealth accredited
06 = No need/regular check-up only
99 = Other (specify)</t>
        </is>
      </c>
      <c r="I184" s="8" t="inlineStr"/>
      <c r="J184" s="8" t="inlineStr">
        <is>
          <t>[HARD] When Q89 = No: ≥ 1 option ticked</t>
        </is>
      </c>
    </row>
    <row r="185">
      <c r="A185" s="9" t="inlineStr">
        <is>
          <t>q90_not_confined_other_txt</t>
        </is>
      </c>
      <c r="B185" s="10" t="inlineStr">
        <is>
          <t>90. What were the reasons why you were not confined/ admitted in a hospital/clinic? — Other (specify) text</t>
        </is>
      </c>
      <c r="C185" s="10" t="inlineStr">
        <is>
          <t>90. What were the reasons why you were not confined/ admitted in a hospital/clinic? — Other (specify) text</t>
        </is>
      </c>
      <c r="D185" s="10" t="inlineStr"/>
      <c r="E185" s="10" t="inlineStr"/>
      <c r="F185" s="10" t="inlineStr">
        <is>
          <t>G. Outpatient Care</t>
        </is>
      </c>
      <c r="G185" s="10" t="inlineStr">
        <is>
          <t>alpha 120</t>
        </is>
      </c>
      <c r="H185" s="10" t="inlineStr"/>
      <c r="I185" s="10" t="inlineStr"/>
      <c r="J185" s="10" t="inlineStr"/>
    </row>
    <row r="186">
      <c r="A186" s="7" t="inlineStr">
        <is>
          <t>q91_usual_outpatient</t>
        </is>
      </c>
      <c r="B186" s="8" t="inlineStr">
        <is>
          <t>91. Do you usually avail consultation services for outpatient care?</t>
        </is>
      </c>
      <c r="C186" s="8" t="inlineStr">
        <is>
          <t>91. Do you usually avail consultation services for outpatient care?</t>
        </is>
      </c>
      <c r="D186" s="8" t="inlineStr"/>
      <c r="E186" s="8" t="inlineStr"/>
      <c r="F186" s="8" t="inlineStr">
        <is>
          <t>G. Outpatient Care</t>
        </is>
      </c>
      <c r="G186" s="8" t="inlineStr">
        <is>
          <t>numeric 1</t>
        </is>
      </c>
      <c r="H186" s="8" t="inlineStr">
        <is>
          <t>1 = Yes
2 = No</t>
        </is>
      </c>
      <c r="I186" s="8" t="inlineStr"/>
      <c r="J186" s="8" t="inlineStr">
        <is>
          <t>[HARD] Required, ∈ {1, 2}</t>
        </is>
      </c>
    </row>
    <row r="187">
      <c r="A187" s="9" t="inlineStr">
        <is>
          <t>q92_sources</t>
        </is>
      </c>
      <c r="B187" s="10" t="inlineStr">
        <is>
          <t>92. Which of the following did you use to pay for the cost of consultation? (Tick all that apply.)</t>
        </is>
      </c>
      <c r="C187" s="10" t="inlineStr">
        <is>
          <t>92. Which of the following did you use to pay for the cost of consultation? (Tick all that apply.)</t>
        </is>
      </c>
      <c r="D187" s="10" t="inlineStr"/>
      <c r="E187" s="10" t="inlineStr"/>
      <c r="F187" s="10" t="inlineStr">
        <is>
          <t>G. Outpatient Care</t>
        </is>
      </c>
      <c r="G187" s="10" t="inlineStr">
        <is>
          <t>alpha 16</t>
        </is>
      </c>
      <c r="H187" s="10" t="inlineStr">
        <is>
          <t>01 = Out-of-pocket
02 = Donation
03 = Free/no cost
04 = Free, charge to PhilHealth
05 = Free, charge to Private Insurance
06 = Free, charge to HMO
07 = In kind</t>
        </is>
      </c>
      <c r="I187" s="10" t="inlineStr">
        <is>
          <t>08 = Don't know</t>
        </is>
      </c>
      <c r="J187" s="10" t="inlineStr"/>
    </row>
    <row r="188">
      <c r="A188" s="7" t="inlineStr">
        <is>
          <t>q92_pay_line</t>
        </is>
      </c>
      <c r="B188" s="8" t="inlineStr">
        <is>
          <t>92 Payment row</t>
        </is>
      </c>
      <c r="C188" s="8" t="inlineStr">
        <is>
          <t>92 Payment row</t>
        </is>
      </c>
      <c r="D188" s="8" t="inlineStr"/>
      <c r="E188" s="8" t="inlineStr"/>
      <c r="F188" s="8" t="inlineStr">
        <is>
          <t>G. Cost of consultation — amount by source (roster ×8)</t>
        </is>
      </c>
      <c r="G188" s="8" t="inlineStr">
        <is>
          <t>numeric 1</t>
        </is>
      </c>
      <c r="H188" s="8" t="inlineStr"/>
      <c r="I188" s="8" t="inlineStr"/>
      <c r="J188" s="8" t="inlineStr"/>
    </row>
    <row r="189">
      <c r="A189" s="9" t="inlineStr">
        <is>
          <t>q92_pay_src</t>
        </is>
      </c>
      <c r="B189" s="10" t="inlineStr">
        <is>
          <t>92. Payment source (auto-filled from the ticked sources)</t>
        </is>
      </c>
      <c r="C189" s="10" t="inlineStr">
        <is>
          <t>92. Payment source (auto-filled from the ticked sources)</t>
        </is>
      </c>
      <c r="D189" s="10" t="inlineStr"/>
      <c r="E189" s="10" t="inlineStr"/>
      <c r="F189" s="10" t="inlineStr">
        <is>
          <t>G. Cost of consultation — amount by source (roster ×8)</t>
        </is>
      </c>
      <c r="G189" s="10" t="inlineStr">
        <is>
          <t>numeric 2</t>
        </is>
      </c>
      <c r="H189" s="10" t="inlineStr">
        <is>
          <t>01 = Out-of-pocket
02 = Donation
03 = Free/no cost
04 = Free, charge to PhilHealth
05 = Free, charge to Private Insurance
06 = Free, charge to HMO
07 = In kind</t>
        </is>
      </c>
      <c r="I189" s="10" t="inlineStr">
        <is>
          <t>08 = Don't know</t>
        </is>
      </c>
      <c r="J189" s="10" t="inlineStr"/>
    </row>
    <row r="190">
      <c r="A190" s="7" t="inlineStr">
        <is>
          <t>q92_pay_amt</t>
        </is>
      </c>
      <c r="B190" s="8" t="inlineStr">
        <is>
          <t>92. Amount paid for the consultation, by source (Pesos)</t>
        </is>
      </c>
      <c r="C190" s="8" t="inlineStr">
        <is>
          <t>Payment source / item: ~~getvaluelabel(Q92_PAY_SRC)~~ 92. Amount paid for the consultation, by source (Pesos)</t>
        </is>
      </c>
      <c r="D190" s="8" t="inlineStr"/>
      <c r="E190" s="8" t="inlineStr"/>
      <c r="F190" s="8" t="inlineStr">
        <is>
          <t>G. Cost of consultation — amount by source (roster ×8)</t>
        </is>
      </c>
      <c r="G190" s="8" t="inlineStr">
        <is>
          <t>numeric 8</t>
        </is>
      </c>
      <c r="H190" s="8" t="inlineStr"/>
      <c r="I190" s="8" t="inlineStr"/>
      <c r="J190" s="8" t="inlineStr"/>
    </row>
    <row r="191">
      <c r="A191" s="9" t="inlineStr">
        <is>
          <t>q93_labs</t>
        </is>
      </c>
      <c r="B191" s="10" t="inlineStr">
        <is>
          <t>93. Did you have any of the following laboratory tests done during your outpatient care?</t>
        </is>
      </c>
      <c r="C191" s="10" t="inlineStr">
        <is>
          <t>93. Did you have any of the following laboratory tests done during your outpatient care?</t>
        </is>
      </c>
      <c r="D191" s="10" t="inlineStr"/>
      <c r="E191" s="10" t="inlineStr">
        <is>
          <t>"None" (17) ticked → Q95 (skip Q94 lab-cost matrix)</t>
        </is>
      </c>
      <c r="F191" s="10" t="inlineStr">
        <is>
          <t>G. Outpatient Care (cont.)</t>
        </is>
      </c>
      <c r="G191" s="10" t="inlineStr">
        <is>
          <t>alpha 34</t>
        </is>
      </c>
      <c r="H191" s="10" t="inlineStr">
        <is>
          <t>01 = CBC with platelet count
02 = Urinalysis
03 = Fecalysis
04 = Sputum Microscopy
05 = Fecal Occult Blood
06 = Pap smear
07 = Lipid profile
08 = FBS
09 = OGTT (Oral glucose tolerance tests)
10 = ECG
11 = Chest X-Ray
12 = Creatinine
13 = HbA1c
14 = Abdominal ultrasound
15 = Dental Services
90 = None
99 = Other, specify:</t>
        </is>
      </c>
      <c r="I191" s="10" t="inlineStr"/>
      <c r="J191" s="10" t="inlineStr">
        <is>
          <t>[HARD] ≥ 1 option ticked</t>
        </is>
      </c>
    </row>
    <row r="192">
      <c r="A192" s="7" t="inlineStr">
        <is>
          <t>q93_labs_other_txt</t>
        </is>
      </c>
      <c r="B192" s="8" t="inlineStr">
        <is>
          <t>93. Did you have any of the following laboratory tests done during your outpatient care? — Other (specify) text</t>
        </is>
      </c>
      <c r="C192" s="8" t="inlineStr">
        <is>
          <t>93. Did you have any of the following laboratory tests done during your outpatient care? — Other (specify) text</t>
        </is>
      </c>
      <c r="D192" s="8" t="inlineStr"/>
      <c r="E192" s="8" t="inlineStr"/>
      <c r="F192" s="8" t="inlineStr">
        <is>
          <t>G. Outpatient Care (cont.)</t>
        </is>
      </c>
      <c r="G192" s="8" t="inlineStr">
        <is>
          <t>alpha 120</t>
        </is>
      </c>
      <c r="H192" s="8" t="inlineStr"/>
      <c r="I192" s="8" t="inlineStr"/>
      <c r="J192" s="8" t="inlineStr"/>
    </row>
    <row r="193">
      <c r="A193" s="9" t="inlineStr">
        <is>
          <t>q94_lab_line</t>
        </is>
      </c>
      <c r="B193" s="10" t="inlineStr">
        <is>
          <t>94. Lab payment row</t>
        </is>
      </c>
      <c r="C193" s="10" t="inlineStr">
        <is>
          <t>94. Lab payment row Laboratory Test: ~~getvaluelabel(Q94_LAB_CODE)~~</t>
        </is>
      </c>
      <c r="D193" s="10" t="inlineStr">
        <is>
          <t>not asked when Q93 LABS "None" (17) ticked</t>
        </is>
      </c>
      <c r="E193" s="10" t="inlineStr"/>
      <c r="F193" s="10" t="inlineStr">
        <is>
          <t>G. Cost of laboratory tests — per test (Q94) (roster ×16)</t>
        </is>
      </c>
      <c r="G193" s="10" t="inlineStr">
        <is>
          <t>numeric 1</t>
        </is>
      </c>
      <c r="H193" s="10" t="inlineStr"/>
      <c r="I193" s="10" t="inlineStr"/>
      <c r="J193" s="10" t="inlineStr"/>
    </row>
    <row r="194">
      <c r="A194" s="7" t="inlineStr">
        <is>
          <t>q94_lab_code</t>
        </is>
      </c>
      <c r="B194" s="8" t="inlineStr">
        <is>
          <t>94. Laboratory test (auto-filled from the tests ticked in Q93)</t>
        </is>
      </c>
      <c r="C194" s="8" t="inlineStr">
        <is>
          <t>94. Laboratory test (auto-filled from the tests ticked in Q93) Laboratory Test: ~~getvaluelabel(Q94_LAB_CODE)~~</t>
        </is>
      </c>
      <c r="D194" s="8" t="inlineStr">
        <is>
          <t>not asked when Q93 LABS "None" (17) ticked</t>
        </is>
      </c>
      <c r="E194" s="8" t="inlineStr"/>
      <c r="F194" s="8" t="inlineStr">
        <is>
          <t>G. Cost of laboratory tests — per test (Q94) (roster ×16)</t>
        </is>
      </c>
      <c r="G194" s="8" t="inlineStr">
        <is>
          <t>numeric 2</t>
        </is>
      </c>
      <c r="H194" s="8" t="inlineStr">
        <is>
          <t>01 = CBC with platelet count
02 = Urinalysis
03 = Fecalysis
04 = Sputum Microscopy
05 = Fecal Occult Blood
06 = Pap smear
07 = Lipid profile
08 = FBS
09 = OGTT (Oral glucose tolerance tests)
10 = ECG
11 = Chest X-Ray
12 = Creatinine
13 = HbA1c
14 = Abdominal ultrasound
15 = Dental Services
99 = Other, specify:</t>
        </is>
      </c>
      <c r="I194" s="8" t="inlineStr"/>
      <c r="J194" s="8" t="inlineStr"/>
    </row>
    <row r="195">
      <c r="A195" s="9" t="inlineStr">
        <is>
          <t>q94_lab_pay</t>
        </is>
      </c>
      <c r="B195" s="10" t="inlineStr">
        <is>
          <t>94. How was the cost of this laboratory test paid?</t>
        </is>
      </c>
      <c r="C195" s="10" t="inlineStr">
        <is>
          <t>94. How was the cost of this laboratory test paid? Laboratory Test: ~~getvaluelabel(Q94_LAB_CODE)~~</t>
        </is>
      </c>
      <c r="D195" s="10" t="inlineStr">
        <is>
          <t>not asked when Q93 LABS "None" (17) ticked</t>
        </is>
      </c>
      <c r="E195" s="10" t="inlineStr"/>
      <c r="F195" s="10" t="inlineStr">
        <is>
          <t>G. Cost of laboratory tests — per test (Q94) (roster ×16)</t>
        </is>
      </c>
      <c r="G195" s="10" t="inlineStr">
        <is>
          <t>numeric 2</t>
        </is>
      </c>
      <c r="H195" s="10" t="inlineStr">
        <is>
          <t>01 = Out-of-pocket
02 = Free/no cost
03 = Free, charge to PhilHealth
04 = Free, charge to Private Insurance
05 = Free, charge to HMO
06 = In kind</t>
        </is>
      </c>
      <c r="I195" s="10" t="inlineStr">
        <is>
          <t>07 = Don't know</t>
        </is>
      </c>
      <c r="J195" s="10" t="inlineStr"/>
    </row>
    <row r="196">
      <c r="A196" s="7" t="inlineStr">
        <is>
          <t>q94_lab_amt</t>
        </is>
      </c>
      <c r="B196" s="8" t="inlineStr">
        <is>
          <t>94. How much was the cost of this laboratory test? (amount paid out-of-pocket, Pesos)</t>
        </is>
      </c>
      <c r="C196" s="8" t="inlineStr">
        <is>
          <t>94. How much was the cost of this laboratory test? (amount paid out-of-pocket, Pesos) Laboratory Test: ~~getvaluelabel(Q94_LAB_CODE)~~</t>
        </is>
      </c>
      <c r="D196" s="8" t="inlineStr">
        <is>
          <t>not asked when Q93 LABS "None" (17) ticked</t>
        </is>
      </c>
      <c r="E196" s="8" t="inlineStr"/>
      <c r="F196" s="8" t="inlineStr">
        <is>
          <t>G. Cost of laboratory tests — per test (Q94) (roster ×16)</t>
        </is>
      </c>
      <c r="G196" s="8" t="inlineStr">
        <is>
          <t>numeric 8</t>
        </is>
      </c>
      <c r="H196" s="8" t="inlineStr"/>
      <c r="I196" s="8" t="inlineStr"/>
      <c r="J196" s="8" t="inlineStr"/>
    </row>
    <row r="197">
      <c r="A197" s="9" t="inlineStr">
        <is>
          <t>q95_prescribed</t>
        </is>
      </c>
      <c r="B197" s="10" t="inlineStr">
        <is>
          <t>95. Were you prescribed medicine/s after your check-up?</t>
        </is>
      </c>
      <c r="C197" s="10" t="inlineStr">
        <is>
          <t>95. Were you prescribed medicine/s after your check-up?</t>
        </is>
      </c>
      <c r="D197" s="10" t="inlineStr"/>
      <c r="E197" s="10">
        <f> No → Q97 (skip Q96 meds-cost matrix)</f>
        <v/>
      </c>
      <c r="F197" s="10" t="inlineStr">
        <is>
          <t>G. Outpatient Care (cont. 2)</t>
        </is>
      </c>
      <c r="G197" s="10" t="inlineStr">
        <is>
          <t>numeric 1</t>
        </is>
      </c>
      <c r="H197" s="10" t="inlineStr">
        <is>
          <t>1 = Yes
2 = No</t>
        </is>
      </c>
      <c r="I197" s="10" t="inlineStr"/>
      <c r="J197" s="10" t="inlineStr">
        <is>
          <t>[HARD] Required, ∈ {1, 2}</t>
        </is>
      </c>
    </row>
    <row r="198">
      <c r="A198" s="7" t="inlineStr">
        <is>
          <t>q96_sources</t>
        </is>
      </c>
      <c r="B198" s="8" t="inlineStr">
        <is>
          <t>96. Which of the following did you use to pay for the prescribed medicines? (Tick all that apply.)</t>
        </is>
      </c>
      <c r="C198" s="8" t="inlineStr">
        <is>
          <t>96. Which of the following did you use to pay for the prescribed medicines? (Tick all that apply.)</t>
        </is>
      </c>
      <c r="D198" s="8" t="inlineStr">
        <is>
          <t>not asked when Q95 PRESCRIBED = No</t>
        </is>
      </c>
      <c r="E198" s="8" t="inlineStr"/>
      <c r="F198" s="8" t="inlineStr">
        <is>
          <t>G. Outpatient Care (cont. 2)</t>
        </is>
      </c>
      <c r="G198" s="8" t="inlineStr">
        <is>
          <t>alpha 16</t>
        </is>
      </c>
      <c r="H198" s="8" t="inlineStr">
        <is>
          <t>01 = Out-of-pocket
02 = Free/no cost
03 = Free, charge to PhilHealth
04 = Free, charge to Private Insurance
05 = Free, charge to HMO
06 = In kind
07 = Donation</t>
        </is>
      </c>
      <c r="I198" s="8" t="inlineStr">
        <is>
          <t>08 = Don't know</t>
        </is>
      </c>
      <c r="J198" s="8" t="inlineStr"/>
    </row>
    <row r="199">
      <c r="A199" s="9" t="inlineStr">
        <is>
          <t>q96_pay_line</t>
        </is>
      </c>
      <c r="B199" s="10" t="inlineStr">
        <is>
          <t>96 Payment row</t>
        </is>
      </c>
      <c r="C199" s="10" t="inlineStr">
        <is>
          <t>96 Payment row</t>
        </is>
      </c>
      <c r="D199" s="10" t="inlineStr">
        <is>
          <t>not asked when Q95 PRESCRIBED = No</t>
        </is>
      </c>
      <c r="E199" s="10" t="inlineStr"/>
      <c r="F199" s="10" t="inlineStr">
        <is>
          <t>G. Cost of prescribed medicines — amount by source (roster ×8)</t>
        </is>
      </c>
      <c r="G199" s="10" t="inlineStr">
        <is>
          <t>numeric 1</t>
        </is>
      </c>
      <c r="H199" s="10" t="inlineStr"/>
      <c r="I199" s="10" t="inlineStr"/>
      <c r="J199" s="10" t="inlineStr"/>
    </row>
    <row r="200">
      <c r="A200" s="7" t="inlineStr">
        <is>
          <t>q96_pay_src</t>
        </is>
      </c>
      <c r="B200" s="8" t="inlineStr">
        <is>
          <t>96. Payment source (auto-filled from the ticked sources)</t>
        </is>
      </c>
      <c r="C200" s="8" t="inlineStr">
        <is>
          <t>96. Payment source (auto-filled from the ticked sources)</t>
        </is>
      </c>
      <c r="D200" s="8" t="inlineStr">
        <is>
          <t>not asked when Q95 PRESCRIBED = No</t>
        </is>
      </c>
      <c r="E200" s="8" t="inlineStr"/>
      <c r="F200" s="8" t="inlineStr">
        <is>
          <t>G. Cost of prescribed medicines — amount by source (roster ×8)</t>
        </is>
      </c>
      <c r="G200" s="8" t="inlineStr">
        <is>
          <t>numeric 2</t>
        </is>
      </c>
      <c r="H200" s="8" t="inlineStr">
        <is>
          <t>01 = Out-of-pocket
02 = Free/no cost
03 = Free, charge to PhilHealth
04 = Free, charge to Private Insurance
05 = Free, charge to HMO
06 = In kind
07 = Donation</t>
        </is>
      </c>
      <c r="I200" s="8" t="inlineStr">
        <is>
          <t>08 = Don't know</t>
        </is>
      </c>
      <c r="J200" s="8" t="inlineStr"/>
    </row>
    <row r="201">
      <c r="A201" s="9" t="inlineStr">
        <is>
          <t>q96_pay_amt</t>
        </is>
      </c>
      <c r="B201" s="10" t="inlineStr">
        <is>
          <t>96. Amount spent for the prescribed medicines, by source (Pesos)</t>
        </is>
      </c>
      <c r="C201" s="10" t="inlineStr">
        <is>
          <t>Payment source / item: ~~getvaluelabel(Q96_PAY_SRC)~~ 96. Amount spent for the prescribed medicines, by source (Pesos)</t>
        </is>
      </c>
      <c r="D201" s="10" t="inlineStr">
        <is>
          <t>not asked when Q95 PRESCRIBED = No</t>
        </is>
      </c>
      <c r="E201" s="10" t="inlineStr"/>
      <c r="F201" s="10" t="inlineStr">
        <is>
          <t>G. Cost of prescribed medicines — amount by source (roster ×8)</t>
        </is>
      </c>
      <c r="G201" s="10" t="inlineStr">
        <is>
          <t>numeric 8</t>
        </is>
      </c>
      <c r="H201" s="10" t="inlineStr"/>
      <c r="I201" s="10" t="inlineStr"/>
      <c r="J201" s="10" t="inlineStr"/>
    </row>
    <row r="202">
      <c r="A202" s="7" t="inlineStr">
        <is>
          <t>q97_final_amount</t>
        </is>
      </c>
      <c r="B202" s="8" t="inlineStr">
        <is>
          <t>97. What was the final amount you paid in cash for your outpatient care? (Amount in Pesos)</t>
        </is>
      </c>
      <c r="C202" s="8" t="inlineStr">
        <is>
          <t>97. What was the final amount you paid in cash for your outpatient care? (Amount in Pesos)</t>
        </is>
      </c>
      <c r="D202" s="8" t="inlineStr"/>
      <c r="E202" s="8" t="inlineStr"/>
      <c r="F202" s="8" t="inlineStr">
        <is>
          <t>G. Outpatient Care (cont. 3)</t>
        </is>
      </c>
      <c r="G202" s="8" t="inlineStr">
        <is>
          <t>numeric 8</t>
        </is>
      </c>
      <c r="H202" s="8" t="inlineStr"/>
      <c r="I202" s="8" t="inlineStr"/>
      <c r="J202" s="8" t="inlineStr">
        <is>
          <t>[HARD] `0 ≤ amt ≤ 99,999,999`</t>
        </is>
      </c>
    </row>
    <row r="203">
      <c r="A203" s="9" t="inlineStr">
        <is>
          <t>q971_sources</t>
        </is>
      </c>
      <c r="B203" s="10" t="inlineStr">
        <is>
          <t>97.1 Which other items were included in your outpatient bill? (Tick all that apply.)</t>
        </is>
      </c>
      <c r="C203" s="10" t="inlineStr">
        <is>
          <t>97.1 Which other items were included in your outpatient bill? (Tick all that apply.) If patient provides a receipt, select all that apply. If no receipt was provided, read options out loud. Select all that apply. If yes, indicate the amount spent.</t>
        </is>
      </c>
      <c r="D203" s="10" t="inlineStr"/>
      <c r="E203" s="10" t="inlineStr"/>
      <c r="F203" s="10" t="inlineStr">
        <is>
          <t>G. Outpatient Care (cont. 3)</t>
        </is>
      </c>
      <c r="G203" s="10" t="inlineStr">
        <is>
          <t>alpha 8</t>
        </is>
      </c>
      <c r="H203" s="10" t="inlineStr">
        <is>
          <t>01 = Consultation Fee
02 = Medical equipment or supplies
03 = Non-medical expenses (e.g. Hygiene kit)
04 = Other expenses</t>
        </is>
      </c>
      <c r="I203" s="10" t="inlineStr"/>
      <c r="J203" s="10" t="inlineStr"/>
    </row>
    <row r="204">
      <c r="A204" s="7" t="inlineStr">
        <is>
          <t>q971_pay_line</t>
        </is>
      </c>
      <c r="B204" s="8" t="inlineStr">
        <is>
          <t>97.1 Payment row</t>
        </is>
      </c>
      <c r="C204" s="8" t="inlineStr">
        <is>
          <t>97.1 Payment row If patient provides a receipt, select all that apply. If no receipt was provided, read options out loud. Select all that apply. If yes, indicate the amount spent.</t>
        </is>
      </c>
      <c r="D204" s="8" t="inlineStr"/>
      <c r="E204" s="8" t="inlineStr"/>
      <c r="F204" s="8" t="inlineStr">
        <is>
          <t>G. Other items in outpatient bill — amount by category (roster ×4)</t>
        </is>
      </c>
      <c r="G204" s="8" t="inlineStr">
        <is>
          <t>numeric 1</t>
        </is>
      </c>
      <c r="H204" s="8" t="inlineStr"/>
      <c r="I204" s="8" t="inlineStr"/>
      <c r="J204" s="8" t="inlineStr"/>
    </row>
    <row r="205">
      <c r="A205" s="9" t="inlineStr">
        <is>
          <t>q971_pay_src</t>
        </is>
      </c>
      <c r="B205" s="10" t="inlineStr">
        <is>
          <t>97.1 Category (auto-filled from the ticked items)</t>
        </is>
      </c>
      <c r="C205" s="10" t="inlineStr">
        <is>
          <t>97.1 Category (auto-filled from the ticked items) If patient provides a receipt, select all that apply. If no receipt was provided, read options out loud. Select all that apply. If yes, indicate the amount spent.</t>
        </is>
      </c>
      <c r="D205" s="10" t="inlineStr"/>
      <c r="E205" s="10" t="inlineStr"/>
      <c r="F205" s="10" t="inlineStr">
        <is>
          <t>G. Other items in outpatient bill — amount by category (roster ×4)</t>
        </is>
      </c>
      <c r="G205" s="10" t="inlineStr">
        <is>
          <t>numeric 2</t>
        </is>
      </c>
      <c r="H205" s="10" t="inlineStr">
        <is>
          <t>01 = Consultation Fee
02 = Medical equipment or supplies
03 = Non-medical expenses (e.g. Hygiene kit)
04 = Other expenses</t>
        </is>
      </c>
      <c r="I205" s="10" t="inlineStr"/>
      <c r="J205" s="10" t="inlineStr"/>
    </row>
    <row r="206">
      <c r="A206" s="7" t="inlineStr">
        <is>
          <t>q971_pay_amt</t>
        </is>
      </c>
      <c r="B206" s="8" t="inlineStr">
        <is>
          <t>97.1 Amount charged for this item (Pesos)</t>
        </is>
      </c>
      <c r="C206" s="8" t="inlineStr">
        <is>
          <t>Payment source / item: ~~getvaluelabel(Q971_PAY_SRC)~~ 97.1 Amount charged for this item (Pesos) If patient provides a receipt, select all that apply. If no receipt was provided, read options out loud. Select all that apply. If yes, indicate the amount spent.</t>
        </is>
      </c>
      <c r="D206" s="8" t="inlineStr"/>
      <c r="E206" s="8" t="inlineStr"/>
      <c r="F206" s="8" t="inlineStr">
        <is>
          <t>G. Other items in outpatient bill — amount by category (roster ×4)</t>
        </is>
      </c>
      <c r="G206" s="8" t="inlineStr">
        <is>
          <t>numeric 8</t>
        </is>
      </c>
      <c r="H206" s="8" t="inlineStr"/>
      <c r="I206" s="8" t="inlineStr"/>
      <c r="J206" s="8" t="inlineStr"/>
    </row>
    <row r="207">
      <c r="A207" s="9" t="inlineStr">
        <is>
          <t>q971_other_txt</t>
        </is>
      </c>
      <c r="B207" s="10" t="inlineStr">
        <is>
          <t>97.1 Other expenses — specify text</t>
        </is>
      </c>
      <c r="C207" s="10" t="inlineStr">
        <is>
          <t>97.1 Other expenses — specify text</t>
        </is>
      </c>
      <c r="D207" s="10" t="inlineStr"/>
      <c r="E207" s="10" t="inlineStr"/>
      <c r="F207" s="10" t="inlineStr">
        <is>
          <t>G. Outpatient Care (cont. 4)</t>
        </is>
      </c>
      <c r="G207" s="10" t="inlineStr">
        <is>
          <t>alpha 120</t>
        </is>
      </c>
      <c r="H207" s="10" t="inlineStr"/>
      <c r="I207" s="10" t="inlineStr"/>
      <c r="J207" s="10" t="inlineStr"/>
    </row>
    <row r="208">
      <c r="A208" s="7" t="inlineStr">
        <is>
          <t>q972_sources</t>
        </is>
      </c>
      <c r="B208" s="8" t="inlineStr">
        <is>
          <t>97.2 Which other expenses did you have during the OPD visit that were NOT in the bill? (Tick all that apply.)</t>
        </is>
      </c>
      <c r="C208" s="8" t="inlineStr">
        <is>
          <t>97.2 Which other expenses did you have during the OPD visit that were NOT in the bill? (Tick all that apply.)</t>
        </is>
      </c>
      <c r="D208" s="8" t="inlineStr"/>
      <c r="E208" s="8" t="inlineStr"/>
      <c r="F208" s="8" t="inlineStr">
        <is>
          <t>G. Outpatient Care (cont. 4)</t>
        </is>
      </c>
      <c r="G208" s="8" t="inlineStr">
        <is>
          <t>alpha 12</t>
        </is>
      </c>
      <c r="H208" s="8" t="inlineStr">
        <is>
          <t>01 = a) Consultation Fee
02 = b) Diagnostic or laboratory procedure
03 = c) Medical equipment or supplies
04 = d) Medicines or drugs
05 = e) Non-medical expenses: travel
06 = f) Other expenses</t>
        </is>
      </c>
      <c r="I208" s="8" t="inlineStr"/>
      <c r="J208" s="8" t="inlineStr"/>
    </row>
    <row r="209">
      <c r="A209" s="9" t="inlineStr">
        <is>
          <t>q972_pay_line</t>
        </is>
      </c>
      <c r="B209" s="10" t="inlineStr">
        <is>
          <t>97.2 Payment row</t>
        </is>
      </c>
      <c r="C209" s="10" t="inlineStr">
        <is>
          <t>97.2 Payment row</t>
        </is>
      </c>
      <c r="D209" s="10" t="inlineStr"/>
      <c r="E209" s="10" t="inlineStr"/>
      <c r="F209" s="10" t="inlineStr">
        <is>
          <t>G. Other expenses not in bill — amount by item (roster ×6)</t>
        </is>
      </c>
      <c r="G209" s="10" t="inlineStr">
        <is>
          <t>numeric 1</t>
        </is>
      </c>
      <c r="H209" s="10" t="inlineStr"/>
      <c r="I209" s="10" t="inlineStr"/>
      <c r="J209" s="10" t="inlineStr"/>
    </row>
    <row r="210">
      <c r="A210" s="7" t="inlineStr">
        <is>
          <t>q972_pay_src</t>
        </is>
      </c>
      <c r="B210" s="8" t="inlineStr">
        <is>
          <t>97.2 Expense item (auto-filled from the ticked items)</t>
        </is>
      </c>
      <c r="C210" s="8" t="inlineStr">
        <is>
          <t>97.2 Expense item (auto-filled from the ticked items)</t>
        </is>
      </c>
      <c r="D210" s="8" t="inlineStr"/>
      <c r="E210" s="8" t="inlineStr"/>
      <c r="F210" s="8" t="inlineStr">
        <is>
          <t>G. Other expenses not in bill — amount by item (roster ×6)</t>
        </is>
      </c>
      <c r="G210" s="8" t="inlineStr">
        <is>
          <t>numeric 2</t>
        </is>
      </c>
      <c r="H210" s="8" t="inlineStr">
        <is>
          <t>01 = a) Consultation Fee
02 = b) Diagnostic or laboratory procedure
03 = c) Medical equipment or supplies
04 = d) Medicines or drugs
05 = e) Non-medical expenses: travel
06 = f) Other expenses</t>
        </is>
      </c>
      <c r="I210" s="8" t="inlineStr"/>
      <c r="J210" s="8" t="inlineStr"/>
    </row>
    <row r="211">
      <c r="A211" s="9" t="inlineStr">
        <is>
          <t>q972_pay_amt</t>
        </is>
      </c>
      <c r="B211" s="10" t="inlineStr">
        <is>
          <t>97.2 Amount for this expense (Pesos)</t>
        </is>
      </c>
      <c r="C211" s="10" t="inlineStr">
        <is>
          <t>Payment source / item: ~~getvaluelabel(Q972_PAY_SRC)~~ 97.2 Amount for this expense (Pesos)</t>
        </is>
      </c>
      <c r="D211" s="10" t="inlineStr"/>
      <c r="E211" s="10" t="inlineStr"/>
      <c r="F211" s="10" t="inlineStr">
        <is>
          <t>G. Other expenses not in bill — amount by item (roster ×6)</t>
        </is>
      </c>
      <c r="G211" s="10" t="inlineStr">
        <is>
          <t>numeric 8</t>
        </is>
      </c>
      <c r="H211" s="10" t="inlineStr"/>
      <c r="I211" s="10" t="inlineStr"/>
      <c r="J211" s="10" t="inlineStr"/>
    </row>
    <row r="212">
      <c r="A212" s="7" t="inlineStr">
        <is>
          <t>q972_other_txt</t>
        </is>
      </c>
      <c r="B212" s="8" t="inlineStr">
        <is>
          <t>97.2 Other expenses — specify text</t>
        </is>
      </c>
      <c r="C212" s="8" t="inlineStr">
        <is>
          <t>97.2 Other expenses — specify text</t>
        </is>
      </c>
      <c r="D212" s="8" t="inlineStr"/>
      <c r="E212" s="8" t="inlineStr"/>
      <c r="F212" s="8" t="inlineStr">
        <is>
          <t>G. Outpatient Care (cont. 5)</t>
        </is>
      </c>
      <c r="G212" s="8" t="inlineStr">
        <is>
          <t>alpha 120</t>
        </is>
      </c>
      <c r="H212" s="8" t="inlineStr"/>
      <c r="I212" s="8" t="inlineStr"/>
      <c r="J212" s="8" t="inlineStr"/>
    </row>
    <row r="213">
      <c r="A213" s="9" t="inlineStr">
        <is>
          <t>q98_sources</t>
        </is>
      </c>
      <c r="B213" s="10" t="inlineStr">
        <is>
          <t>98. Which of the following did you use to pay for the medical costs? (Tick all that apply.)</t>
        </is>
      </c>
      <c r="C213" s="10" t="inlineStr">
        <is>
          <t>I would like to know where you got the money to pay for medical costs incurred (IN ___, and ____) at the (FACILITY TYPE IN ___). 98. Which of the following did you use to pay for the medical costs? (Tick all that apply.)</t>
        </is>
      </c>
      <c r="D213" s="10" t="inlineStr"/>
      <c r="E213" s="10" t="inlineStr"/>
      <c r="F213" s="10" t="inlineStr">
        <is>
          <t>G. Outpatient Care (cont. 5)</t>
        </is>
      </c>
      <c r="G213" s="10" t="inlineStr">
        <is>
          <t>alpha 30</t>
        </is>
      </c>
      <c r="H213" s="10" t="inlineStr">
        <is>
          <t>01 = Salary/income
02 = Loan/Mortgage
03 = Savings
04 = Donation/Charity/Assistance from Private Organization
05 = Malasakit Center
06 = Other Donation/Charity/Assistance from Government Organization
07 = Sale of Assets
08 = Paid by someone else
09 = MAIFIP
10 = PhilHealth
11 = SSS
12 = GSIS
13 = Private Insurance
14 = HMO
15 = Other (specify)</t>
        </is>
      </c>
      <c r="I213" s="10" t="inlineStr"/>
      <c r="J213" s="10" t="inlineStr"/>
    </row>
    <row r="214">
      <c r="A214" s="7" t="inlineStr">
        <is>
          <t>q98_pay_line</t>
        </is>
      </c>
      <c r="B214" s="8" t="inlineStr">
        <is>
          <t>98 Payment row</t>
        </is>
      </c>
      <c r="C214" s="8" t="inlineStr">
        <is>
          <t>98 Payment row</t>
        </is>
      </c>
      <c r="D214" s="8" t="inlineStr"/>
      <c r="E214" s="8" t="inlineStr"/>
      <c r="F214" s="8" t="inlineStr">
        <is>
          <t>G. Sources of money for medical costs — amount by source (roster ×15)</t>
        </is>
      </c>
      <c r="G214" s="8" t="inlineStr">
        <is>
          <t>numeric 1</t>
        </is>
      </c>
      <c r="H214" s="8" t="inlineStr"/>
      <c r="I214" s="8" t="inlineStr"/>
      <c r="J214" s="8" t="inlineStr"/>
    </row>
    <row r="215">
      <c r="A215" s="9" t="inlineStr">
        <is>
          <t>q98_pay_src</t>
        </is>
      </c>
      <c r="B215" s="10" t="inlineStr">
        <is>
          <t>98. Source of money (auto-filled from the ticked sources)</t>
        </is>
      </c>
      <c r="C215" s="10" t="inlineStr">
        <is>
          <t>98. Source of money (auto-filled from the ticked sources)</t>
        </is>
      </c>
      <c r="D215" s="10" t="inlineStr"/>
      <c r="E215" s="10" t="inlineStr"/>
      <c r="F215" s="10" t="inlineStr">
        <is>
          <t>G. Sources of money for medical costs — amount by source (roster ×15)</t>
        </is>
      </c>
      <c r="G215" s="10" t="inlineStr">
        <is>
          <t>numeric 2</t>
        </is>
      </c>
      <c r="H215" s="10" t="inlineStr">
        <is>
          <t>01 = Salary/income
02 = Loan/Mortgage
03 = Savings
04 = Donation/Charity/Assistance from Private Organization
05 = Malasakit Center
06 = Other Donation/Charity/Assistance from Government Organization
07 = Sale of Assets
08 = Paid by someone else
09 = MAIFIP
10 = PhilHealth
11 = SSS
12 = GSIS
13 = Private Insurance
14 = HMO
15 = Other (specify)</t>
        </is>
      </c>
      <c r="I215" s="10" t="inlineStr"/>
      <c r="J215" s="10" t="inlineStr"/>
    </row>
    <row r="216">
      <c r="A216" s="7" t="inlineStr">
        <is>
          <t>q98_pay_amt</t>
        </is>
      </c>
      <c r="B216" s="8" t="inlineStr">
        <is>
          <t>98. Amount from this source (Pesos)</t>
        </is>
      </c>
      <c r="C216" s="8" t="inlineStr">
        <is>
          <t>Payment source / item: ~~getvaluelabel(Q98_PAY_SRC)~~ 98. Amount from this source (Pesos)</t>
        </is>
      </c>
      <c r="D216" s="8" t="inlineStr"/>
      <c r="E216" s="8" t="inlineStr"/>
      <c r="F216" s="8" t="inlineStr">
        <is>
          <t>G. Sources of money for medical costs — amount by source (roster ×15)</t>
        </is>
      </c>
      <c r="G216" s="8" t="inlineStr">
        <is>
          <t>numeric 8</t>
        </is>
      </c>
      <c r="H216" s="8" t="inlineStr"/>
      <c r="I216" s="8" t="inlineStr"/>
      <c r="J216" s="8" t="inlineStr"/>
    </row>
    <row r="217">
      <c r="A217" s="9" t="inlineStr">
        <is>
          <t>q98_other_donation_txt</t>
        </is>
      </c>
      <c r="B217" s="10" t="inlineStr">
        <is>
          <t>98. Other Donation/Charity/Assistance from Government Organization — specify text</t>
        </is>
      </c>
      <c r="C217" s="10" t="inlineStr">
        <is>
          <t>98. Other Donation/Charity/Assistance from Government Organization — specify text</t>
        </is>
      </c>
      <c r="D217" s="10" t="inlineStr"/>
      <c r="E217" s="10" t="inlineStr"/>
      <c r="F217" s="10" t="inlineStr">
        <is>
          <t>G. Outpatient Care (cont. 6)</t>
        </is>
      </c>
      <c r="G217" s="10" t="inlineStr">
        <is>
          <t>alpha 120</t>
        </is>
      </c>
      <c r="H217" s="10" t="inlineStr"/>
      <c r="I217" s="10" t="inlineStr"/>
      <c r="J217" s="10" t="inlineStr"/>
    </row>
    <row r="218">
      <c r="A218" s="7" t="inlineStr">
        <is>
          <t>q98_other_txt</t>
        </is>
      </c>
      <c r="B218" s="8" t="inlineStr">
        <is>
          <t>98. Other payment source — specify text</t>
        </is>
      </c>
      <c r="C218" s="8" t="inlineStr">
        <is>
          <t>98. Other payment source — specify text</t>
        </is>
      </c>
      <c r="D218" s="8" t="inlineStr"/>
      <c r="E218" s="8" t="inlineStr"/>
      <c r="F218" s="8" t="inlineStr">
        <is>
          <t>G. Outpatient Care (cont. 6)</t>
        </is>
      </c>
      <c r="G218" s="8" t="inlineStr">
        <is>
          <t>alpha 120</t>
        </is>
      </c>
      <c r="H218" s="8" t="inlineStr"/>
      <c r="I218" s="8" t="inlineStr"/>
      <c r="J218" s="8" t="inlineStr"/>
    </row>
    <row r="219">
      <c r="A219" s="9" t="inlineStr">
        <is>
          <t>area_has_bucas</t>
        </is>
      </c>
      <c r="B219" s="10" t="inlineStr">
        <is>
          <t>Does this area have a Bagong Urgent Care and Ambulatory Services (BUCAS) center? (Q99-Q104 apply only to areas with a BUCAS center.)</t>
        </is>
      </c>
      <c r="C219" s="10" t="inlineStr">
        <is>
          <t>Does this area have a Bagong Urgent Care and Ambulatory Services (BUCAS) center? (Q99-Q104 apply only to areas with a BUCAS center.)</t>
        </is>
      </c>
      <c r="D219" s="10" t="inlineStr"/>
      <c r="E219" s="10" t="inlineStr"/>
      <c r="F219" s="10" t="inlineStr">
        <is>
          <t>G. Outpatient Care (cont. 6)</t>
        </is>
      </c>
      <c r="G219" s="10" t="inlineStr">
        <is>
          <t>numeric 1</t>
        </is>
      </c>
      <c r="H219" s="10" t="inlineStr">
        <is>
          <t>1 = Yes
2 = No</t>
        </is>
      </c>
      <c r="I219" s="10" t="inlineStr"/>
      <c r="J219" s="10" t="inlineStr"/>
    </row>
    <row r="220">
      <c r="A220" s="7" t="inlineStr">
        <is>
          <t>q99_bucas_heard</t>
        </is>
      </c>
      <c r="B220" s="8" t="inlineStr">
        <is>
          <t>99. Have you heard about Bagong Urgent Care and Ambulatory Services (BUCAS) center?</t>
        </is>
      </c>
      <c r="C220" s="8" t="inlineStr">
        <is>
          <t>We will now ask about the patient’s awareness about BUCAS and the services they accessed in a BUCAS Center. Q99 to Q103 are applicable only to respondents in areas with BUCAS center. Otherwise, skip. 99. Have you heard about Bagong Urgent Care and Ambulatory Services (BUCAS) center?</t>
        </is>
      </c>
      <c r="D220" s="8" t="inlineStr"/>
      <c r="E220" s="8">
        <f> No → Q115 as printed — source prints `&lt;proceed to Q115&gt;` which crosses out of Section G into Section H. See sanity finding #9; default behaviour: skip to end of Section G (i.e., skip Q100–Q104)</f>
        <v/>
      </c>
      <c r="F220" s="8" t="inlineStr">
        <is>
          <t>G. Outpatient Care (cont. 6)</t>
        </is>
      </c>
      <c r="G220" s="8" t="inlineStr">
        <is>
          <t>numeric 1</t>
        </is>
      </c>
      <c r="H220" s="8" t="inlineStr">
        <is>
          <t>1 = Yes
2 = No</t>
        </is>
      </c>
      <c r="I220" s="8" t="inlineStr"/>
      <c r="J220" s="8" t="inlineStr">
        <is>
          <t>[HARD (conditional)] Required when enumerator judges area has BUCAS (see sanity #11); else may be blank</t>
        </is>
      </c>
    </row>
    <row r="221">
      <c r="A221" s="9" t="inlineStr">
        <is>
          <t>q100_bucas_source</t>
        </is>
      </c>
      <c r="B221" s="10" t="inlineStr">
        <is>
          <t>100. If yes, what are your sources of information about this BUCAS center?</t>
        </is>
      </c>
      <c r="C221" s="10" t="inlineStr">
        <is>
          <t>100. If yes, what are your sources of information about this BUCAS center?</t>
        </is>
      </c>
      <c r="D221" s="10" t="inlineStr">
        <is>
          <t>not asked when Q99 BUCAS_HEARD = No</t>
        </is>
      </c>
      <c r="E221" s="10" t="inlineStr"/>
      <c r="F221" s="10" t="inlineStr">
        <is>
          <t>G. Outpatient Care (cont. 6)</t>
        </is>
      </c>
      <c r="G221" s="10" t="inlineStr">
        <is>
          <t>alpha 16</t>
        </is>
      </c>
      <c r="H221" s="10" t="inlineStr">
        <is>
          <t>01 = News
02 = Legislation
03 = Social Media
04 = Friends / Family
05 = Health center/facility
06 = LGU/Barangay
99 = Other (Specify)</t>
        </is>
      </c>
      <c r="I221" s="10" t="inlineStr">
        <is>
          <t>90 = I don't know</t>
        </is>
      </c>
      <c r="J221" s="10" t="inlineStr">
        <is>
          <t>[HARD] ≥ 1 option ticked when enabled
[HARD] Cannot be combined with any other option</t>
        </is>
      </c>
    </row>
    <row r="222">
      <c r="A222" s="7" t="inlineStr">
        <is>
          <t>q100_bucas_source_other_txt</t>
        </is>
      </c>
      <c r="B222" s="8" t="inlineStr">
        <is>
          <t>100. If yes, what are your sources of information about this BUCAS center? — Other (specify) text</t>
        </is>
      </c>
      <c r="C222" s="8" t="inlineStr">
        <is>
          <t>100. If yes, what are your sources of information about this BUCAS center? — Other (specify) text</t>
        </is>
      </c>
      <c r="D222" s="8" t="inlineStr">
        <is>
          <t>not asked when Q99 BUCAS_HEARD = No</t>
        </is>
      </c>
      <c r="E222" s="8" t="inlineStr"/>
      <c r="F222" s="8" t="inlineStr">
        <is>
          <t>G. Outpatient Care (cont. 6)</t>
        </is>
      </c>
      <c r="G222" s="8" t="inlineStr">
        <is>
          <t>alpha 120</t>
        </is>
      </c>
      <c r="H222" s="8" t="inlineStr"/>
      <c r="I222" s="8" t="inlineStr"/>
      <c r="J222" s="8" t="inlineStr"/>
    </row>
    <row r="223">
      <c r="A223" s="9" t="inlineStr">
        <is>
          <t>q101_bucas_understand</t>
        </is>
      </c>
      <c r="B223" s="10" t="inlineStr">
        <is>
          <t>101. What is your understanding about a BUCAS center?</t>
        </is>
      </c>
      <c r="C223" s="10" t="inlineStr">
        <is>
          <t>101. What is your understanding about a BUCAS center? DO NOT READ OPTIONS OUT LOUD. SELECT ALL THAT APPLY.</t>
        </is>
      </c>
      <c r="D223" s="10" t="inlineStr"/>
      <c r="E223" s="10" t="inlineStr"/>
      <c r="F223" s="10" t="inlineStr">
        <is>
          <t>G. Outpatient Care (cont. 6)</t>
        </is>
      </c>
      <c r="G223" s="10" t="inlineStr">
        <is>
          <t>alpha 10</t>
        </is>
      </c>
      <c r="H223" s="10" t="inlineStr">
        <is>
          <t>01 = Provides urgent care for non-life-threatening/serious conditions
02 = Offers outpatient and ambulatory health services
03 = Helps reduce overcrowding in hospitals
04 = Allows access to timely medical consultation and treatment
99 = Other (specify)</t>
        </is>
      </c>
      <c r="I223" s="10" t="inlineStr"/>
      <c r="J223" s="10" t="inlineStr">
        <is>
          <t>[HARD] ≥ 1 option ticked when enabled</t>
        </is>
      </c>
    </row>
    <row r="224">
      <c r="A224" s="7" t="inlineStr">
        <is>
          <t>q101_bucas_understand_other_txt</t>
        </is>
      </c>
      <c r="B224" s="8" t="inlineStr">
        <is>
          <t>101. What is your understanding about a BUCAS center? — Other (specify) text</t>
        </is>
      </c>
      <c r="C224" s="8" t="inlineStr">
        <is>
          <t>101. What is your understanding about a BUCAS center? — Other (specify) text</t>
        </is>
      </c>
      <c r="D224" s="8" t="inlineStr"/>
      <c r="E224" s="8" t="inlineStr"/>
      <c r="F224" s="8" t="inlineStr">
        <is>
          <t>G. Outpatient Care (cont. 6)</t>
        </is>
      </c>
      <c r="G224" s="8" t="inlineStr">
        <is>
          <t>alpha 120</t>
        </is>
      </c>
      <c r="H224" s="8" t="inlineStr"/>
      <c r="I224" s="8" t="inlineStr"/>
      <c r="J224" s="8" t="inlineStr"/>
    </row>
    <row r="225">
      <c r="A225" s="9" t="inlineStr">
        <is>
          <t>q102_bucas_accessed</t>
        </is>
      </c>
      <c r="B225" s="10" t="inlineStr">
        <is>
          <t>102. Have you accessed the services in a BUCAS center?</t>
        </is>
      </c>
      <c r="C225" s="10" t="inlineStr">
        <is>
          <t>102. Have you accessed the services in a BUCAS center?</t>
        </is>
      </c>
      <c r="D225" s="10" t="inlineStr"/>
      <c r="E225" s="10">
        <f> No → Q104 (skip Q103)</f>
        <v/>
      </c>
      <c r="F225" s="10" t="inlineStr">
        <is>
          <t>G. Outpatient Care (cont. 6)</t>
        </is>
      </c>
      <c r="G225" s="10" t="inlineStr">
        <is>
          <t>numeric 1</t>
        </is>
      </c>
      <c r="H225" s="10" t="inlineStr">
        <is>
          <t>1 = Yes
2 = No</t>
        </is>
      </c>
      <c r="I225" s="10" t="inlineStr"/>
      <c r="J225" s="10" t="inlineStr">
        <is>
          <t>[HARD] Required when Q99 = Yes, ∈ {1, 2}</t>
        </is>
      </c>
    </row>
    <row r="226">
      <c r="A226" s="7" t="inlineStr">
        <is>
          <t>q103_bucas_services</t>
        </is>
      </c>
      <c r="B226" s="8" t="inlineStr">
        <is>
          <t>103. If yes, which service/s did you avail?</t>
        </is>
      </c>
      <c r="C226" s="8" t="inlineStr">
        <is>
          <t>103. If yes, which service/s did you avail?</t>
        </is>
      </c>
      <c r="D226" s="8" t="inlineStr">
        <is>
          <t>not asked when Q102 BUCAS_ACCESSED = No</t>
        </is>
      </c>
      <c r="E226" s="8" t="inlineStr"/>
      <c r="F226" s="8" t="inlineStr">
        <is>
          <t>G. Outpatient Care (cont. 6)</t>
        </is>
      </c>
      <c r="G226" s="8" t="inlineStr">
        <is>
          <t>alpha 14</t>
        </is>
      </c>
      <c r="H226" s="8" t="inlineStr">
        <is>
          <t>01 = Medical consultation for urgent or minor conditions (e.g., fevers, flu-like symptoms, Urinary tract infections (UTIs), sprains, small burns, etc.)
02 = Outpatient or ambulatory care services
03 = Basic diagnostic services (e.g., laboratory tests, X-ray)
04 = Minor procedures or treatments (e.g., wound suturing, biopsies, and other conditions requiring minimal anesthesia and a short recovery time)
05 = Referral to higher-level health facilities
99 = Other (specify)</t>
        </is>
      </c>
      <c r="I226" s="8" t="inlineStr">
        <is>
          <t>90 = I don't know</t>
        </is>
      </c>
      <c r="J226" s="8" t="inlineStr">
        <is>
          <t>[HARD] ≥ 1 option ticked when enabled
[HARD] Cannot be combined with any other option</t>
        </is>
      </c>
    </row>
    <row r="227">
      <c r="A227" s="9" t="inlineStr">
        <is>
          <t>q103_bucas_services_other_txt</t>
        </is>
      </c>
      <c r="B227" s="10" t="inlineStr">
        <is>
          <t>103. If yes, which service/s did you avail? — Other (specify) text</t>
        </is>
      </c>
      <c r="C227" s="10" t="inlineStr">
        <is>
          <t>103. If yes, which service/s did you avail? — Other (specify) text</t>
        </is>
      </c>
      <c r="D227" s="10" t="inlineStr">
        <is>
          <t>not asked when Q102 BUCAS_ACCESSED = No</t>
        </is>
      </c>
      <c r="E227" s="10" t="inlineStr"/>
      <c r="F227" s="10" t="inlineStr">
        <is>
          <t>G. Outpatient Care (cont. 6)</t>
        </is>
      </c>
      <c r="G227" s="10" t="inlineStr">
        <is>
          <t>alpha 120</t>
        </is>
      </c>
      <c r="H227" s="10" t="inlineStr"/>
      <c r="I227" s="10" t="inlineStr"/>
      <c r="J227" s="10" t="inlineStr"/>
    </row>
    <row r="228">
      <c r="A228" s="7" t="inlineStr">
        <is>
          <t>q104_without_bucas</t>
        </is>
      </c>
      <c r="B228" s="8" t="inlineStr">
        <is>
          <t>104. Without BUCAS Center, where would you have gone?</t>
        </is>
      </c>
      <c r="C228" s="8" t="inlineStr">
        <is>
          <t>104. Without BUCAS Center, where would you have gone?</t>
        </is>
      </c>
      <c r="D228" s="8" t="inlineStr">
        <is>
          <t>not asked when Q99 BUCAS_HEARD = No</t>
        </is>
      </c>
      <c r="E228" s="8" t="inlineStr"/>
      <c r="F228" s="8" t="inlineStr">
        <is>
          <t>G. Outpatient Care (cont. 6)</t>
        </is>
      </c>
      <c r="G228" s="8" t="inlineStr">
        <is>
          <t>numeric 1</t>
        </is>
      </c>
      <c r="H228" s="8" t="inlineStr">
        <is>
          <t>1 = Another DOH hospital
2 = Private clinic/hospital
3 = LGU hospital
4 = Rural Health Unit / Health Center
5 = Would not seek care
6 = Others</t>
        </is>
      </c>
      <c r="I228" s="8" t="inlineStr"/>
      <c r="J228" s="8" t="inlineStr">
        <is>
          <t>[HARD] Required when Q99 = Yes, ∈ {1–6}</t>
        </is>
      </c>
    </row>
    <row r="229">
      <c r="A229" s="9" t="inlineStr">
        <is>
          <t>q104_without_bucas_other_txt</t>
        </is>
      </c>
      <c r="B229" s="10" t="inlineStr">
        <is>
          <t>104. Without BUCAS — Others specify text</t>
        </is>
      </c>
      <c r="C229" s="10" t="inlineStr">
        <is>
          <t>104. Without BUCAS — Others specify text</t>
        </is>
      </c>
      <c r="D229" s="10" t="inlineStr">
        <is>
          <t>not asked when Q99 BUCAS_HEARD = No</t>
        </is>
      </c>
      <c r="E229" s="10" t="inlineStr"/>
      <c r="F229" s="10" t="inlineStr">
        <is>
          <t>G. Outpatient Care (cont. 6)</t>
        </is>
      </c>
      <c r="G229" s="10" t="inlineStr">
        <is>
          <t>alpha 120</t>
        </is>
      </c>
      <c r="H229" s="10" t="inlineStr"/>
      <c r="I229" s="10" t="inlineStr"/>
      <c r="J229" s="10" t="inlineStr"/>
    </row>
    <row r="230">
      <c r="A230" s="7" t="inlineStr">
        <is>
          <t>q105_reason</t>
        </is>
      </c>
      <c r="B230" s="8" t="inlineStr">
        <is>
          <t>105. Why are you confined in the hospital?</t>
        </is>
      </c>
      <c r="C230" s="8" t="inlineStr">
        <is>
          <t>For the following questions, we will ask about the patient’s most current inpatient visit. 105. Why are you confined in the hospital?</t>
        </is>
      </c>
      <c r="D230" s="8" t="inlineStr"/>
      <c r="E230" s="8" t="inlineStr"/>
      <c r="F230" s="8" t="inlineStr">
        <is>
          <t>H. Inpatient Care</t>
        </is>
      </c>
      <c r="G230" s="8" t="inlineStr">
        <is>
          <t>numeric 1</t>
        </is>
      </c>
      <c r="H230" s="8" t="inlineStr">
        <is>
          <t>1 = Sick
2 = Injured
3 = Gave birth
4 = Executive check-up
5 = Other (specify)</t>
        </is>
      </c>
      <c r="I230" s="8" t="inlineStr"/>
      <c r="J230" s="8" t="inlineStr">
        <is>
          <t>[HARD] Required, ∈ {1–5}</t>
        </is>
      </c>
    </row>
    <row r="231">
      <c r="A231" s="9" t="inlineStr">
        <is>
          <t>q105_reason_other_txt</t>
        </is>
      </c>
      <c r="B231" s="10" t="inlineStr">
        <is>
          <t>105. Confinement reason — Other (specify) text</t>
        </is>
      </c>
      <c r="C231" s="10" t="inlineStr">
        <is>
          <t>105. Confinement reason — Other (specify) text</t>
        </is>
      </c>
      <c r="D231" s="10" t="inlineStr"/>
      <c r="E231" s="10" t="inlineStr"/>
      <c r="F231" s="10" t="inlineStr">
        <is>
          <t>H. Inpatient Care</t>
        </is>
      </c>
      <c r="G231" s="10" t="inlineStr">
        <is>
          <t>alpha 120</t>
        </is>
      </c>
      <c r="H231" s="10" t="inlineStr"/>
      <c r="I231" s="10" t="inlineStr"/>
      <c r="J231" s="10" t="inlineStr"/>
    </row>
    <row r="232">
      <c r="A232" s="7" t="inlineStr">
        <is>
          <t>q106_nights</t>
        </is>
      </c>
      <c r="B232" s="8" t="inlineStr">
        <is>
          <t>106. How long were you confined? — Nights</t>
        </is>
      </c>
      <c r="C232" s="8" t="inlineStr">
        <is>
          <t>106. How long were you confined? — Nights</t>
        </is>
      </c>
      <c r="D232" s="8" t="inlineStr"/>
      <c r="E232" s="8" t="inlineStr"/>
      <c r="F232" s="8" t="inlineStr">
        <is>
          <t>H. Inpatient Care</t>
        </is>
      </c>
      <c r="G232" s="8" t="inlineStr">
        <is>
          <t>numeric 3</t>
        </is>
      </c>
      <c r="H232" s="8" t="inlineStr"/>
      <c r="I232" s="8" t="inlineStr"/>
      <c r="J232" s="8" t="inlineStr">
        <is>
          <t>[HARD + SOFT] `0 ≤ nights ≤ 365` (warn if &gt; 90)</t>
        </is>
      </c>
    </row>
    <row r="233">
      <c r="A233" s="9" t="inlineStr">
        <is>
          <t>q106_days</t>
        </is>
      </c>
      <c r="B233" s="10" t="inlineStr">
        <is>
          <t>106. How long were you confined? — Days</t>
        </is>
      </c>
      <c r="C233" s="10" t="inlineStr">
        <is>
          <t>106. How long were you confined? — Days</t>
        </is>
      </c>
      <c r="D233" s="10" t="inlineStr"/>
      <c r="E233" s="10" t="inlineStr"/>
      <c r="F233" s="10" t="inlineStr">
        <is>
          <t>H. Inpatient Care</t>
        </is>
      </c>
      <c r="G233" s="10" t="inlineStr">
        <is>
          <t>numeric 3</t>
        </is>
      </c>
      <c r="H233" s="10" t="inlineStr"/>
      <c r="I233" s="10" t="inlineStr"/>
      <c r="J233" s="10" t="inlineStr">
        <is>
          <t>[HARD + SOFT] `0 ≤ days ≤ 365`   (warn if &gt; 90)</t>
        </is>
      </c>
    </row>
    <row r="234">
      <c r="A234" s="7" t="inlineStr">
        <is>
          <t>q107_sources</t>
        </is>
      </c>
      <c r="B234" s="8" t="inlineStr">
        <is>
          <t>107. Which of the following did you use to pay for the total bill for confinement? (Tick all that apply.)</t>
        </is>
      </c>
      <c r="C234" s="8" t="inlineStr">
        <is>
          <t>107. Which of the following did you use to pay for the total bill for confinement? (Tick all that apply.)</t>
        </is>
      </c>
      <c r="D234" s="8" t="inlineStr"/>
      <c r="E234" s="8" t="inlineStr"/>
      <c r="F234" s="8" t="inlineStr">
        <is>
          <t>H. Inpatient Care</t>
        </is>
      </c>
      <c r="G234" s="8" t="inlineStr">
        <is>
          <t>alpha 20</t>
        </is>
      </c>
      <c r="H234" s="8" t="inlineStr">
        <is>
          <t>01 = Out-of-pocket
02 = Free/no cost
03 = Free, charge to PhilHealth
04 = Free, charge to Private Insurance
05 = Free, charge to HMO
06 = Free, charge to MAIFIP
07 = Donation
08 = In kind
10 = Other</t>
        </is>
      </c>
      <c r="I234" s="8" t="inlineStr">
        <is>
          <t>09 = Don't know</t>
        </is>
      </c>
      <c r="J234" s="8" t="inlineStr"/>
    </row>
    <row r="235">
      <c r="A235" s="9" t="inlineStr">
        <is>
          <t>q107_pay_line</t>
        </is>
      </c>
      <c r="B235" s="10" t="inlineStr">
        <is>
          <t>107 Payment row</t>
        </is>
      </c>
      <c r="C235" s="10" t="inlineStr">
        <is>
          <t>107 Payment row</t>
        </is>
      </c>
      <c r="D235" s="10" t="inlineStr"/>
      <c r="E235" s="10" t="inlineStr"/>
      <c r="F235" s="10" t="inlineStr">
        <is>
          <t>H. Total bill for confinement — amount by source (roster ×10)</t>
        </is>
      </c>
      <c r="G235" s="10" t="inlineStr">
        <is>
          <t>numeric 1</t>
        </is>
      </c>
      <c r="H235" s="10" t="inlineStr"/>
      <c r="I235" s="10" t="inlineStr"/>
      <c r="J235" s="10" t="inlineStr"/>
    </row>
    <row r="236">
      <c r="A236" s="7" t="inlineStr">
        <is>
          <t>q107_pay_src</t>
        </is>
      </c>
      <c r="B236" s="8" t="inlineStr">
        <is>
          <t>107. Payment source (auto-filled from the ticked sources)</t>
        </is>
      </c>
      <c r="C236" s="8" t="inlineStr">
        <is>
          <t>107. Payment source (auto-filled from the ticked sources)</t>
        </is>
      </c>
      <c r="D236" s="8" t="inlineStr"/>
      <c r="E236" s="8" t="inlineStr"/>
      <c r="F236" s="8" t="inlineStr">
        <is>
          <t>H. Total bill for confinement — amount by source (roster ×10)</t>
        </is>
      </c>
      <c r="G236" s="8" t="inlineStr">
        <is>
          <t>numeric 2</t>
        </is>
      </c>
      <c r="H236" s="8" t="inlineStr">
        <is>
          <t>01 = Out-of-pocket
02 = Free/no cost
03 = Free, charge to PhilHealth
04 = Free, charge to Private Insurance
05 = Free, charge to HMO
06 = Free, charge to MAIFIP
07 = Donation
08 = In kind
10 = Other</t>
        </is>
      </c>
      <c r="I236" s="8" t="inlineStr">
        <is>
          <t>09 = Don't know</t>
        </is>
      </c>
      <c r="J236" s="8" t="inlineStr"/>
    </row>
    <row r="237">
      <c r="A237" s="9" t="inlineStr">
        <is>
          <t>q107_pay_amt</t>
        </is>
      </c>
      <c r="B237" s="10" t="inlineStr">
        <is>
          <t>107. Amount of the total bill, by source (Pesos)</t>
        </is>
      </c>
      <c r="C237" s="10" t="inlineStr">
        <is>
          <t>Payment source / item: ~~getvaluelabel(Q107_PAY_SRC)~~ 107. Amount of the total bill, by source (Pesos)</t>
        </is>
      </c>
      <c r="D237" s="10" t="inlineStr"/>
      <c r="E237" s="10" t="inlineStr"/>
      <c r="F237" s="10" t="inlineStr">
        <is>
          <t>H. Total bill for confinement — amount by source (roster ×10)</t>
        </is>
      </c>
      <c r="G237" s="10" t="inlineStr">
        <is>
          <t>numeric 9</t>
        </is>
      </c>
      <c r="H237" s="10" t="inlineStr"/>
      <c r="I237" s="10" t="inlineStr"/>
      <c r="J237" s="10" t="inlineStr"/>
    </row>
    <row r="238">
      <c r="A238" s="7" t="inlineStr">
        <is>
          <t>q107_pay_other_txt</t>
        </is>
      </c>
      <c r="B238" s="8" t="inlineStr">
        <is>
          <t>107. Total bill — Other, specify text</t>
        </is>
      </c>
      <c r="C238" s="8" t="inlineStr">
        <is>
          <t>107. Total bill — Other, specify text</t>
        </is>
      </c>
      <c r="D238" s="8" t="inlineStr"/>
      <c r="E238" s="8" t="inlineStr"/>
      <c r="F238" s="8" t="inlineStr">
        <is>
          <t>H. Inpatient Care (cont.)</t>
        </is>
      </c>
      <c r="G238" s="8" t="inlineStr">
        <is>
          <t>alpha 120</t>
        </is>
      </c>
      <c r="H238" s="8" t="inlineStr"/>
      <c r="I238" s="8" t="inlineStr"/>
      <c r="J238" s="8" t="inlineStr"/>
    </row>
    <row r="239">
      <c r="A239" s="9" t="inlineStr">
        <is>
          <t>q108_meds_outside</t>
        </is>
      </c>
      <c r="B239" s="10" t="inlineStr">
        <is>
          <t>108. Other than the medicine/s indicated in the hospital bill, did the patient buy medicine/s from any pharmacy/facility outside the hospital?</t>
        </is>
      </c>
      <c r="C239" s="10" t="inlineStr">
        <is>
          <t>108. Other than the medicine/s indicated in the hospital bill, did the patient buy medicine/s from any pharmacy/facility outside the hospital?</t>
        </is>
      </c>
      <c r="D239" s="10" t="inlineStr"/>
      <c r="E239" s="10">
        <f> No → Q110 (skip Q109 meds-outside-cost matrix)</f>
        <v/>
      </c>
      <c r="F239" s="10" t="inlineStr">
        <is>
          <t>H. Inpatient Care (cont.)</t>
        </is>
      </c>
      <c r="G239" s="10" t="inlineStr">
        <is>
          <t>numeric 1</t>
        </is>
      </c>
      <c r="H239" s="10" t="inlineStr">
        <is>
          <t>1 = Yes
2 = No</t>
        </is>
      </c>
      <c r="I239" s="10" t="inlineStr"/>
      <c r="J239" s="10" t="inlineStr">
        <is>
          <t>[HARD] Required, ∈ {1, 2}</t>
        </is>
      </c>
    </row>
    <row r="240">
      <c r="A240" s="7" t="inlineStr">
        <is>
          <t>q109_sources</t>
        </is>
      </c>
      <c r="B240" s="8" t="inlineStr">
        <is>
          <t>109. Which of the following did you use to pay for the medicines bought outside the hospital? (Tick all that apply.)</t>
        </is>
      </c>
      <c r="C240" s="8" t="inlineStr">
        <is>
          <t>109. Which of the following did you use to pay for the medicines bought outside the hospital? (Tick all that apply.)</t>
        </is>
      </c>
      <c r="D240" s="8" t="inlineStr">
        <is>
          <t>not asked when Q108 MEDS_OUTSIDE = No</t>
        </is>
      </c>
      <c r="E240" s="8" t="inlineStr"/>
      <c r="F240" s="8" t="inlineStr">
        <is>
          <t>H. Inpatient Care (cont.)</t>
        </is>
      </c>
      <c r="G240" s="8" t="inlineStr">
        <is>
          <t>alpha 18</t>
        </is>
      </c>
      <c r="H240" s="8" t="inlineStr">
        <is>
          <t>01 = Out-of-pocket
02 = Free/no cost
03 = Free, charge to PhilHealth
04 = Free, charge to Private Insurance
05 = Free, charge to HMO
06 = Free, charge to MAIFIP
07 = In kind
09 = Other</t>
        </is>
      </c>
      <c r="I240" s="8" t="inlineStr">
        <is>
          <t>08 = Don't know</t>
        </is>
      </c>
      <c r="J240" s="8" t="inlineStr"/>
    </row>
    <row r="241">
      <c r="A241" s="9" t="inlineStr">
        <is>
          <t>q109_pay_line</t>
        </is>
      </c>
      <c r="B241" s="10" t="inlineStr">
        <is>
          <t>109 Payment row</t>
        </is>
      </c>
      <c r="C241" s="10" t="inlineStr">
        <is>
          <t>109 Payment row</t>
        </is>
      </c>
      <c r="D241" s="10" t="inlineStr">
        <is>
          <t>not asked when Q108 MEDS_OUTSIDE = No</t>
        </is>
      </c>
      <c r="E241" s="10" t="inlineStr"/>
      <c r="F241" s="10" t="inlineStr">
        <is>
          <t>H. Medicines bought outside — amount by source (roster ×9)</t>
        </is>
      </c>
      <c r="G241" s="10" t="inlineStr">
        <is>
          <t>numeric 1</t>
        </is>
      </c>
      <c r="H241" s="10" t="inlineStr"/>
      <c r="I241" s="10" t="inlineStr"/>
      <c r="J241" s="10" t="inlineStr"/>
    </row>
    <row r="242">
      <c r="A242" s="7" t="inlineStr">
        <is>
          <t>q109_pay_src</t>
        </is>
      </c>
      <c r="B242" s="8" t="inlineStr">
        <is>
          <t>109. Payment source (auto-filled from the ticked sources)</t>
        </is>
      </c>
      <c r="C242" s="8" t="inlineStr">
        <is>
          <t>109. Payment source (auto-filled from the ticked sources)</t>
        </is>
      </c>
      <c r="D242" s="8" t="inlineStr">
        <is>
          <t>not asked when Q108 MEDS_OUTSIDE = No</t>
        </is>
      </c>
      <c r="E242" s="8" t="inlineStr"/>
      <c r="F242" s="8" t="inlineStr">
        <is>
          <t>H. Medicines bought outside — amount by source (roster ×9)</t>
        </is>
      </c>
      <c r="G242" s="8" t="inlineStr">
        <is>
          <t>numeric 2</t>
        </is>
      </c>
      <c r="H242" s="8" t="inlineStr">
        <is>
          <t>01 = Out-of-pocket
02 = Free/no cost
03 = Free, charge to PhilHealth
04 = Free, charge to Private Insurance
05 = Free, charge to HMO
06 = Free, charge to MAIFIP
07 = In kind
09 = Other</t>
        </is>
      </c>
      <c r="I242" s="8" t="inlineStr">
        <is>
          <t>08 = Don't know</t>
        </is>
      </c>
      <c r="J242" s="8" t="inlineStr"/>
    </row>
    <row r="243">
      <c r="A243" s="9" t="inlineStr">
        <is>
          <t>q109_pay_amt</t>
        </is>
      </c>
      <c r="B243" s="10" t="inlineStr">
        <is>
          <t>109. Amount paid for medicines outside, by source (Pesos)</t>
        </is>
      </c>
      <c r="C243" s="10" t="inlineStr">
        <is>
          <t>Payment source / item: ~~getvaluelabel(Q109_PAY_SRC)~~ 109. Amount paid for medicines outside, by source (Pesos)</t>
        </is>
      </c>
      <c r="D243" s="10" t="inlineStr">
        <is>
          <t>not asked when Q108 MEDS_OUTSIDE = No</t>
        </is>
      </c>
      <c r="E243" s="10" t="inlineStr"/>
      <c r="F243" s="10" t="inlineStr">
        <is>
          <t>H. Medicines bought outside — amount by source (roster ×9)</t>
        </is>
      </c>
      <c r="G243" s="10" t="inlineStr">
        <is>
          <t>numeric 9</t>
        </is>
      </c>
      <c r="H243" s="10" t="inlineStr"/>
      <c r="I243" s="10" t="inlineStr"/>
      <c r="J243" s="10" t="inlineStr"/>
    </row>
    <row r="244">
      <c r="A244" s="7" t="inlineStr">
        <is>
          <t>q109_pay_other_txt</t>
        </is>
      </c>
      <c r="B244" s="8" t="inlineStr">
        <is>
          <t>109. Meds outside — Other, specify text</t>
        </is>
      </c>
      <c r="C244" s="8" t="inlineStr">
        <is>
          <t>109. Meds outside — Other, specify text</t>
        </is>
      </c>
      <c r="D244" s="8" t="inlineStr">
        <is>
          <t>not asked when Q108 MEDS_OUTSIDE = No</t>
        </is>
      </c>
      <c r="E244" s="8" t="inlineStr"/>
      <c r="F244" s="8" t="inlineStr">
        <is>
          <t>H. Inpatient Care (cont. 2)</t>
        </is>
      </c>
      <c r="G244" s="8" t="inlineStr">
        <is>
          <t>alpha 120</t>
        </is>
      </c>
      <c r="H244" s="8" t="inlineStr"/>
      <c r="I244" s="8" t="inlineStr"/>
      <c r="J244" s="8" t="inlineStr"/>
    </row>
    <row r="245">
      <c r="A245" s="9" t="inlineStr">
        <is>
          <t>q110_lab_outside</t>
        </is>
      </c>
      <c r="B245" s="10" t="inlineStr">
        <is>
          <t>110. Other than the laboratory service/s indicated in the hospital bill, did the patient pay for other service/s outside the hospital?</t>
        </is>
      </c>
      <c r="C245" s="10" t="inlineStr">
        <is>
          <t>110. Other than the laboratory service/s indicated in the hospital bill, did the patient pay for other service/s outside the hospital?</t>
        </is>
      </c>
      <c r="D245" s="10" t="inlineStr"/>
      <c r="E245" s="10">
        <f> No → Q113 (skip Q111, Q112)</f>
        <v/>
      </c>
      <c r="F245" s="10" t="inlineStr">
        <is>
          <t>H. Inpatient Care (cont. 2)</t>
        </is>
      </c>
      <c r="G245" s="10" t="inlineStr">
        <is>
          <t>numeric 1</t>
        </is>
      </c>
      <c r="H245" s="10" t="inlineStr">
        <is>
          <t>1 = Yes
2 = No</t>
        </is>
      </c>
      <c r="I245" s="10" t="inlineStr"/>
      <c r="J245" s="10" t="inlineStr">
        <is>
          <t>[HARD] Required, ∈ {1, 2}</t>
        </is>
      </c>
    </row>
    <row r="246">
      <c r="A246" s="7" t="inlineStr">
        <is>
          <t>q111_services_outside</t>
        </is>
      </c>
      <c r="B246" s="8" t="inlineStr">
        <is>
          <t>111. If yes, what are those services?</t>
        </is>
      </c>
      <c r="C246" s="8" t="inlineStr">
        <is>
          <t>111. If yes, what are those services?</t>
        </is>
      </c>
      <c r="D246" s="8" t="inlineStr">
        <is>
          <t>not asked when Q110 LAB_OUTSIDE = No</t>
        </is>
      </c>
      <c r="E246" s="8" t="inlineStr"/>
      <c r="F246" s="8" t="inlineStr">
        <is>
          <t>H. Inpatient Care (cont. 2)</t>
        </is>
      </c>
      <c r="G246" s="8" t="inlineStr">
        <is>
          <t>alpha 240</t>
        </is>
      </c>
      <c r="H246" s="8" t="inlineStr"/>
      <c r="I246" s="8" t="inlineStr"/>
      <c r="J246" s="8" t="inlineStr">
        <is>
          <t>[HARD] Required when enabled, non-blank</t>
        </is>
      </c>
    </row>
    <row r="247">
      <c r="A247" s="9" t="inlineStr">
        <is>
          <t>q112_sources</t>
        </is>
      </c>
      <c r="B247" s="10" t="inlineStr">
        <is>
          <t>112. Which of the following did you use to pay for the services done outside the hospital? (Tick all that apply.)</t>
        </is>
      </c>
      <c r="C247" s="10" t="inlineStr">
        <is>
          <t>112. Which of the following did you use to pay for the services done outside the hospital? (Tick all that apply.)</t>
        </is>
      </c>
      <c r="D247" s="10" t="inlineStr">
        <is>
          <t>not asked when Q110 LAB_OUTSIDE = No</t>
        </is>
      </c>
      <c r="E247" s="10" t="inlineStr"/>
      <c r="F247" s="10" t="inlineStr">
        <is>
          <t>H. Inpatient Care (cont. 2)</t>
        </is>
      </c>
      <c r="G247" s="10" t="inlineStr">
        <is>
          <t>alpha 18</t>
        </is>
      </c>
      <c r="H247" s="10" t="inlineStr">
        <is>
          <t>01 = Out-of-pocket
02 = Free/no cost
03 = Free, charge to PhilHealth
04 = Free, charge to Private Insurance
05 = Free, charge to HMO
06 = Free, charge to MAIFIP
07 = In kind
09 = Other</t>
        </is>
      </c>
      <c r="I247" s="10" t="inlineStr">
        <is>
          <t>08 = Don't know</t>
        </is>
      </c>
      <c r="J247" s="10" t="inlineStr"/>
    </row>
    <row r="248">
      <c r="A248" s="7" t="inlineStr">
        <is>
          <t>q112_pay_line</t>
        </is>
      </c>
      <c r="B248" s="8" t="inlineStr">
        <is>
          <t>112 Payment row</t>
        </is>
      </c>
      <c r="C248" s="8" t="inlineStr">
        <is>
          <t>112 Payment row</t>
        </is>
      </c>
      <c r="D248" s="8" t="inlineStr">
        <is>
          <t>not asked when Q110 LAB_OUTSIDE = No</t>
        </is>
      </c>
      <c r="E248" s="8" t="inlineStr"/>
      <c r="F248" s="8" t="inlineStr">
        <is>
          <t>H. Services done outside — amount by source (roster ×9)</t>
        </is>
      </c>
      <c r="G248" s="8" t="inlineStr">
        <is>
          <t>numeric 1</t>
        </is>
      </c>
      <c r="H248" s="8" t="inlineStr"/>
      <c r="I248" s="8" t="inlineStr"/>
      <c r="J248" s="8" t="inlineStr"/>
    </row>
    <row r="249">
      <c r="A249" s="9" t="inlineStr">
        <is>
          <t>q112_pay_src</t>
        </is>
      </c>
      <c r="B249" s="10" t="inlineStr">
        <is>
          <t>112. Payment source (auto-filled from the ticked sources)</t>
        </is>
      </c>
      <c r="C249" s="10" t="inlineStr">
        <is>
          <t>112. Payment source (auto-filled from the ticked sources)</t>
        </is>
      </c>
      <c r="D249" s="10" t="inlineStr">
        <is>
          <t>not asked when Q110 LAB_OUTSIDE = No</t>
        </is>
      </c>
      <c r="E249" s="10" t="inlineStr"/>
      <c r="F249" s="10" t="inlineStr">
        <is>
          <t>H. Services done outside — amount by source (roster ×9)</t>
        </is>
      </c>
      <c r="G249" s="10" t="inlineStr">
        <is>
          <t>numeric 2</t>
        </is>
      </c>
      <c r="H249" s="10" t="inlineStr">
        <is>
          <t>01 = Out-of-pocket
02 = Free/no cost
03 = Free, charge to PhilHealth
04 = Free, charge to Private Insurance
05 = Free, charge to HMO
06 = Free, charge to MAIFIP
07 = In kind
09 = Other</t>
        </is>
      </c>
      <c r="I249" s="10" t="inlineStr">
        <is>
          <t>08 = Don't know</t>
        </is>
      </c>
      <c r="J249" s="10" t="inlineStr"/>
    </row>
    <row r="250">
      <c r="A250" s="7" t="inlineStr">
        <is>
          <t>q112_pay_amt</t>
        </is>
      </c>
      <c r="B250" s="8" t="inlineStr">
        <is>
          <t>112. Amount paid for services outside, by source (Pesos)</t>
        </is>
      </c>
      <c r="C250" s="8" t="inlineStr">
        <is>
          <t>Payment source / item: ~~getvaluelabel(Q112_PAY_SRC)~~ 112. Amount paid for services outside, by source (Pesos)</t>
        </is>
      </c>
      <c r="D250" s="8" t="inlineStr">
        <is>
          <t>not asked when Q110 LAB_OUTSIDE = No</t>
        </is>
      </c>
      <c r="E250" s="8" t="inlineStr"/>
      <c r="F250" s="8" t="inlineStr">
        <is>
          <t>H. Services done outside — amount by source (roster ×9)</t>
        </is>
      </c>
      <c r="G250" s="8" t="inlineStr">
        <is>
          <t>numeric 9</t>
        </is>
      </c>
      <c r="H250" s="8" t="inlineStr"/>
      <c r="I250" s="8" t="inlineStr"/>
      <c r="J250" s="8" t="inlineStr"/>
    </row>
    <row r="251">
      <c r="A251" s="9" t="inlineStr">
        <is>
          <t>q112_pay_other_txt</t>
        </is>
      </c>
      <c r="B251" s="10" t="inlineStr">
        <is>
          <t>112. Services outside — Other, specify text</t>
        </is>
      </c>
      <c r="C251" s="10" t="inlineStr">
        <is>
          <t>112. Services outside — Other, specify text</t>
        </is>
      </c>
      <c r="D251" s="10" t="inlineStr">
        <is>
          <t>not asked when Q110 LAB_OUTSIDE = No</t>
        </is>
      </c>
      <c r="E251" s="10" t="inlineStr"/>
      <c r="F251" s="10" t="inlineStr">
        <is>
          <t>H. Inpatient Care (cont. 3)</t>
        </is>
      </c>
      <c r="G251" s="10" t="inlineStr">
        <is>
          <t>alpha 120</t>
        </is>
      </c>
      <c r="H251" s="10" t="inlineStr"/>
      <c r="I251" s="10" t="inlineStr"/>
      <c r="J251" s="10" t="inlineStr"/>
    </row>
    <row r="252">
      <c r="A252" s="7" t="inlineStr">
        <is>
          <t>q113_sources</t>
        </is>
      </c>
      <c r="B252" s="8" t="inlineStr">
        <is>
          <t>113. Which of the following did you use to pay for the hospital bill? (Tick all that apply.)</t>
        </is>
      </c>
      <c r="C252" s="8" t="inlineStr">
        <is>
          <t>I would like to know where you got the money to pay for medical costs incurred (IN ___, and ____) at the (FACILITY TYPE INPUT). 113. Which of the following did you use to pay for the hospital bill? (Tick all that apply.)</t>
        </is>
      </c>
      <c r="D252" s="8" t="inlineStr"/>
      <c r="E252" s="8" t="inlineStr"/>
      <c r="F252" s="8" t="inlineStr">
        <is>
          <t>H. Inpatient Care (cont. 3)</t>
        </is>
      </c>
      <c r="G252" s="8" t="inlineStr">
        <is>
          <t>alpha 26</t>
        </is>
      </c>
      <c r="H252" s="8" t="inlineStr">
        <is>
          <t>01 = Salary/income
02 = Loan/Mortgage
03 = Savings
04 = Donation/Charity/Assistance from Private Organization
05 = Malasakit Center
06 = Other Donation/Charity/Assistance from Government Organization
07 = MAIFIP
08 = PhilHealth
09 = SSS
10 = GSIS
11 = Private Insurance
12 = HMO
13 = Other (specify)</t>
        </is>
      </c>
      <c r="I252" s="8" t="inlineStr"/>
      <c r="J252" s="8" t="inlineStr"/>
    </row>
    <row r="253">
      <c r="A253" s="9" t="inlineStr">
        <is>
          <t>q113_pay_line</t>
        </is>
      </c>
      <c r="B253" s="10" t="inlineStr">
        <is>
          <t>113 Payment row</t>
        </is>
      </c>
      <c r="C253" s="10" t="inlineStr">
        <is>
          <t>113 Payment row</t>
        </is>
      </c>
      <c r="D253" s="10" t="inlineStr"/>
      <c r="E253" s="10" t="inlineStr"/>
      <c r="F253" s="10" t="inlineStr">
        <is>
          <t>H. Hospital bill — amount by source (roster ×13)</t>
        </is>
      </c>
      <c r="G253" s="10" t="inlineStr">
        <is>
          <t>numeric 1</t>
        </is>
      </c>
      <c r="H253" s="10" t="inlineStr"/>
      <c r="I253" s="10" t="inlineStr"/>
      <c r="J253" s="10" t="inlineStr"/>
    </row>
    <row r="254">
      <c r="A254" s="7" t="inlineStr">
        <is>
          <t>q113_pay_src</t>
        </is>
      </c>
      <c r="B254" s="8" t="inlineStr">
        <is>
          <t>113. Payment source (auto-filled from the ticked sources)</t>
        </is>
      </c>
      <c r="C254" s="8" t="inlineStr">
        <is>
          <t>113. Payment source (auto-filled from the ticked sources)</t>
        </is>
      </c>
      <c r="D254" s="8" t="inlineStr"/>
      <c r="E254" s="8" t="inlineStr"/>
      <c r="F254" s="8" t="inlineStr">
        <is>
          <t>H. Hospital bill — amount by source (roster ×13)</t>
        </is>
      </c>
      <c r="G254" s="8" t="inlineStr">
        <is>
          <t>numeric 2</t>
        </is>
      </c>
      <c r="H254" s="8" t="inlineStr">
        <is>
          <t>01 = Salary/income
02 = Loan/Mortgage
03 = Savings
04 = Donation/Charity/Assistance from Private Organization
05 = Malasakit Center
06 = Other Donation/Charity/Assistance from Government Organization
07 = MAIFIP
08 = PhilHealth
09 = SSS
10 = GSIS
11 = Private Insurance
12 = HMO
13 = Other (specify)</t>
        </is>
      </c>
      <c r="I254" s="8" t="inlineStr"/>
      <c r="J254" s="8" t="inlineStr"/>
    </row>
    <row r="255">
      <c r="A255" s="9" t="inlineStr">
        <is>
          <t>q113_pay_amt</t>
        </is>
      </c>
      <c r="B255" s="10" t="inlineStr">
        <is>
          <t>113. Amount paid for the hospital bill, by source (Pesos)</t>
        </is>
      </c>
      <c r="C255" s="10" t="inlineStr">
        <is>
          <t>Payment source / item: ~~getvaluelabel(Q113_PAY_SRC)~~ 113. Amount paid for the hospital bill, by source (Pesos)</t>
        </is>
      </c>
      <c r="D255" s="10" t="inlineStr"/>
      <c r="E255" s="10" t="inlineStr"/>
      <c r="F255" s="10" t="inlineStr">
        <is>
          <t>H. Hospital bill — amount by source (roster ×13)</t>
        </is>
      </c>
      <c r="G255" s="10" t="inlineStr">
        <is>
          <t>numeric 9</t>
        </is>
      </c>
      <c r="H255" s="10" t="inlineStr"/>
      <c r="I255" s="10" t="inlineStr"/>
      <c r="J255" s="10" t="inlineStr"/>
    </row>
    <row r="256">
      <c r="A256" s="7" t="inlineStr">
        <is>
          <t>q113_pay_other_txt</t>
        </is>
      </c>
      <c r="B256" s="8" t="inlineStr">
        <is>
          <t>113. Hospital bill payment — Other specify text</t>
        </is>
      </c>
      <c r="C256" s="8" t="inlineStr">
        <is>
          <t>113. Hospital bill payment — Other specify text</t>
        </is>
      </c>
      <c r="D256" s="8" t="inlineStr"/>
      <c r="E256" s="8" t="inlineStr"/>
      <c r="F256" s="8" t="inlineStr">
        <is>
          <t>H. Inpatient Care (cont. 4)</t>
        </is>
      </c>
      <c r="G256" s="8" t="inlineStr">
        <is>
          <t>alpha 120</t>
        </is>
      </c>
      <c r="H256" s="8" t="inlineStr"/>
      <c r="I256" s="8" t="inlineStr"/>
      <c r="J256" s="8" t="inlineStr"/>
    </row>
    <row r="257">
      <c r="A257" s="9" t="inlineStr">
        <is>
          <t>q114_no_ph</t>
        </is>
      </c>
      <c r="B257" s="10" t="inlineStr">
        <is>
          <t>114. Why did you not avail of PhilHealth benefits? (If PhilHealth was not availed in 113)</t>
        </is>
      </c>
      <c r="C257" s="10" t="inlineStr">
        <is>
          <t>114. Why did you not avail of PhilHealth benefits? (If PhilHealth was not availed in 113)</t>
        </is>
      </c>
      <c r="D257" s="10" t="inlineStr"/>
      <c r="E257" s="10" t="inlineStr"/>
      <c r="F257" s="10" t="inlineStr">
        <is>
          <t>H. Inpatient Care (cont. 4)</t>
        </is>
      </c>
      <c r="G257" s="10" t="inlineStr">
        <is>
          <t>alpha 14</t>
        </is>
      </c>
      <c r="H257" s="10" t="inlineStr">
        <is>
          <t>01 = Not a PhilHealth member
02 = PhilHealth member but not eligible for benefits
03 = Probably used PhilHealth but cannot remember amount because benefit was deducted upon discharge from hospital
04 = Too many requirements to comply with before can avail
05 = Limited hospitalization benefits
06 = Claims processing too long
99 = Other (specify)</t>
        </is>
      </c>
      <c r="I257" s="10" t="inlineStr"/>
      <c r="J257" s="10" t="inlineStr">
        <is>
          <t>[HARD] ≥ 1 option ticked when enabled</t>
        </is>
      </c>
    </row>
    <row r="258">
      <c r="A258" s="7" t="inlineStr">
        <is>
          <t>q114_no_ph_other_txt</t>
        </is>
      </c>
      <c r="B258" s="8" t="inlineStr">
        <is>
          <t>114. Why did you not avail of PhilHealth benefits? (If PhilHealth was not availed in 113) — Other (specify) text</t>
        </is>
      </c>
      <c r="C258" s="8" t="inlineStr">
        <is>
          <t>114. Why did you not avail of PhilHealth benefits? (If PhilHealth was not availed in 113) — Other (specify) text</t>
        </is>
      </c>
      <c r="D258" s="8" t="inlineStr"/>
      <c r="E258" s="8" t="inlineStr"/>
      <c r="F258" s="8" t="inlineStr">
        <is>
          <t>H. Inpatient Care (cont. 4)</t>
        </is>
      </c>
      <c r="G258" s="8" t="inlineStr">
        <is>
          <t>alpha 120</t>
        </is>
      </c>
      <c r="H258" s="8" t="inlineStr"/>
      <c r="I258" s="8" t="inlineStr"/>
      <c r="J258" s="8" t="inlineStr"/>
    </row>
    <row r="259">
      <c r="A259" s="9" t="inlineStr">
        <is>
          <t>q115_final_cash</t>
        </is>
      </c>
      <c r="B259" s="10" t="inlineStr">
        <is>
          <t>115. What was the final amount you paid in cash at the hospital cashier upon discharge? (Amount in Pesos)</t>
        </is>
      </c>
      <c r="C259" s="10" t="inlineStr">
        <is>
          <t>115. What was the final amount you paid in cash at the hospital cashier upon discharge? (Amount in Pesos)</t>
        </is>
      </c>
      <c r="D259" s="10" t="inlineStr"/>
      <c r="E259" s="10" t="inlineStr"/>
      <c r="F259" s="10" t="inlineStr">
        <is>
          <t>H. Inpatient Care (cont. 4)</t>
        </is>
      </c>
      <c r="G259" s="10" t="inlineStr">
        <is>
          <t>numeric 9</t>
        </is>
      </c>
      <c r="H259" s="10" t="inlineStr"/>
      <c r="I259" s="10" t="inlineStr"/>
      <c r="J259" s="10" t="inlineStr">
        <is>
          <t>[HARD + SOFT] `0 ≤ amt ≤ 999,999,999`; should ≈ Q107 OOP row (`Q107_PAY_01_AMT`) ± 10%</t>
        </is>
      </c>
    </row>
    <row r="260">
      <c r="A260" s="7" t="inlineStr">
        <is>
          <t>q1141_1</t>
        </is>
      </c>
      <c r="B260" s="8" t="inlineStr">
        <is>
          <t>115.1 Other items included in the bill — Doctor's Professional Fee</t>
        </is>
      </c>
      <c r="C260" s="8" t="inlineStr">
        <is>
          <t>115.1 Other items included in the bill — Doctor's Professional Fee</t>
        </is>
      </c>
      <c r="D260" s="8" t="inlineStr"/>
      <c r="E260" s="8" t="inlineStr"/>
      <c r="F260" s="8" t="inlineStr">
        <is>
          <t>H. Inpatient Care (cont. 4)</t>
        </is>
      </c>
      <c r="G260" s="8" t="inlineStr">
        <is>
          <t>numeric 1</t>
        </is>
      </c>
      <c r="H260" s="8" t="inlineStr">
        <is>
          <t>1 = Yes
2 = No</t>
        </is>
      </c>
      <c r="I260" s="8" t="inlineStr"/>
      <c r="J260" s="8" t="inlineStr"/>
    </row>
    <row r="261">
      <c r="A261" s="9" t="inlineStr">
        <is>
          <t>q1141_1_amt</t>
        </is>
      </c>
      <c r="B261" s="10" t="inlineStr">
        <is>
          <t>115.1 Other items included in the bill — Doctor's Professional Fee (Amount in Pesos)</t>
        </is>
      </c>
      <c r="C261" s="10" t="inlineStr">
        <is>
          <t>115.1 Other items included in the bill — Doctor's Professional Fee (Amount in Pesos)</t>
        </is>
      </c>
      <c r="D261" s="10" t="inlineStr"/>
      <c r="E261" s="10" t="inlineStr"/>
      <c r="F261" s="10" t="inlineStr">
        <is>
          <t>H. Inpatient Care (cont. 4)</t>
        </is>
      </c>
      <c r="G261" s="10" t="inlineStr">
        <is>
          <t>numeric 9</t>
        </is>
      </c>
      <c r="H261" s="10" t="inlineStr"/>
      <c r="I261" s="10" t="inlineStr"/>
      <c r="J261" s="10" t="inlineStr"/>
    </row>
    <row r="262">
      <c r="A262" s="7" t="inlineStr">
        <is>
          <t>q1141_2</t>
        </is>
      </c>
      <c r="B262" s="8" t="inlineStr">
        <is>
          <t>115.1 Other items included in the bill — Medical equipment or supplies</t>
        </is>
      </c>
      <c r="C262" s="8" t="inlineStr">
        <is>
          <t>115.1 Other items included in the bill — Medical equipment or supplies</t>
        </is>
      </c>
      <c r="D262" s="8" t="inlineStr"/>
      <c r="E262" s="8" t="inlineStr"/>
      <c r="F262" s="8" t="inlineStr">
        <is>
          <t>H. Inpatient Care (cont. 4)</t>
        </is>
      </c>
      <c r="G262" s="8" t="inlineStr">
        <is>
          <t>numeric 1</t>
        </is>
      </c>
      <c r="H262" s="8" t="inlineStr">
        <is>
          <t>1 = Yes
2 = No</t>
        </is>
      </c>
      <c r="I262" s="8" t="inlineStr"/>
      <c r="J262" s="8" t="inlineStr"/>
    </row>
    <row r="263">
      <c r="A263" s="9" t="inlineStr">
        <is>
          <t>q1141_2_amt</t>
        </is>
      </c>
      <c r="B263" s="10" t="inlineStr">
        <is>
          <t>115.1 Other items included in the bill — Medical equipment or supplies (Amount in Pesos)</t>
        </is>
      </c>
      <c r="C263" s="10" t="inlineStr">
        <is>
          <t>115.1 Other items included in the bill — Medical equipment or supplies (Amount in Pesos)</t>
        </is>
      </c>
      <c r="D263" s="10" t="inlineStr"/>
      <c r="E263" s="10" t="inlineStr"/>
      <c r="F263" s="10" t="inlineStr">
        <is>
          <t>H. Inpatient Care (cont. 4)</t>
        </is>
      </c>
      <c r="G263" s="10" t="inlineStr">
        <is>
          <t>numeric 9</t>
        </is>
      </c>
      <c r="H263" s="10" t="inlineStr"/>
      <c r="I263" s="10" t="inlineStr"/>
      <c r="J263" s="10" t="inlineStr"/>
    </row>
    <row r="264">
      <c r="A264" s="7" t="inlineStr">
        <is>
          <t>q1141_3</t>
        </is>
      </c>
      <c r="B264" s="8" t="inlineStr">
        <is>
          <t>115.1 Other items included in the bill — Non-medical expenses (e.g. Hygiene kit)</t>
        </is>
      </c>
      <c r="C264" s="8" t="inlineStr">
        <is>
          <t>115.1 Other items included in the bill — Non-medical expenses (e.g. Hygiene kit)</t>
        </is>
      </c>
      <c r="D264" s="8" t="inlineStr"/>
      <c r="E264" s="8" t="inlineStr"/>
      <c r="F264" s="8" t="inlineStr">
        <is>
          <t>H. Inpatient Care (cont. 4)</t>
        </is>
      </c>
      <c r="G264" s="8" t="inlineStr">
        <is>
          <t>numeric 1</t>
        </is>
      </c>
      <c r="H264" s="8" t="inlineStr">
        <is>
          <t>1 = Yes
2 = No</t>
        </is>
      </c>
      <c r="I264" s="8" t="inlineStr"/>
      <c r="J264" s="8" t="inlineStr"/>
    </row>
    <row r="265">
      <c r="A265" s="9" t="inlineStr">
        <is>
          <t>q1141_3_amt</t>
        </is>
      </c>
      <c r="B265" s="10" t="inlineStr">
        <is>
          <t>115.1 Other items included in the bill — Non-medical expenses (e.g. Hygiene kit) (Amount in Pesos)</t>
        </is>
      </c>
      <c r="C265" s="10" t="inlineStr">
        <is>
          <t>115.1 Other items included in the bill — Non-medical expenses (e.g. Hygiene kit) (Amount in Pesos)</t>
        </is>
      </c>
      <c r="D265" s="10" t="inlineStr"/>
      <c r="E265" s="10" t="inlineStr"/>
      <c r="F265" s="10" t="inlineStr">
        <is>
          <t>H. Inpatient Care (cont. 4)</t>
        </is>
      </c>
      <c r="G265" s="10" t="inlineStr">
        <is>
          <t>numeric 9</t>
        </is>
      </c>
      <c r="H265" s="10" t="inlineStr"/>
      <c r="I265" s="10" t="inlineStr"/>
      <c r="J265" s="10" t="inlineStr"/>
    </row>
    <row r="266">
      <c r="A266" s="7" t="inlineStr">
        <is>
          <t>q1141_4</t>
        </is>
      </c>
      <c r="B266" s="8" t="inlineStr">
        <is>
          <t>115.1 Other items included in the bill — Diagnostic or laboratory procedure inside the facility</t>
        </is>
      </c>
      <c r="C266" s="8" t="inlineStr">
        <is>
          <t>115.1 Other items included in the bill — Diagnostic or laboratory procedure inside the facility</t>
        </is>
      </c>
      <c r="D266" s="8" t="inlineStr"/>
      <c r="E266" s="8" t="inlineStr"/>
      <c r="F266" s="8" t="inlineStr">
        <is>
          <t>H. Inpatient Care (cont. 4)</t>
        </is>
      </c>
      <c r="G266" s="8" t="inlineStr">
        <is>
          <t>numeric 1</t>
        </is>
      </c>
      <c r="H266" s="8" t="inlineStr">
        <is>
          <t>1 = Yes
2 = No</t>
        </is>
      </c>
      <c r="I266" s="8" t="inlineStr"/>
      <c r="J266" s="8" t="inlineStr"/>
    </row>
    <row r="267">
      <c r="A267" s="9" t="inlineStr">
        <is>
          <t>q1141_4_amt</t>
        </is>
      </c>
      <c r="B267" s="10" t="inlineStr">
        <is>
          <t>115.1 Other items included in the bill — Diagnostic or laboratory procedure inside the facility (Amount in Pesos)</t>
        </is>
      </c>
      <c r="C267" s="10" t="inlineStr">
        <is>
          <t>115.1 Other items included in the bill — Diagnostic or laboratory procedure inside the facility (Amount in Pesos)</t>
        </is>
      </c>
      <c r="D267" s="10" t="inlineStr"/>
      <c r="E267" s="10" t="inlineStr"/>
      <c r="F267" s="10" t="inlineStr">
        <is>
          <t>H. Inpatient Care (cont. 4)</t>
        </is>
      </c>
      <c r="G267" s="10" t="inlineStr">
        <is>
          <t>numeric 9</t>
        </is>
      </c>
      <c r="H267" s="10" t="inlineStr"/>
      <c r="I267" s="10" t="inlineStr"/>
      <c r="J267" s="10" t="inlineStr"/>
    </row>
    <row r="268">
      <c r="A268" s="7" t="inlineStr">
        <is>
          <t>q1141_5</t>
        </is>
      </c>
      <c r="B268" s="8" t="inlineStr">
        <is>
          <t>115.1 Other items included in the bill — Medicines or drugs inside the facility</t>
        </is>
      </c>
      <c r="C268" s="8" t="inlineStr">
        <is>
          <t>115.1 Other items included in the bill — Medicines or drugs inside the facility</t>
        </is>
      </c>
      <c r="D268" s="8" t="inlineStr"/>
      <c r="E268" s="8" t="inlineStr"/>
      <c r="F268" s="8" t="inlineStr">
        <is>
          <t>H. Inpatient Care (cont. 4)</t>
        </is>
      </c>
      <c r="G268" s="8" t="inlineStr">
        <is>
          <t>numeric 1</t>
        </is>
      </c>
      <c r="H268" s="8" t="inlineStr">
        <is>
          <t>1 = Yes
2 = No</t>
        </is>
      </c>
      <c r="I268" s="8" t="inlineStr"/>
      <c r="J268" s="8" t="inlineStr"/>
    </row>
    <row r="269">
      <c r="A269" s="9" t="inlineStr">
        <is>
          <t>q1141_5_amt</t>
        </is>
      </c>
      <c r="B269" s="10" t="inlineStr">
        <is>
          <t>115.1 Other items included in the bill — Medicines or drugs inside the facility (Amount in Pesos)</t>
        </is>
      </c>
      <c r="C269" s="10" t="inlineStr">
        <is>
          <t>115.1 Other items included in the bill — Medicines or drugs inside the facility (Amount in Pesos)</t>
        </is>
      </c>
      <c r="D269" s="10" t="inlineStr"/>
      <c r="E269" s="10" t="inlineStr"/>
      <c r="F269" s="10" t="inlineStr">
        <is>
          <t>H. Inpatient Care (cont. 4)</t>
        </is>
      </c>
      <c r="G269" s="10" t="inlineStr">
        <is>
          <t>numeric 9</t>
        </is>
      </c>
      <c r="H269" s="10" t="inlineStr"/>
      <c r="I269" s="10" t="inlineStr"/>
      <c r="J269" s="10" t="inlineStr"/>
    </row>
    <row r="270">
      <c r="A270" s="7" t="inlineStr">
        <is>
          <t>q1141_6</t>
        </is>
      </c>
      <c r="B270" s="8" t="inlineStr">
        <is>
          <t>115.1 Other items included in the bill — Other expenses</t>
        </is>
      </c>
      <c r="C270" s="8" t="inlineStr">
        <is>
          <t>115.1 Other items included in the bill — Other expenses</t>
        </is>
      </c>
      <c r="D270" s="8" t="inlineStr"/>
      <c r="E270" s="8" t="inlineStr"/>
      <c r="F270" s="8" t="inlineStr">
        <is>
          <t>H. Inpatient Care (cont. 4)</t>
        </is>
      </c>
      <c r="G270" s="8" t="inlineStr">
        <is>
          <t>numeric 1</t>
        </is>
      </c>
      <c r="H270" s="8" t="inlineStr">
        <is>
          <t>1 = Yes
2 = No</t>
        </is>
      </c>
      <c r="I270" s="8" t="inlineStr"/>
      <c r="J270" s="8" t="inlineStr"/>
    </row>
    <row r="271">
      <c r="A271" s="9" t="inlineStr">
        <is>
          <t>q1141_6_amt</t>
        </is>
      </c>
      <c r="B271" s="10" t="inlineStr">
        <is>
          <t>115.1 Other items included in the bill — Other expenses (Amount in Pesos)</t>
        </is>
      </c>
      <c r="C271" s="10" t="inlineStr">
        <is>
          <t>115.1 Other items included in the bill — Other expenses (Amount in Pesos)</t>
        </is>
      </c>
      <c r="D271" s="10" t="inlineStr"/>
      <c r="E271" s="10" t="inlineStr"/>
      <c r="F271" s="10" t="inlineStr">
        <is>
          <t>H. Inpatient Care (cont. 4)</t>
        </is>
      </c>
      <c r="G271" s="10" t="inlineStr">
        <is>
          <t>numeric 9</t>
        </is>
      </c>
      <c r="H271" s="10" t="inlineStr"/>
      <c r="I271" s="10" t="inlineStr"/>
      <c r="J271" s="10" t="inlineStr"/>
    </row>
    <row r="272">
      <c r="A272" s="7" t="inlineStr">
        <is>
          <t>q1141_other_txt</t>
        </is>
      </c>
      <c r="B272" s="8" t="inlineStr">
        <is>
          <t>115.1 Other expenses — specify text</t>
        </is>
      </c>
      <c r="C272" s="8" t="inlineStr">
        <is>
          <t>115.1 Other expenses — specify text</t>
        </is>
      </c>
      <c r="D272" s="8" t="inlineStr"/>
      <c r="E272" s="8" t="inlineStr"/>
      <c r="F272" s="8" t="inlineStr">
        <is>
          <t>H. Inpatient Care (cont. 4)</t>
        </is>
      </c>
      <c r="G272" s="8" t="inlineStr">
        <is>
          <t>alpha 120</t>
        </is>
      </c>
      <c r="H272" s="8" t="inlineStr"/>
      <c r="I272" s="8" t="inlineStr"/>
      <c r="J272" s="8" t="inlineStr"/>
    </row>
    <row r="273">
      <c r="A273" s="9" t="inlineStr">
        <is>
          <t>q1142_1</t>
        </is>
      </c>
      <c r="B273" s="10" t="inlineStr">
        <is>
          <t>115.2 Other expenses during confinement not in bill — Medical equipment or supplies bought outside the facility</t>
        </is>
      </c>
      <c r="C273" s="10" t="inlineStr">
        <is>
          <t>115.2 Other expenses during confinement not in bill — Medical equipment or supplies bought outside the facility</t>
        </is>
      </c>
      <c r="D273" s="10" t="inlineStr"/>
      <c r="E273" s="10" t="inlineStr"/>
      <c r="F273" s="10" t="inlineStr">
        <is>
          <t>H. Inpatient Care (cont. 4)</t>
        </is>
      </c>
      <c r="G273" s="10" t="inlineStr">
        <is>
          <t>numeric 1</t>
        </is>
      </c>
      <c r="H273" s="10" t="inlineStr">
        <is>
          <t>1 = Yes
2 = No</t>
        </is>
      </c>
      <c r="I273" s="10" t="inlineStr"/>
      <c r="J273" s="10" t="inlineStr"/>
    </row>
    <row r="274">
      <c r="A274" s="7" t="inlineStr">
        <is>
          <t>q1142_1_amt</t>
        </is>
      </c>
      <c r="B274" s="8" t="inlineStr">
        <is>
          <t>115.2 Other expenses during confinement not in bill — Medical equipment or supplies bought outside the facility (Amount in Pesos)</t>
        </is>
      </c>
      <c r="C274" s="8" t="inlineStr">
        <is>
          <t>115.2 Other expenses during confinement not in bill — Medical equipment or supplies bought outside the facility (Amount in Pesos)</t>
        </is>
      </c>
      <c r="D274" s="8" t="inlineStr"/>
      <c r="E274" s="8" t="inlineStr"/>
      <c r="F274" s="8" t="inlineStr">
        <is>
          <t>H. Inpatient Care (cont. 4)</t>
        </is>
      </c>
      <c r="G274" s="8" t="inlineStr">
        <is>
          <t>numeric 9</t>
        </is>
      </c>
      <c r="H274" s="8" t="inlineStr"/>
      <c r="I274" s="8" t="inlineStr"/>
      <c r="J274" s="8" t="inlineStr"/>
    </row>
    <row r="275">
      <c r="A275" s="9" t="inlineStr">
        <is>
          <t>q1142_2</t>
        </is>
      </c>
      <c r="B275" s="10" t="inlineStr">
        <is>
          <t>115.2 Other expenses during confinement not in bill — Payment made directly to doctor/s and their secretary</t>
        </is>
      </c>
      <c r="C275" s="10" t="inlineStr">
        <is>
          <t>115.2 Other expenses during confinement not in bill — Payment made directly to doctor/s and their secretary</t>
        </is>
      </c>
      <c r="D275" s="10" t="inlineStr"/>
      <c r="E275" s="10" t="inlineStr"/>
      <c r="F275" s="10" t="inlineStr">
        <is>
          <t>H. Inpatient Care (cont. 4)</t>
        </is>
      </c>
      <c r="G275" s="10" t="inlineStr">
        <is>
          <t>numeric 1</t>
        </is>
      </c>
      <c r="H275" s="10" t="inlineStr">
        <is>
          <t>1 = Yes
2 = No</t>
        </is>
      </c>
      <c r="I275" s="10" t="inlineStr"/>
      <c r="J275" s="10" t="inlineStr"/>
    </row>
    <row r="276">
      <c r="A276" s="7" t="inlineStr">
        <is>
          <t>q1142_2_amt</t>
        </is>
      </c>
      <c r="B276" s="8" t="inlineStr">
        <is>
          <t>115.2 Other expenses during confinement not in bill — Payment made directly to doctor/s and their secretary (Amount in Pesos)</t>
        </is>
      </c>
      <c r="C276" s="8" t="inlineStr">
        <is>
          <t>115.2 Other expenses during confinement not in bill — Payment made directly to doctor/s and their secretary (Amount in Pesos)</t>
        </is>
      </c>
      <c r="D276" s="8" t="inlineStr"/>
      <c r="E276" s="8" t="inlineStr"/>
      <c r="F276" s="8" t="inlineStr">
        <is>
          <t>H. Inpatient Care (cont. 4)</t>
        </is>
      </c>
      <c r="G276" s="8" t="inlineStr">
        <is>
          <t>numeric 9</t>
        </is>
      </c>
      <c r="H276" s="8" t="inlineStr"/>
      <c r="I276" s="8" t="inlineStr"/>
      <c r="J276" s="8" t="inlineStr"/>
    </row>
    <row r="277">
      <c r="A277" s="9" t="inlineStr">
        <is>
          <t>q1142_3</t>
        </is>
      </c>
      <c r="B277" s="10" t="inlineStr">
        <is>
          <t>115.2 Other expenses during confinement not in bill — Food</t>
        </is>
      </c>
      <c r="C277" s="10" t="inlineStr">
        <is>
          <t>115.2 Other expenses during confinement not in bill — Food</t>
        </is>
      </c>
      <c r="D277" s="10" t="inlineStr"/>
      <c r="E277" s="10" t="inlineStr"/>
      <c r="F277" s="10" t="inlineStr">
        <is>
          <t>H. Inpatient Care (cont. 4)</t>
        </is>
      </c>
      <c r="G277" s="10" t="inlineStr">
        <is>
          <t>numeric 1</t>
        </is>
      </c>
      <c r="H277" s="10" t="inlineStr">
        <is>
          <t>1 = Yes
2 = No</t>
        </is>
      </c>
      <c r="I277" s="10" t="inlineStr"/>
      <c r="J277" s="10" t="inlineStr"/>
    </row>
    <row r="278">
      <c r="A278" s="7" t="inlineStr">
        <is>
          <t>q1142_3_amt</t>
        </is>
      </c>
      <c r="B278" s="8" t="inlineStr">
        <is>
          <t>115.2 Other expenses during confinement not in bill — Food (Amount in Pesos)</t>
        </is>
      </c>
      <c r="C278" s="8" t="inlineStr">
        <is>
          <t>115.2 Other expenses during confinement not in bill — Food (Amount in Pesos)</t>
        </is>
      </c>
      <c r="D278" s="8" t="inlineStr"/>
      <c r="E278" s="8" t="inlineStr"/>
      <c r="F278" s="8" t="inlineStr">
        <is>
          <t>H. Inpatient Care (cont. 4)</t>
        </is>
      </c>
      <c r="G278" s="8" t="inlineStr">
        <is>
          <t>numeric 9</t>
        </is>
      </c>
      <c r="H278" s="8" t="inlineStr"/>
      <c r="I278" s="8" t="inlineStr"/>
      <c r="J278" s="8" t="inlineStr"/>
    </row>
    <row r="279">
      <c r="A279" s="9" t="inlineStr">
        <is>
          <t>q1142_4</t>
        </is>
      </c>
      <c r="B279" s="10" t="inlineStr">
        <is>
          <t>115.2 Other expenses during confinement not in bill — Transportation</t>
        </is>
      </c>
      <c r="C279" s="10" t="inlineStr">
        <is>
          <t>115.2 Other expenses during confinement not in bill — Transportation</t>
        </is>
      </c>
      <c r="D279" s="10" t="inlineStr"/>
      <c r="E279" s="10" t="inlineStr"/>
      <c r="F279" s="10" t="inlineStr">
        <is>
          <t>H. Inpatient Care (cont. 4)</t>
        </is>
      </c>
      <c r="G279" s="10" t="inlineStr">
        <is>
          <t>numeric 1</t>
        </is>
      </c>
      <c r="H279" s="10" t="inlineStr">
        <is>
          <t>1 = Yes
2 = No</t>
        </is>
      </c>
      <c r="I279" s="10" t="inlineStr"/>
      <c r="J279" s="10" t="inlineStr"/>
    </row>
    <row r="280">
      <c r="A280" s="7" t="inlineStr">
        <is>
          <t>q1142_4_amt</t>
        </is>
      </c>
      <c r="B280" s="8" t="inlineStr">
        <is>
          <t>115.2 Other expenses during confinement not in bill — Transportation (Amount in Pesos)</t>
        </is>
      </c>
      <c r="C280" s="8" t="inlineStr">
        <is>
          <t>115.2 Other expenses during confinement not in bill — Transportation (Amount in Pesos)</t>
        </is>
      </c>
      <c r="D280" s="8" t="inlineStr"/>
      <c r="E280" s="8" t="inlineStr"/>
      <c r="F280" s="8" t="inlineStr">
        <is>
          <t>H. Inpatient Care (cont. 4)</t>
        </is>
      </c>
      <c r="G280" s="8" t="inlineStr">
        <is>
          <t>numeric 9</t>
        </is>
      </c>
      <c r="H280" s="8" t="inlineStr"/>
      <c r="I280" s="8" t="inlineStr"/>
      <c r="J280" s="8" t="inlineStr"/>
    </row>
    <row r="281">
      <c r="A281" s="9" t="inlineStr">
        <is>
          <t>q1142_5</t>
        </is>
      </c>
      <c r="B281" s="10" t="inlineStr">
        <is>
          <t>115.2 Other expenses during confinement not in bill — Donation to the facility</t>
        </is>
      </c>
      <c r="C281" s="10" t="inlineStr">
        <is>
          <t>115.2 Other expenses during confinement not in bill — Donation to the facility</t>
        </is>
      </c>
      <c r="D281" s="10" t="inlineStr"/>
      <c r="E281" s="10" t="inlineStr"/>
      <c r="F281" s="10" t="inlineStr">
        <is>
          <t>H. Inpatient Care (cont. 4)</t>
        </is>
      </c>
      <c r="G281" s="10" t="inlineStr">
        <is>
          <t>numeric 1</t>
        </is>
      </c>
      <c r="H281" s="10" t="inlineStr">
        <is>
          <t>1 = Yes
2 = No</t>
        </is>
      </c>
      <c r="I281" s="10" t="inlineStr"/>
      <c r="J281" s="10" t="inlineStr"/>
    </row>
    <row r="282">
      <c r="A282" s="7" t="inlineStr">
        <is>
          <t>q1142_5_amt</t>
        </is>
      </c>
      <c r="B282" s="8" t="inlineStr">
        <is>
          <t>115.2 Other expenses during confinement not in bill — Donation to the facility (Amount in Pesos)</t>
        </is>
      </c>
      <c r="C282" s="8" t="inlineStr">
        <is>
          <t>115.2 Other expenses during confinement not in bill — Donation to the facility (Amount in Pesos)</t>
        </is>
      </c>
      <c r="D282" s="8" t="inlineStr"/>
      <c r="E282" s="8" t="inlineStr"/>
      <c r="F282" s="8" t="inlineStr">
        <is>
          <t>H. Inpatient Care (cont. 4)</t>
        </is>
      </c>
      <c r="G282" s="8" t="inlineStr">
        <is>
          <t>numeric 9</t>
        </is>
      </c>
      <c r="H282" s="8" t="inlineStr"/>
      <c r="I282" s="8" t="inlineStr"/>
      <c r="J282" s="8" t="inlineStr"/>
    </row>
    <row r="283">
      <c r="A283" s="9" t="inlineStr">
        <is>
          <t>q1142_6</t>
        </is>
      </c>
      <c r="B283" s="10" t="inlineStr">
        <is>
          <t>115.2 Other expenses during confinement not in bill — Allowance for caregiver</t>
        </is>
      </c>
      <c r="C283" s="10" t="inlineStr">
        <is>
          <t>115.2 Other expenses during confinement not in bill — Allowance for caregiver</t>
        </is>
      </c>
      <c r="D283" s="10" t="inlineStr"/>
      <c r="E283" s="10" t="inlineStr"/>
      <c r="F283" s="10" t="inlineStr">
        <is>
          <t>H. Inpatient Care (cont. 4)</t>
        </is>
      </c>
      <c r="G283" s="10" t="inlineStr">
        <is>
          <t>numeric 1</t>
        </is>
      </c>
      <c r="H283" s="10" t="inlineStr">
        <is>
          <t>1 = Yes
2 = No</t>
        </is>
      </c>
      <c r="I283" s="10" t="inlineStr"/>
      <c r="J283" s="10" t="inlineStr"/>
    </row>
    <row r="284">
      <c r="A284" s="7" t="inlineStr">
        <is>
          <t>q1142_6_amt</t>
        </is>
      </c>
      <c r="B284" s="8" t="inlineStr">
        <is>
          <t>115.2 Other expenses during confinement not in bill — Allowance for caregiver (Amount in Pesos)</t>
        </is>
      </c>
      <c r="C284" s="8" t="inlineStr">
        <is>
          <t>115.2 Other expenses during confinement not in bill — Allowance for caregiver (Amount in Pesos)</t>
        </is>
      </c>
      <c r="D284" s="8" t="inlineStr"/>
      <c r="E284" s="8" t="inlineStr"/>
      <c r="F284" s="8" t="inlineStr">
        <is>
          <t>H. Inpatient Care (cont. 4)</t>
        </is>
      </c>
      <c r="G284" s="8" t="inlineStr">
        <is>
          <t>numeric 9</t>
        </is>
      </c>
      <c r="H284" s="8" t="inlineStr"/>
      <c r="I284" s="8" t="inlineStr"/>
      <c r="J284" s="8" t="inlineStr"/>
    </row>
    <row r="285">
      <c r="A285" s="9" t="inlineStr">
        <is>
          <t>q1142_7</t>
        </is>
      </c>
      <c r="B285" s="10" t="inlineStr">
        <is>
          <t>115.2 Other expenses during confinement not in bill — Other (specify)</t>
        </is>
      </c>
      <c r="C285" s="10" t="inlineStr">
        <is>
          <t>115.2 Other expenses during confinement not in bill — Other (specify)</t>
        </is>
      </c>
      <c r="D285" s="10" t="inlineStr"/>
      <c r="E285" s="10" t="inlineStr"/>
      <c r="F285" s="10" t="inlineStr">
        <is>
          <t>H. Inpatient Care (cont. 4)</t>
        </is>
      </c>
      <c r="G285" s="10" t="inlineStr">
        <is>
          <t>numeric 1</t>
        </is>
      </c>
      <c r="H285" s="10" t="inlineStr">
        <is>
          <t>1 = Yes
2 = No</t>
        </is>
      </c>
      <c r="I285" s="10" t="inlineStr"/>
      <c r="J285" s="10" t="inlineStr"/>
    </row>
    <row r="286">
      <c r="A286" s="7" t="inlineStr">
        <is>
          <t>q1142_7_amt</t>
        </is>
      </c>
      <c r="B286" s="8" t="inlineStr">
        <is>
          <t>115.2 Other expenses during confinement not in bill — Other (specify) (Amount in Pesos)</t>
        </is>
      </c>
      <c r="C286" s="8" t="inlineStr">
        <is>
          <t>115.2 Other expenses during confinement not in bill — Other (specify) (Amount in Pesos)</t>
        </is>
      </c>
      <c r="D286" s="8" t="inlineStr"/>
      <c r="E286" s="8" t="inlineStr"/>
      <c r="F286" s="8" t="inlineStr">
        <is>
          <t>H. Inpatient Care (cont. 4)</t>
        </is>
      </c>
      <c r="G286" s="8" t="inlineStr">
        <is>
          <t>numeric 9</t>
        </is>
      </c>
      <c r="H286" s="8" t="inlineStr"/>
      <c r="I286" s="8" t="inlineStr"/>
      <c r="J286" s="8" t="inlineStr"/>
    </row>
    <row r="287">
      <c r="A287" s="9" t="inlineStr">
        <is>
          <t>q1142_other_txt</t>
        </is>
      </c>
      <c r="B287" s="10" t="inlineStr">
        <is>
          <t>115.2 Other expenses — specify text</t>
        </is>
      </c>
      <c r="C287" s="10" t="inlineStr">
        <is>
          <t>115.2 Other expenses — specify text</t>
        </is>
      </c>
      <c r="D287" s="10" t="inlineStr"/>
      <c r="E287" s="10" t="inlineStr"/>
      <c r="F287" s="10" t="inlineStr">
        <is>
          <t>H. Inpatient Care (cont. 4)</t>
        </is>
      </c>
      <c r="G287" s="10" t="inlineStr">
        <is>
          <t>alpha 120</t>
        </is>
      </c>
      <c r="H287" s="10" t="inlineStr"/>
      <c r="I287" s="10" t="inlineStr"/>
      <c r="J287" s="10" t="inlineStr"/>
    </row>
    <row r="288">
      <c r="A288" s="7" t="inlineStr">
        <is>
          <t>q116_nbb_heard</t>
        </is>
      </c>
      <c r="B288" s="8" t="inlineStr">
        <is>
          <t>116. Have you heard of the No Balance Billing (NBB)?</t>
        </is>
      </c>
      <c r="C288" s="8" t="inlineStr">
        <is>
          <t>For this section, we will be asking about your awareness of NBB, ZBB, and MAIFIP. 116. Have you heard of the No Balance Billing (NBB)?</t>
        </is>
      </c>
      <c r="D288" s="8" t="inlineStr"/>
      <c r="E288" s="8">
        <f> No (2) or "I don't know" (3) → Q119 (skip Q117, Q118)</f>
        <v/>
      </c>
      <c r="F288" s="8" t="inlineStr">
        <is>
          <t>I. Financial Risk Protection</t>
        </is>
      </c>
      <c r="G288" s="8" t="inlineStr">
        <is>
          <t>numeric 1</t>
        </is>
      </c>
      <c r="H288" s="8" t="inlineStr">
        <is>
          <t>1 = Yes
2 = No</t>
        </is>
      </c>
      <c r="I288" s="8" t="inlineStr">
        <is>
          <t>3 = I don't know</t>
        </is>
      </c>
      <c r="J288" s="8" t="inlineStr">
        <is>
          <t>[HARD] Required, ∈ {1, 2, 3}</t>
        </is>
      </c>
    </row>
    <row r="289">
      <c r="A289" s="9" t="inlineStr">
        <is>
          <t>q117_nbb_source</t>
        </is>
      </c>
      <c r="B289" s="10" t="inlineStr">
        <is>
          <t>117. If yes, what are your sources of information about NBB?</t>
        </is>
      </c>
      <c r="C289" s="10" t="inlineStr">
        <is>
          <t>117. If yes, what are your sources of information about NBB? DO NOT READ OPTIONS OUT LOUD. SELECT ALL THAT APPLY.</t>
        </is>
      </c>
      <c r="D289" s="10" t="inlineStr">
        <is>
          <t>not asked when Q116 NBB_HEARD = No (2) or "I don't know" (3)</t>
        </is>
      </c>
      <c r="E289" s="10" t="inlineStr"/>
      <c r="F289" s="10" t="inlineStr">
        <is>
          <t>I. Financial Risk Protection</t>
        </is>
      </c>
      <c r="G289" s="10" t="inlineStr">
        <is>
          <t>alpha 16</t>
        </is>
      </c>
      <c r="H289" s="10" t="inlineStr">
        <is>
          <t>01 = News
02 = Legislation
03 = Social Media
04 = Friends / Family
05 = Health center/facility
06 = LGU/Barangay
99 = Other (Specify)</t>
        </is>
      </c>
      <c r="I289" s="10" t="inlineStr">
        <is>
          <t>90 = I don't know</t>
        </is>
      </c>
      <c r="J289" s="10" t="inlineStr">
        <is>
          <t>[HARD] ≥ 1 option ticked when enabled
[HARD] Cannot be combined with any other option</t>
        </is>
      </c>
    </row>
    <row r="290">
      <c r="A290" s="7" t="inlineStr">
        <is>
          <t>q117_nbb_source_other_txt</t>
        </is>
      </c>
      <c r="B290" s="8" t="inlineStr">
        <is>
          <t>117. If yes, what are your sources of information about NBB? — Other (specify) text</t>
        </is>
      </c>
      <c r="C290" s="8" t="inlineStr">
        <is>
          <t>117. If yes, what are your sources of information about NBB? — Other (specify) text</t>
        </is>
      </c>
      <c r="D290" s="8" t="inlineStr">
        <is>
          <t>not asked when Q116 NBB_HEARD = No (2) or "I don't know" (3)</t>
        </is>
      </c>
      <c r="E290" s="8" t="inlineStr"/>
      <c r="F290" s="8" t="inlineStr">
        <is>
          <t>I. Financial Risk Protection</t>
        </is>
      </c>
      <c r="G290" s="8" t="inlineStr">
        <is>
          <t>alpha 120</t>
        </is>
      </c>
      <c r="H290" s="8" t="inlineStr"/>
      <c r="I290" s="8" t="inlineStr"/>
      <c r="J290" s="8" t="inlineStr"/>
    </row>
    <row r="291">
      <c r="A291" s="9" t="inlineStr">
        <is>
          <t>q118_nbb_understand</t>
        </is>
      </c>
      <c r="B291" s="10" t="inlineStr">
        <is>
          <t>118. What is your understanding about NBB?</t>
        </is>
      </c>
      <c r="C291" s="10" t="inlineStr">
        <is>
          <t>118. What is your understanding about NBB? DO NOT READ OPTIONS OUT LOUD. SELECT ALL THAT APPLY.</t>
        </is>
      </c>
      <c r="D291" s="10" t="inlineStr">
        <is>
          <t>not asked when Q116 NBB_HEARD = No (2) or "I don't know" (3)</t>
        </is>
      </c>
      <c r="E291" s="10" t="inlineStr"/>
      <c r="F291" s="10" t="inlineStr">
        <is>
          <t>I. Financial Risk Protection</t>
        </is>
      </c>
      <c r="G291" s="10" t="inlineStr">
        <is>
          <t>alpha 18</t>
        </is>
      </c>
      <c r="H291" s="10" t="inlineStr">
        <is>
          <t>01 = Patient does not pay any hospital bill
02 = PhilHealth will cover cost of treatment
03 = Medicine and service are already included
04 = No cash payment required upon discharge
05 = Applies only to certain patients or hospitals
06 = Bills are settled between the hospital and PhilHealth
07 = Patients should not be charged extra fees
99 = Other (Specify)</t>
        </is>
      </c>
      <c r="I291" s="10" t="inlineStr">
        <is>
          <t>90 = I don't know</t>
        </is>
      </c>
      <c r="J291" s="10" t="inlineStr">
        <is>
          <t>[HARD] ≥ 1 option ticked when enabled
[HARD] Cannot be combined with any other option</t>
        </is>
      </c>
    </row>
    <row r="292">
      <c r="A292" s="7" t="inlineStr">
        <is>
          <t>q118_nbb_understand_other_txt</t>
        </is>
      </c>
      <c r="B292" s="8" t="inlineStr">
        <is>
          <t>118. What is your understanding about NBB? — Other (specify) text</t>
        </is>
      </c>
      <c r="C292" s="8" t="inlineStr">
        <is>
          <t>118. What is your understanding about NBB? — Other (specify) text</t>
        </is>
      </c>
      <c r="D292" s="8" t="inlineStr">
        <is>
          <t>not asked when Q116 NBB_HEARD = No (2) or "I don't know" (3)</t>
        </is>
      </c>
      <c r="E292" s="8" t="inlineStr"/>
      <c r="F292" s="8" t="inlineStr">
        <is>
          <t>I. Financial Risk Protection</t>
        </is>
      </c>
      <c r="G292" s="8" t="inlineStr">
        <is>
          <t>alpha 120</t>
        </is>
      </c>
      <c r="H292" s="8" t="inlineStr"/>
      <c r="I292" s="8" t="inlineStr"/>
      <c r="J292" s="8" t="inlineStr"/>
    </row>
    <row r="293">
      <c r="A293" s="9" t="inlineStr">
        <is>
          <t>q119_zbb_heard</t>
        </is>
      </c>
      <c r="B293" s="10" t="inlineStr">
        <is>
          <t>119. Have you heard of the Zero Balance Billing (ZBB)?</t>
        </is>
      </c>
      <c r="C293" s="10" t="inlineStr">
        <is>
          <t>119. Have you heard of the Zero Balance Billing (ZBB)?</t>
        </is>
      </c>
      <c r="D293" s="10" t="inlineStr"/>
      <c r="E293" s="10">
        <f> No (2) or "I don't know" (3) → Q124 (skip Q120, Q121, Q122, Q123)
= Yes and `PATIENT_TYPE ≠ Inpatient` → Q124 (Q122/Q123 presume a confinement context)</f>
        <v/>
      </c>
      <c r="F293" s="10" t="inlineStr">
        <is>
          <t>I. Financial Risk Protection</t>
        </is>
      </c>
      <c r="G293" s="10" t="inlineStr">
        <is>
          <t>numeric 1</t>
        </is>
      </c>
      <c r="H293" s="10" t="inlineStr">
        <is>
          <t>1 = Yes
2 = No</t>
        </is>
      </c>
      <c r="I293" s="10" t="inlineStr">
        <is>
          <t>3 = I don't know</t>
        </is>
      </c>
      <c r="J293" s="10" t="inlineStr">
        <is>
          <t>[HARD] Required, ∈ {1, 2, 3}</t>
        </is>
      </c>
    </row>
    <row r="294">
      <c r="A294" s="7" t="inlineStr">
        <is>
          <t>q120_zbb_source</t>
        </is>
      </c>
      <c r="B294" s="8" t="inlineStr">
        <is>
          <t>120. If yes, what are your sources of information about ZBB?</t>
        </is>
      </c>
      <c r="C294" s="8" t="inlineStr">
        <is>
          <t>120. If yes, what are your sources of information about ZBB? DO NOT READ OPTIONS OUT LOUD. SELECT ALL THAT APPLY.</t>
        </is>
      </c>
      <c r="D294" s="8" t="inlineStr">
        <is>
          <t>not asked when Q119 ZBB_HEARD = No (2) or "I don't know" (3)</t>
        </is>
      </c>
      <c r="E294" s="8" t="inlineStr"/>
      <c r="F294" s="8" t="inlineStr">
        <is>
          <t>I. Financial Risk Protection</t>
        </is>
      </c>
      <c r="G294" s="8" t="inlineStr">
        <is>
          <t>alpha 16</t>
        </is>
      </c>
      <c r="H294" s="8" t="inlineStr">
        <is>
          <t>01 = News
02 = Legislation
03 = Social Media
04 = Friends / Family
05 = Health center/facility
06 = LGU/Barangay
99 = Other (Specify)</t>
        </is>
      </c>
      <c r="I294" s="8" t="inlineStr">
        <is>
          <t>90 = I don't know</t>
        </is>
      </c>
      <c r="J294" s="8" t="inlineStr">
        <is>
          <t>[HARD] ≥ 1 option ticked when enabled
[HARD] Cannot be combined with any other option</t>
        </is>
      </c>
    </row>
    <row r="295">
      <c r="A295" s="9" t="inlineStr">
        <is>
          <t>q120_zbb_source_other_txt</t>
        </is>
      </c>
      <c r="B295" s="10" t="inlineStr">
        <is>
          <t>120. If yes, what are your sources of information about ZBB? — Other (specify) text</t>
        </is>
      </c>
      <c r="C295" s="10" t="inlineStr">
        <is>
          <t>120. If yes, what are your sources of information about ZBB? — Other (specify) text</t>
        </is>
      </c>
      <c r="D295" s="10" t="inlineStr">
        <is>
          <t>not asked when Q119 ZBB_HEARD = No (2) or "I don't know" (3)</t>
        </is>
      </c>
      <c r="E295" s="10" t="inlineStr"/>
      <c r="F295" s="10" t="inlineStr">
        <is>
          <t>I. Financial Risk Protection</t>
        </is>
      </c>
      <c r="G295" s="10" t="inlineStr">
        <is>
          <t>alpha 120</t>
        </is>
      </c>
      <c r="H295" s="10" t="inlineStr"/>
      <c r="I295" s="10" t="inlineStr"/>
      <c r="J295" s="10" t="inlineStr"/>
    </row>
    <row r="296">
      <c r="A296" s="7" t="inlineStr">
        <is>
          <t>q121_zbb_understand</t>
        </is>
      </c>
      <c r="B296" s="8" t="inlineStr">
        <is>
          <t>121. What is your understanding about ZBB?</t>
        </is>
      </c>
      <c r="C296" s="8" t="inlineStr">
        <is>
          <t>121. What is your understanding about ZBB? DO NOT READ OPTIONS OUT LOUD. SELECT ALL THAT APPLY.</t>
        </is>
      </c>
      <c r="D296" s="8" t="inlineStr">
        <is>
          <t>not asked when Q119 ZBB_HEARD = No (2) or "I don't know" (3)</t>
        </is>
      </c>
      <c r="E296" s="8" t="inlineStr"/>
      <c r="F296" s="8" t="inlineStr">
        <is>
          <t>I. Financial Risk Protection</t>
        </is>
      </c>
      <c r="G296" s="8" t="inlineStr">
        <is>
          <t>alpha 18</t>
        </is>
      </c>
      <c r="H296" s="8" t="inlineStr">
        <is>
          <t>01 = Patient does not pay any hospital bill
02 = PhilHealth will cover cost of treatment
03 = Medicine and service are already included
04 = No cash payment required upon discharge
05 = Applies only to PhilHealth members and DOH-run hospitals
06 = Bills are settled between the hospital and PhilHealth
07 = Patients should not be charged extra fees
99 = Other (Specify)</t>
        </is>
      </c>
      <c r="I296" s="8" t="inlineStr">
        <is>
          <t>90 = I don't know</t>
        </is>
      </c>
      <c r="J296" s="8" t="inlineStr">
        <is>
          <t>[HARD] ≥ 1 option ticked when enabled
[HARD] Cannot be combined with any other option</t>
        </is>
      </c>
    </row>
    <row r="297">
      <c r="A297" s="9" t="inlineStr">
        <is>
          <t>q121_zbb_understand_other_txt</t>
        </is>
      </c>
      <c r="B297" s="10" t="inlineStr">
        <is>
          <t>121. What is your understanding about ZBB? — Other (specify) text</t>
        </is>
      </c>
      <c r="C297" s="10" t="inlineStr">
        <is>
          <t>121. What is your understanding about ZBB? — Other (specify) text</t>
        </is>
      </c>
      <c r="D297" s="10" t="inlineStr">
        <is>
          <t>not asked when Q119 ZBB_HEARD = No (2) or "I don't know" (3)</t>
        </is>
      </c>
      <c r="E297" s="10" t="inlineStr"/>
      <c r="F297" s="10" t="inlineStr">
        <is>
          <t>I. Financial Risk Protection</t>
        </is>
      </c>
      <c r="G297" s="10" t="inlineStr">
        <is>
          <t>alpha 120</t>
        </is>
      </c>
      <c r="H297" s="10" t="inlineStr"/>
      <c r="I297" s="10" t="inlineStr"/>
      <c r="J297" s="10" t="inlineStr"/>
    </row>
    <row r="298">
      <c r="A298" s="7" t="inlineStr">
        <is>
          <t>q122_zbb_informed</t>
        </is>
      </c>
      <c r="B298" s="8" t="inlineStr">
        <is>
          <t>122. Were you informed about ZBB upon admission?</t>
        </is>
      </c>
      <c r="C298" s="8" t="inlineStr">
        <is>
          <t>122. Were you informed about ZBB upon admission?</t>
        </is>
      </c>
      <c r="D298" s="8" t="inlineStr">
        <is>
          <t>not asked when Q119 ZBB_HEARD = No (2) or "I don't know" (3)</t>
        </is>
      </c>
      <c r="E298" s="8" t="inlineStr"/>
      <c r="F298" s="8" t="inlineStr">
        <is>
          <t>I. Financial Risk Protection</t>
        </is>
      </c>
      <c r="G298" s="8" t="inlineStr">
        <is>
          <t>numeric 1</t>
        </is>
      </c>
      <c r="H298" s="8" t="inlineStr">
        <is>
          <t>1 = Yes
2 = No</t>
        </is>
      </c>
      <c r="I298" s="8" t="inlineStr"/>
      <c r="J298" s="8" t="inlineStr">
        <is>
          <t>[HARD] Required when enabled, ∈ {1, 2}</t>
        </is>
      </c>
    </row>
    <row r="299">
      <c r="A299" s="9" t="inlineStr">
        <is>
          <t>q123_zbb_extent</t>
        </is>
      </c>
      <c r="B299" s="10" t="inlineStr">
        <is>
          <t>123. To what extent did ZBB reduce your financial burden?</t>
        </is>
      </c>
      <c r="C299" s="10" t="inlineStr">
        <is>
          <t>123. To what extent did ZBB reduce your financial burden? READ OPTIONS OUT LOUD. SELECT ONE ANSWER ONLY.</t>
        </is>
      </c>
      <c r="D299" s="10" t="inlineStr">
        <is>
          <t>not asked when Q119 ZBB_HEARD = No (2) or "I don't know" (3)</t>
        </is>
      </c>
      <c r="E299" s="10" t="inlineStr"/>
      <c r="F299" s="10" t="inlineStr">
        <is>
          <t>I. Financial Risk Protection</t>
        </is>
      </c>
      <c r="G299" s="10" t="inlineStr">
        <is>
          <t>numeric 1</t>
        </is>
      </c>
      <c r="H299" s="10" t="inlineStr">
        <is>
          <t>1 = ZBB significantly reduced my financial burden by covering my expenses
2 = It helped lessen some costs, but I still incurred Out-of-Pocket (OOP) expenses
3 = ZBB provided some financial relief, though the support was limited compared to my total needs
4 = ZBB did not make a noticeable difference in my financial situation</t>
        </is>
      </c>
      <c r="I299" s="10" t="inlineStr"/>
      <c r="J299" s="10" t="inlineStr">
        <is>
          <t>[HARD] Required when enabled, ∈ {1–4}</t>
        </is>
      </c>
    </row>
    <row r="300">
      <c r="A300" s="7" t="inlineStr">
        <is>
          <t>q124_maifip_heard</t>
        </is>
      </c>
      <c r="B300" s="8" t="inlineStr">
        <is>
          <t>124. Have you heard of the Medical Assistance for Indigent and Financially Incapacitated Patients (MAIFIP)?</t>
        </is>
      </c>
      <c r="C300" s="8" t="inlineStr">
        <is>
          <t>124. Have you heard of the Medical Assistance for Indigent and Financially Incapacitated Patients (MAIFIP)?</t>
        </is>
      </c>
      <c r="D300" s="8" t="inlineStr"/>
      <c r="E300" s="8">
        <f> No (2) or "I don't know" (3) → Q130 (skip Q125–Q129)</f>
        <v/>
      </c>
      <c r="F300" s="8" t="inlineStr">
        <is>
          <t>I. Financial Risk Protection</t>
        </is>
      </c>
      <c r="G300" s="8" t="inlineStr">
        <is>
          <t>numeric 1</t>
        </is>
      </c>
      <c r="H300" s="8" t="inlineStr">
        <is>
          <t>1 = Yes
2 = No</t>
        </is>
      </c>
      <c r="I300" s="8" t="inlineStr">
        <is>
          <t>3 = I don't know</t>
        </is>
      </c>
      <c r="J300" s="8" t="inlineStr">
        <is>
          <t>[HARD] Required, ∈ {1, 2, 3}</t>
        </is>
      </c>
    </row>
    <row r="301">
      <c r="A301" s="9" t="inlineStr">
        <is>
          <t>q125_maifip_source</t>
        </is>
      </c>
      <c r="B301" s="10" t="inlineStr">
        <is>
          <t>125. What are your sources of information about MAIFIP?</t>
        </is>
      </c>
      <c r="C301" s="10" t="inlineStr">
        <is>
          <t>125. What are your sources of information about MAIFIP? DO NOT READ OPTIONS OUT LOUD. SELECT ALL THAT APPLY.</t>
        </is>
      </c>
      <c r="D301" s="10" t="inlineStr">
        <is>
          <t>not asked when Q124 MAIFIP_HEARD = No (2) or "I don't know" (3)</t>
        </is>
      </c>
      <c r="E301" s="10" t="inlineStr"/>
      <c r="F301" s="10" t="inlineStr">
        <is>
          <t>I. Financial Risk Protection</t>
        </is>
      </c>
      <c r="G301" s="10" t="inlineStr">
        <is>
          <t>alpha 16</t>
        </is>
      </c>
      <c r="H301" s="10" t="inlineStr">
        <is>
          <t>01 = News
02 = Legislation
03 = Social Media
04 = Friends / Family
05 = Health center/facility
06 = LGU/Barangay
99 = Other (Specify)</t>
        </is>
      </c>
      <c r="I301" s="10" t="inlineStr">
        <is>
          <t>90 = I don't know</t>
        </is>
      </c>
      <c r="J301" s="10" t="inlineStr">
        <is>
          <t>[HARD] ≥ 1 option ticked when enabled
[HARD] Cannot be combined with any other option</t>
        </is>
      </c>
    </row>
    <row r="302">
      <c r="A302" s="7" t="inlineStr">
        <is>
          <t>q125_maifip_source_other_txt</t>
        </is>
      </c>
      <c r="B302" s="8" t="inlineStr">
        <is>
          <t>125. What are your sources of information about MAIFIP? — Other (specify) text</t>
        </is>
      </c>
      <c r="C302" s="8" t="inlineStr">
        <is>
          <t>125. What are your sources of information about MAIFIP? — Other (specify) text</t>
        </is>
      </c>
      <c r="D302" s="8" t="inlineStr">
        <is>
          <t>not asked when Q124 MAIFIP_HEARD = No (2) or "I don't know" (3)</t>
        </is>
      </c>
      <c r="E302" s="8" t="inlineStr"/>
      <c r="F302" s="8" t="inlineStr">
        <is>
          <t>I. Financial Risk Protection</t>
        </is>
      </c>
      <c r="G302" s="8" t="inlineStr">
        <is>
          <t>alpha 120</t>
        </is>
      </c>
      <c r="H302" s="8" t="inlineStr"/>
      <c r="I302" s="8" t="inlineStr"/>
      <c r="J302" s="8" t="inlineStr"/>
    </row>
    <row r="303">
      <c r="A303" s="9" t="inlineStr">
        <is>
          <t>q126_maifip_availed</t>
        </is>
      </c>
      <c r="B303" s="10" t="inlineStr">
        <is>
          <t>126. Did you avail of MAIFIP in this last confinement?</t>
        </is>
      </c>
      <c r="C303" s="10" t="inlineStr">
        <is>
          <t>126. Did you avail of MAIFIP in this last confinement?</t>
        </is>
      </c>
      <c r="D303" s="10" t="inlineStr"/>
      <c r="E303" s="10">
        <f> No → Q129 (skip Q127, Q128)</f>
        <v/>
      </c>
      <c r="F303" s="10" t="inlineStr">
        <is>
          <t>I. Financial Risk Protection</t>
        </is>
      </c>
      <c r="G303" s="10" t="inlineStr">
        <is>
          <t>numeric 1</t>
        </is>
      </c>
      <c r="H303" s="10" t="inlineStr">
        <is>
          <t>1 = Yes
2 = No</t>
        </is>
      </c>
      <c r="I303" s="10" t="inlineStr"/>
      <c r="J303" s="10" t="inlineStr">
        <is>
          <t>[HARD] Required when enabled, ∈ {1, 2}; must = Yes if `Q113_PAY_07 = Yes`</t>
        </is>
      </c>
    </row>
    <row r="304">
      <c r="A304" s="7" t="inlineStr">
        <is>
          <t>q127_maifip_oop</t>
        </is>
      </c>
      <c r="B304" s="8" t="inlineStr">
        <is>
          <t>127. If you availed MAIFIP, did you have to make any out-of-pocket payment?</t>
        </is>
      </c>
      <c r="C304" s="8" t="inlineStr">
        <is>
          <t>127. If you availed MAIFIP, did you have to make any out-of-pocket payment?</t>
        </is>
      </c>
      <c r="D304" s="8" t="inlineStr">
        <is>
          <t>not asked when Q126 MAIFIP_AVAILED = No
not asked when Q128 MAIFIP_OOP_ITEMS (after completion)</t>
        </is>
      </c>
      <c r="E304" s="8">
        <f> No → Q130 (skip Q128, Q129)</f>
        <v/>
      </c>
      <c r="F304" s="8" t="inlineStr">
        <is>
          <t>I. Financial Risk Protection</t>
        </is>
      </c>
      <c r="G304" s="8" t="inlineStr">
        <is>
          <t>numeric 1</t>
        </is>
      </c>
      <c r="H304" s="8" t="inlineStr">
        <is>
          <t>1 = Yes
2 = No</t>
        </is>
      </c>
      <c r="I304" s="8" t="inlineStr"/>
      <c r="J304" s="8" t="inlineStr">
        <is>
          <t>[HARD] Required when enabled, ∈ {1, 2}</t>
        </is>
      </c>
    </row>
    <row r="305">
      <c r="A305" s="9" t="inlineStr">
        <is>
          <t>q128_maifip_oop_items</t>
        </is>
      </c>
      <c r="B305" s="10" t="inlineStr">
        <is>
          <t>128. Which items did you have to pay for out-of-pocket?</t>
        </is>
      </c>
      <c r="C305" s="10" t="inlineStr">
        <is>
          <t>128. Which items did you have to pay for out-of-pocket?</t>
        </is>
      </c>
      <c r="D305" s="10" t="inlineStr">
        <is>
          <t>not asked when Q126 MAIFIP_AVAILED = No
not asked when Q127 MAIFIP_OOP = No</t>
        </is>
      </c>
      <c r="E305" s="10" t="inlineStr">
        <is>
          <t>(after completion) → Q130 (skip Q129 — reached only via Q127 = Yes path)</t>
        </is>
      </c>
      <c r="F305" s="10" t="inlineStr">
        <is>
          <t>I. Financial Risk Protection</t>
        </is>
      </c>
      <c r="G305" s="10" t="inlineStr">
        <is>
          <t>alpha 12</t>
        </is>
      </c>
      <c r="H305" s="10" t="inlineStr">
        <is>
          <t>01 = Drugs
02 = Laboratory
03 = Professional Fees
04 = Accommodation
90 = None
99 = Other (specify)</t>
        </is>
      </c>
      <c r="I305" s="10" t="inlineStr"/>
      <c r="J305" s="10" t="inlineStr">
        <is>
          <t>[HARD] ≥ 1 option ticked when enabled</t>
        </is>
      </c>
    </row>
    <row r="306">
      <c r="A306" s="7" t="inlineStr">
        <is>
          <t>q128_maifip_oop_items_other_txt</t>
        </is>
      </c>
      <c r="B306" s="8" t="inlineStr">
        <is>
          <t>128. Which items did you have to pay for out-of-pocket? — Other (specify) text</t>
        </is>
      </c>
      <c r="C306" s="8" t="inlineStr">
        <is>
          <t>128. Which items did you have to pay for out-of-pocket? — Other (specify) text</t>
        </is>
      </c>
      <c r="D306" s="8" t="inlineStr">
        <is>
          <t>not asked when Q126 MAIFIP_AVAILED = No
not asked when Q127 MAIFIP_OOP = No</t>
        </is>
      </c>
      <c r="E306" s="8" t="inlineStr"/>
      <c r="F306" s="8" t="inlineStr">
        <is>
          <t>I. Financial Risk Protection</t>
        </is>
      </c>
      <c r="G306" s="8" t="inlineStr">
        <is>
          <t>alpha 120</t>
        </is>
      </c>
      <c r="H306" s="8" t="inlineStr"/>
      <c r="I306" s="8" t="inlineStr"/>
      <c r="J306" s="8" t="inlineStr"/>
    </row>
    <row r="307">
      <c r="A307" s="9" t="inlineStr">
        <is>
          <t>q129_why_no_maifip</t>
        </is>
      </c>
      <c r="B307" s="10" t="inlineStr">
        <is>
          <t>129. Why did you not avail of MAIFIP during this last confinement?</t>
        </is>
      </c>
      <c r="C307" s="10" t="inlineStr">
        <is>
          <t>129. Why did you not avail of MAIFIP during this last confinement?</t>
        </is>
      </c>
      <c r="D307" s="10" t="inlineStr">
        <is>
          <t>not asked when Q124 MAIFIP_HEARD = No (2) or "I don't know" (3)
not asked when Q127 MAIFIP_OOP = No
not asked when Q128 MAIFIP_OOP_ITEMS (after completion)</t>
        </is>
      </c>
      <c r="E307" s="10" t="inlineStr"/>
      <c r="F307" s="10" t="inlineStr">
        <is>
          <t>I. Financial Risk Protection</t>
        </is>
      </c>
      <c r="G307" s="10" t="inlineStr">
        <is>
          <t>alpha 10</t>
        </is>
      </c>
      <c r="H307" s="10" t="inlineStr">
        <is>
          <t>01 = Not eligible
02 = Too complicated
03 = I don't like to stay in basic ward
04 = There is no available basic ward
99 = Other (specify)</t>
        </is>
      </c>
      <c r="I307" s="10" t="inlineStr"/>
      <c r="J307" s="10" t="inlineStr">
        <is>
          <t>[HARD] ≥ 1 option ticked when enabled; ∈ {1–4}</t>
        </is>
      </c>
    </row>
    <row r="308">
      <c r="A308" s="7" t="inlineStr">
        <is>
          <t>q129_why_no_maifip_other_txt</t>
        </is>
      </c>
      <c r="B308" s="8" t="inlineStr">
        <is>
          <t>129. Why did you not avail of MAIFIP during this last confinement? — Other (specify) text</t>
        </is>
      </c>
      <c r="C308" s="8" t="inlineStr">
        <is>
          <t>129. Why did you not avail of MAIFIP during this last confinement? — Other (specify) text</t>
        </is>
      </c>
      <c r="D308" s="8" t="inlineStr">
        <is>
          <t>not asked when Q124 MAIFIP_HEARD = No (2) or "I don't know" (3)
not asked when Q127 MAIFIP_OOP = No
not asked when Q128 MAIFIP_OOP_ITEMS (after completion)</t>
        </is>
      </c>
      <c r="E308" s="8" t="inlineStr"/>
      <c r="F308" s="8" t="inlineStr">
        <is>
          <t>I. Financial Risk Protection</t>
        </is>
      </c>
      <c r="G308" s="8" t="inlineStr">
        <is>
          <t>alpha 120</t>
        </is>
      </c>
      <c r="H308" s="8" t="inlineStr"/>
      <c r="I308" s="8" t="inlineStr"/>
      <c r="J308" s="8" t="inlineStr"/>
    </row>
    <row r="309">
      <c r="A309" s="9" t="inlineStr">
        <is>
          <t>q130_reduced_spend</t>
        </is>
      </c>
      <c r="B309" s="10" t="inlineStr">
        <is>
          <t>130. Have you or your household had to reduce spending on things you need (such as food, housing, or utilities) because of this health expenditure in the last 1 month?</t>
        </is>
      </c>
      <c r="C309" s="10" t="inlineStr">
        <is>
          <t>130. Have you or your household had to reduce spending on things you need (such as food, housing, or utilities) because of this health expenditure in the last 1 month?</t>
        </is>
      </c>
      <c r="D309" s="10" t="inlineStr"/>
      <c r="E309" s="10" t="inlineStr"/>
      <c r="F309" s="10" t="inlineStr">
        <is>
          <t>I. Financial Risk Protection</t>
        </is>
      </c>
      <c r="G309" s="10" t="inlineStr">
        <is>
          <t>numeric 1</t>
        </is>
      </c>
      <c r="H309" s="10" t="inlineStr">
        <is>
          <t>1 = Yes
2 = No</t>
        </is>
      </c>
      <c r="I309" s="10" t="inlineStr">
        <is>
          <t>3 = Don't know
4 = Refused to answer</t>
        </is>
      </c>
      <c r="J309" s="10" t="inlineStr">
        <is>
          <t>[HARD] Required (asked for all patients), ∈ {1–4}</t>
        </is>
      </c>
    </row>
    <row r="310">
      <c r="A310" s="7" t="inlineStr">
        <is>
          <t>q131_amen_waiting</t>
        </is>
      </c>
      <c r="B310" s="8" t="inlineStr">
        <is>
          <t>131. Satisfaction with cleanliness and comfort — Waiting areas</t>
        </is>
      </c>
      <c r="C310" s="8" t="inlineStr">
        <is>
          <t>The following questions relate to the patient’s most recent experience with ~~FACILITY_NAME~~ as an ~~getvaluelabel(PATIENT_TYPE)~~, where we invited you to participate in our survey on ~~edit("99/99/9999", sysdate("MMDDYYYY"))~~. How would you rate the cleanliness and comfort of the following amenities at this facility? 131. Satisfaction with cleanliness and comfort — Waiting areas</t>
        </is>
      </c>
      <c r="D310" s="8" t="inlineStr"/>
      <c r="E310" s="8" t="inlineStr"/>
      <c r="F310" s="8" t="inlineStr">
        <is>
          <t>J. Satisfaction on Amenities and Medical Care</t>
        </is>
      </c>
      <c r="G310" s="8" t="inlineStr">
        <is>
          <t>numeric 1</t>
        </is>
      </c>
      <c r="H310" s="8" t="inlineStr">
        <is>
          <t>1 = Very Satisfied
2 = Satisfied
3 = Neither Satisfied nor Dissatisfied
4 = Dissatisfied
5 = Very Dissatisfied</t>
        </is>
      </c>
      <c r="I310" s="8" t="inlineStr">
        <is>
          <t>9 = Not applicable</t>
        </is>
      </c>
      <c r="J310" s="8" t="inlineStr">
        <is>
          <t>[HARD] Required, ∈ SATISFACTION_5PT codes</t>
        </is>
      </c>
    </row>
    <row r="311">
      <c r="A311" s="9" t="inlineStr">
        <is>
          <t>q132_amen_bathrooms</t>
        </is>
      </c>
      <c r="B311" s="10" t="inlineStr">
        <is>
          <t>132. Satisfaction with cleanliness and comfort — Bathrooms and toilets</t>
        </is>
      </c>
      <c r="C311" s="10" t="inlineStr">
        <is>
          <t>132. Satisfaction with cleanliness and comfort — Bathrooms and toilets</t>
        </is>
      </c>
      <c r="D311" s="10" t="inlineStr"/>
      <c r="E311" s="10" t="inlineStr"/>
      <c r="F311" s="10" t="inlineStr">
        <is>
          <t>J. Satisfaction on Amenities and Medical Care</t>
        </is>
      </c>
      <c r="G311" s="10" t="inlineStr">
        <is>
          <t>numeric 1</t>
        </is>
      </c>
      <c r="H311" s="10" t="inlineStr">
        <is>
          <t>1 = Very Satisfied
2 = Satisfied
3 = Neither Satisfied nor Dissatisfied
4 = Dissatisfied
5 = Very Dissatisfied</t>
        </is>
      </c>
      <c r="I311" s="10" t="inlineStr">
        <is>
          <t>9 = Not applicable</t>
        </is>
      </c>
      <c r="J311" s="10" t="inlineStr">
        <is>
          <t>[HARD] Required, ∈ SATISFACTION_5PT codes</t>
        </is>
      </c>
    </row>
    <row r="312">
      <c r="A312" s="7" t="inlineStr">
        <is>
          <t>q133_amen_consult_rooms</t>
        </is>
      </c>
      <c r="B312" s="8" t="inlineStr">
        <is>
          <t>133. Satisfaction with cleanliness and comfort — Consultation Rooms</t>
        </is>
      </c>
      <c r="C312" s="8" t="inlineStr">
        <is>
          <t>133. Satisfaction with cleanliness and comfort — Consultation Rooms</t>
        </is>
      </c>
      <c r="D312" s="8" t="inlineStr"/>
      <c r="E312" s="8" t="inlineStr"/>
      <c r="F312" s="8" t="inlineStr">
        <is>
          <t>J. Satisfaction on Amenities and Medical Care</t>
        </is>
      </c>
      <c r="G312" s="8" t="inlineStr">
        <is>
          <t>numeric 1</t>
        </is>
      </c>
      <c r="H312" s="8" t="inlineStr">
        <is>
          <t>1 = Very Satisfied
2 = Satisfied
3 = Neither Satisfied nor Dissatisfied
4 = Dissatisfied
5 = Very Dissatisfied</t>
        </is>
      </c>
      <c r="I312" s="8" t="inlineStr">
        <is>
          <t>9 = Not applicable</t>
        </is>
      </c>
      <c r="J312" s="8" t="inlineStr">
        <is>
          <t>[HARD] Required, ∈ SATISFACTION_5PT codes</t>
        </is>
      </c>
    </row>
    <row r="313">
      <c r="A313" s="9" t="inlineStr">
        <is>
          <t>q134_amen_rooms</t>
        </is>
      </c>
      <c r="B313" s="10" t="inlineStr">
        <is>
          <t>134. Satisfaction with cleanliness and comfort — Rooms (for inpatients only)</t>
        </is>
      </c>
      <c r="C313" s="10" t="inlineStr">
        <is>
          <t>134. Satisfaction with cleanliness and comfort — Rooms (for inpatients only)</t>
        </is>
      </c>
      <c r="D313" s="10" t="inlineStr"/>
      <c r="E313" s="10" t="inlineStr"/>
      <c r="F313" s="10" t="inlineStr">
        <is>
          <t>J. Satisfaction on Amenities and Medical Care</t>
        </is>
      </c>
      <c r="G313" s="10" t="inlineStr">
        <is>
          <t>numeric 1</t>
        </is>
      </c>
      <c r="H313" s="10" t="inlineStr">
        <is>
          <t>1 = Very Satisfied
2 = Satisfied
3 = Neither Satisfied nor Dissatisfied
4 = Dissatisfied
5 = Very Dissatisfied</t>
        </is>
      </c>
      <c r="I313" s="10" t="inlineStr">
        <is>
          <t>9 = Not applicable</t>
        </is>
      </c>
      <c r="J313" s="10" t="inlineStr">
        <is>
          <t>[HARD] Required when enabled, ∈ SATISFACTION_5PT codes</t>
        </is>
      </c>
    </row>
    <row r="314">
      <c r="A314" s="7" t="inlineStr">
        <is>
          <t>q135_sat_overall_time</t>
        </is>
      </c>
      <c r="B314" s="8" t="inlineStr">
        <is>
          <t>135. Were you satisfied with the overall time spent from registration to exiting the facility?</t>
        </is>
      </c>
      <c r="C314" s="8" t="inlineStr">
        <is>
          <t>135. Were you satisfied with the overall time spent from registration to exiting the facility?</t>
        </is>
      </c>
      <c r="D314" s="8" t="inlineStr"/>
      <c r="E314" s="8" t="inlineStr"/>
      <c r="F314" s="8" t="inlineStr">
        <is>
          <t>J. Satisfaction on Amenities and Medical Care</t>
        </is>
      </c>
      <c r="G314" s="8" t="inlineStr">
        <is>
          <t>numeric 1</t>
        </is>
      </c>
      <c r="H314" s="8" t="inlineStr">
        <is>
          <t>1 = Very Satisfied
2 = Satisfied
3 = Neither Satisfied nor Dissatisfied
4 = Dissatisfied
5 = Very Dissatisfied</t>
        </is>
      </c>
      <c r="I314" s="8" t="inlineStr">
        <is>
          <t>9 = Not applicable</t>
        </is>
      </c>
      <c r="J314" s="8" t="inlineStr">
        <is>
          <t>[HARD] Required when enabled, ∈ SATISFACTION_5PT codes</t>
        </is>
      </c>
    </row>
    <row r="315">
      <c r="A315" s="9" t="inlineStr">
        <is>
          <t>q136_staff_courtesy</t>
        </is>
      </c>
      <c r="B315" s="10" t="inlineStr">
        <is>
          <t>136. In most recent visit, how often did the staff treat you with courtesy and respect?</t>
        </is>
      </c>
      <c r="C315" s="10" t="inlineStr">
        <is>
          <t>136. In most recent visit, how often did the staff treat you with courtesy and respect?</t>
        </is>
      </c>
      <c r="D315" s="10" t="inlineStr"/>
      <c r="E315" s="10" t="inlineStr"/>
      <c r="F315" s="10" t="inlineStr">
        <is>
          <t>J. Satisfaction on Amenities and Medical Care</t>
        </is>
      </c>
      <c r="G315" s="10" t="inlineStr">
        <is>
          <t>numeric 1</t>
        </is>
      </c>
      <c r="H315" s="10" t="inlineStr">
        <is>
          <t>1 = Never
2 = Sometimes
3 = Usually
4 = Always</t>
        </is>
      </c>
      <c r="I315" s="10" t="inlineStr">
        <is>
          <t>5 = I don't know</t>
        </is>
      </c>
      <c r="J315" s="10" t="inlineStr">
        <is>
          <t>[HARD] Required, ∈ FREQUENCY_5PT codes</t>
        </is>
      </c>
    </row>
    <row r="316">
      <c r="A316" s="7" t="inlineStr">
        <is>
          <t>q137_staff_listen</t>
        </is>
      </c>
      <c r="B316" s="8" t="inlineStr">
        <is>
          <t>137. In most recent visit, how often did the staff listen carefully to what you say or ask?</t>
        </is>
      </c>
      <c r="C316" s="8" t="inlineStr">
        <is>
          <t>137. In most recent visit, how often did the staff listen carefully to what you say or ask?</t>
        </is>
      </c>
      <c r="D316" s="8" t="inlineStr"/>
      <c r="E316" s="8" t="inlineStr"/>
      <c r="F316" s="8" t="inlineStr">
        <is>
          <t>J. Satisfaction on Amenities and Medical Care</t>
        </is>
      </c>
      <c r="G316" s="8" t="inlineStr">
        <is>
          <t>numeric 1</t>
        </is>
      </c>
      <c r="H316" s="8" t="inlineStr">
        <is>
          <t>1 = Never
2 = Sometimes
3 = Usually
4 = Always</t>
        </is>
      </c>
      <c r="I316" s="8" t="inlineStr">
        <is>
          <t>5 = I don't know</t>
        </is>
      </c>
      <c r="J316" s="8" t="inlineStr">
        <is>
          <t>[HARD] Required, ∈ FREQUENCY_5PT codes</t>
        </is>
      </c>
    </row>
    <row r="317">
      <c r="A317" s="9" t="inlineStr">
        <is>
          <t>q138_staff_explain</t>
        </is>
      </c>
      <c r="B317" s="10" t="inlineStr">
        <is>
          <t>138. In most recent visit, how often did the staff explain your condition and procedures in a way you can understand?</t>
        </is>
      </c>
      <c r="C317" s="10" t="inlineStr">
        <is>
          <t>138. In most recent visit, how often did the staff explain your condition and procedures in a way you can understand?</t>
        </is>
      </c>
      <c r="D317" s="10" t="inlineStr"/>
      <c r="E317" s="10" t="inlineStr"/>
      <c r="F317" s="10" t="inlineStr">
        <is>
          <t>J. Satisfaction on Amenities and Medical Care</t>
        </is>
      </c>
      <c r="G317" s="10" t="inlineStr">
        <is>
          <t>numeric 1</t>
        </is>
      </c>
      <c r="H317" s="10" t="inlineStr">
        <is>
          <t>1 = Never
2 = Sometimes
3 = Usually
4 = Always</t>
        </is>
      </c>
      <c r="I317" s="10" t="inlineStr">
        <is>
          <t>5 = I don't know</t>
        </is>
      </c>
      <c r="J317" s="10" t="inlineStr">
        <is>
          <t>[HARD] Required, ∈ FREQUENCY_5PT codes</t>
        </is>
      </c>
    </row>
    <row r="318">
      <c r="A318" s="7" t="inlineStr">
        <is>
          <t>q139_staff_decide</t>
        </is>
      </c>
      <c r="B318" s="8" t="inlineStr">
        <is>
          <t>139. In most recent visit, how often did the staff give you the chance to make decisions about your treatment?</t>
        </is>
      </c>
      <c r="C318" s="8" t="inlineStr">
        <is>
          <t>139. In most recent visit, how often did the staff give you the chance to make decisions about your treatment?</t>
        </is>
      </c>
      <c r="D318" s="8" t="inlineStr"/>
      <c r="E318" s="8" t="inlineStr"/>
      <c r="F318" s="8" t="inlineStr">
        <is>
          <t>J. Satisfaction on Amenities and Medical Care</t>
        </is>
      </c>
      <c r="G318" s="8" t="inlineStr">
        <is>
          <t>numeric 1</t>
        </is>
      </c>
      <c r="H318" s="8" t="inlineStr">
        <is>
          <t>1 = Never
2 = Sometimes
3 = Usually
4 = Always</t>
        </is>
      </c>
      <c r="I318" s="8" t="inlineStr">
        <is>
          <t>5 = I don't know</t>
        </is>
      </c>
      <c r="J318" s="8" t="inlineStr">
        <is>
          <t>[HARD] Required, ∈ FREQUENCY_5PT codes</t>
        </is>
      </c>
    </row>
    <row r="319">
      <c r="A319" s="9" t="inlineStr">
        <is>
          <t>q140_staff_consent</t>
        </is>
      </c>
      <c r="B319" s="10" t="inlineStr">
        <is>
          <t>140. In most recent visit, how often did the staff ask you for your consent before performing any treatments or tests?</t>
        </is>
      </c>
      <c r="C319" s="10" t="inlineStr">
        <is>
          <t>140. In most recent visit, how often did the staff ask you for your consent before performing any treatments or tests?</t>
        </is>
      </c>
      <c r="D319" s="10" t="inlineStr"/>
      <c r="E319" s="10" t="inlineStr"/>
      <c r="F319" s="10" t="inlineStr">
        <is>
          <t>J. Satisfaction on Amenities and Medical Care</t>
        </is>
      </c>
      <c r="G319" s="10" t="inlineStr">
        <is>
          <t>numeric 1</t>
        </is>
      </c>
      <c r="H319" s="10" t="inlineStr">
        <is>
          <t>1 = Never
2 = Sometimes
3 = Usually
4 = Always</t>
        </is>
      </c>
      <c r="I319" s="10" t="inlineStr">
        <is>
          <t>5 = I don't know</t>
        </is>
      </c>
      <c r="J319" s="10" t="inlineStr">
        <is>
          <t>[HARD] Required, ∈ FREQUENCY_5PT codes</t>
        </is>
      </c>
    </row>
    <row r="320">
      <c r="A320" s="7" t="inlineStr">
        <is>
          <t>q141_confidentiality</t>
        </is>
      </c>
      <c r="B320" s="8" t="inlineStr">
        <is>
          <t>141. In your most recent visit, did the staff assure you that information about the patient's condition will be kept confidential?</t>
        </is>
      </c>
      <c r="C320" s="8" t="inlineStr">
        <is>
          <t>141. In your most recent visit, did the staff assure you that information about the patient's condition will be kept confidential? For example, they did not disclose any of your private medical information to anyone not involved in your care.</t>
        </is>
      </c>
      <c r="D320" s="8" t="inlineStr"/>
      <c r="E320" s="8" t="inlineStr"/>
      <c r="F320" s="8" t="inlineStr">
        <is>
          <t>J. Satisfaction on Amenities and Medical Care</t>
        </is>
      </c>
      <c r="G320" s="8" t="inlineStr">
        <is>
          <t>numeric 1</t>
        </is>
      </c>
      <c r="H320" s="8" t="inlineStr">
        <is>
          <t>1 = Yes
2 = No</t>
        </is>
      </c>
      <c r="I320" s="8" t="inlineStr">
        <is>
          <t>3 = I don't know</t>
        </is>
      </c>
      <c r="J320" s="8" t="inlineStr">
        <is>
          <t>[HARD] Required, ∈ {1, 2, 3} (Yes/No/IDK)</t>
        </is>
      </c>
    </row>
    <row r="321">
      <c r="A321" s="9" t="inlineStr">
        <is>
          <t>q142_privacy</t>
        </is>
      </c>
      <c r="B321" s="10" t="inlineStr">
        <is>
          <t>142. In your most recent visit, did the staff respect your privacy during the physical consultation?</t>
        </is>
      </c>
      <c r="C321" s="10" t="inlineStr">
        <is>
          <t>142. In your most recent visit, did the staff respect your privacy during the physical consultation? For example, your consultation was done in a private area, and no one could overhear your private medical information.</t>
        </is>
      </c>
      <c r="D321" s="10" t="inlineStr"/>
      <c r="E321" s="10" t="inlineStr"/>
      <c r="F321" s="10" t="inlineStr">
        <is>
          <t>J. Satisfaction on Amenities and Medical Care</t>
        </is>
      </c>
      <c r="G321" s="10" t="inlineStr">
        <is>
          <t>numeric 1</t>
        </is>
      </c>
      <c r="H321" s="10" t="inlineStr">
        <is>
          <t>1 = Yes
2 = No</t>
        </is>
      </c>
      <c r="I321" s="10" t="inlineStr">
        <is>
          <t>3 = I don't know</t>
        </is>
      </c>
      <c r="J321" s="10" t="inlineStr">
        <is>
          <t>[HARD] Required, ∈ {1, 2, 3} (Yes/No/IDK)</t>
        </is>
      </c>
    </row>
    <row r="322">
      <c r="A322" s="7" t="inlineStr">
        <is>
          <t>q143_recommend</t>
        </is>
      </c>
      <c r="B322" s="8" t="inlineStr">
        <is>
          <t>143. Overall, would you recommend this facility to a friend or relative?</t>
        </is>
      </c>
      <c r="C322" s="8" t="inlineStr">
        <is>
          <t>143. Overall, would you recommend ~~FACILITY_NAME~~ to a friend or relative?</t>
        </is>
      </c>
      <c r="D322" s="8" t="inlineStr"/>
      <c r="E322" s="8" t="inlineStr"/>
      <c r="F322" s="8" t="inlineStr">
        <is>
          <t>J. Satisfaction on Amenities and Medical Care</t>
        </is>
      </c>
      <c r="G322" s="8" t="inlineStr">
        <is>
          <t>numeric 1</t>
        </is>
      </c>
      <c r="H322" s="8" t="inlineStr">
        <is>
          <t>1 = Yes
2 = No</t>
        </is>
      </c>
      <c r="I322" s="8" t="inlineStr"/>
      <c r="J322" s="8" t="inlineStr">
        <is>
          <t>[HARD] Required, ∈ {1, 2}</t>
        </is>
      </c>
    </row>
    <row r="323">
      <c r="A323" s="9" t="inlineStr">
        <is>
          <t>q144_quality</t>
        </is>
      </c>
      <c r="B323" s="10" t="inlineStr">
        <is>
          <t>144. How would the patient rate the quality of care you received at this facility?</t>
        </is>
      </c>
      <c r="C323" s="10" t="inlineStr">
        <is>
          <t>144. How would the patient rate the quality of care you received at ~~FACILITY_NAME~~?</t>
        </is>
      </c>
      <c r="D323" s="10" t="inlineStr"/>
      <c r="E323" s="10" t="inlineStr"/>
      <c r="F323" s="10" t="inlineStr">
        <is>
          <t>J. Satisfaction on Amenities and Medical Care</t>
        </is>
      </c>
      <c r="G323" s="10" t="inlineStr">
        <is>
          <t>numeric 1</t>
        </is>
      </c>
      <c r="H323" s="10" t="inlineStr">
        <is>
          <t>1 = Very Satisfied
2 = Satisfied
3 = Neither Satisfied nor Dissatisfied
4 = Dissatisfied
5 = Very Dissatisfied</t>
        </is>
      </c>
      <c r="I323" s="10" t="inlineStr">
        <is>
          <t>9 = Not applicable</t>
        </is>
      </c>
      <c r="J323" s="10" t="inlineStr">
        <is>
          <t>[HARD] Required, ∈ SATISFACTION_5PT codes</t>
        </is>
      </c>
    </row>
    <row r="324">
      <c r="A324" s="7" t="inlineStr">
        <is>
          <t>q145_purchase_freq</t>
        </is>
      </c>
      <c r="B324" s="8" t="inlineStr">
        <is>
          <t>145. How often do you purchase or receive medicines?</t>
        </is>
      </c>
      <c r="C324" s="8" t="inlineStr">
        <is>
          <t>The next questions we will be asking are related to the patient’s access to medicines. We would like to know how easy or difficult it is for them to purchase or receive medicines. We will also ask some questions about their views in buying generic or branded medicines. 145. How often do you purchase or receive medicines?</t>
        </is>
      </c>
      <c r="D324" s="8" t="inlineStr"/>
      <c r="E324" s="8">
        <f> "Never" (5) → Q152 (skip Q146–Q151 — never purchases → skip meds-access block; proceed to GAMOT awareness)</f>
        <v/>
      </c>
      <c r="F324" s="8" t="inlineStr">
        <is>
          <t>K. Access to Medicines</t>
        </is>
      </c>
      <c r="G324" s="8" t="inlineStr">
        <is>
          <t>numeric 1</t>
        </is>
      </c>
      <c r="H324" s="8" t="inlineStr">
        <is>
          <t>1 = Weekly
2 = Bi-weekly
3 = Monthly
4 = Rarely
5 = Never</t>
        </is>
      </c>
      <c r="I324" s="8" t="inlineStr"/>
      <c r="J324" s="8" t="inlineStr">
        <is>
          <t>[HARD] Required, ∈ {1–5}</t>
        </is>
      </c>
    </row>
    <row r="325">
      <c r="A325" s="9" t="inlineStr">
        <is>
          <t>q146_rx_or_otc</t>
        </is>
      </c>
      <c r="B325" s="10" t="inlineStr">
        <is>
          <t>146. Was the most recent medicine purchased prescribed by a doctor or over-the-counter (OTC) medicine (no need for a prescription)?</t>
        </is>
      </c>
      <c r="C325" s="10" t="inlineStr">
        <is>
          <t>146. Was the most recent medicine purchased prescribed by a doctor or over-the-counter (OTC) medicine (no need for a prescription)?</t>
        </is>
      </c>
      <c r="D325" s="10" t="inlineStr">
        <is>
          <t>not asked when Q145 PURCHASE_FREQ = "Never" (5)</t>
        </is>
      </c>
      <c r="E325" s="10" t="inlineStr"/>
      <c r="F325" s="10" t="inlineStr">
        <is>
          <t>K. Access to Medicines</t>
        </is>
      </c>
      <c r="G325" s="10" t="inlineStr">
        <is>
          <t>numeric 1</t>
        </is>
      </c>
      <c r="H325" s="10" t="inlineStr">
        <is>
          <t>1 = Prescribed by a doctor
2 = Over-the-counter medicine
3 = Purchased both prescribed medicine and OTC medicine</t>
        </is>
      </c>
      <c r="I325" s="10" t="inlineStr">
        <is>
          <t>4 = I don't know</t>
        </is>
      </c>
      <c r="J325" s="10" t="inlineStr">
        <is>
          <t>[HARD] Required when enabled, ∈ {1–4}</t>
        </is>
      </c>
    </row>
    <row r="326">
      <c r="A326" s="7" t="inlineStr">
        <is>
          <t>q147_meds_list</t>
        </is>
      </c>
      <c r="B326" s="8" t="inlineStr">
        <is>
          <t>147. What are the medications that you usually take?</t>
        </is>
      </c>
      <c r="C326" s="8" t="inlineStr">
        <is>
          <t>147. What are the medications that you usually take? PLEASE LIST DOWN ALL MEDICINES THAT YOU TOOK FOR THE HEALTH CONDITION.</t>
        </is>
      </c>
      <c r="D326" s="8" t="inlineStr"/>
      <c r="E326" s="8" t="inlineStr"/>
      <c r="F326" s="8" t="inlineStr">
        <is>
          <t>K. Access to Medicines</t>
        </is>
      </c>
      <c r="G326" s="8" t="inlineStr">
        <is>
          <t>alpha 240</t>
        </is>
      </c>
      <c r="H326" s="8" t="inlineStr"/>
      <c r="I326" s="8" t="inlineStr"/>
      <c r="J326" s="8" t="inlineStr">
        <is>
          <t>[HARD] Required when enabled, non-blank; ≤ 240 chars</t>
        </is>
      </c>
    </row>
    <row r="327">
      <c r="A327" s="9" t="inlineStr">
        <is>
          <t>q148_conditions</t>
        </is>
      </c>
      <c r="B327" s="10" t="inlineStr">
        <is>
          <t>148. What are the medical conditions that you take the medicines for?</t>
        </is>
      </c>
      <c r="C327" s="10" t="inlineStr">
        <is>
          <t>148. What are the medical conditions that you take the medicines for?</t>
        </is>
      </c>
      <c r="D327" s="10" t="inlineStr"/>
      <c r="E327" s="10" t="inlineStr"/>
      <c r="F327" s="10" t="inlineStr">
        <is>
          <t>K. Access to Medicines</t>
        </is>
      </c>
      <c r="G327" s="10" t="inlineStr">
        <is>
          <t>alpha 40</t>
        </is>
      </c>
      <c r="H327" s="10" t="inlineStr">
        <is>
          <t>01 = Upper respiratory infection
02 = Hypertension
03 = Immunization
04 = Pregnancy or birth
05 = Flu
06 = Fever
07 = Joint and muscle pain
08 = Asthma or COPD (chronic breathing problem, not cancer)
09 = Diabetes
10 = Heart problem
11 = Kidney problem /Dialysis
12 = Cancer (any)
13 = Gastro problem (vomiting, diarrhea, etc.)
14 = Other infection (e.g. urine, skin, other virus etc.)
15 = Accident/injury (e.g. wound/broken bone)
16 = Dental
17 = ENT (problem with ear/nose/throat)
18 = Allergy
19 = No condition - Regular check-up only
99 = Other (Specify)</t>
        </is>
      </c>
      <c r="I327" s="10" t="inlineStr"/>
      <c r="J327" s="10" t="inlineStr">
        <is>
          <t>[HARD] ≥ 1 option ticked when enabled
[HARD] Cannot be combined with any other option</t>
        </is>
      </c>
    </row>
    <row r="328">
      <c r="A328" s="7" t="inlineStr">
        <is>
          <t>q148_conditions_other_txt</t>
        </is>
      </c>
      <c r="B328" s="8" t="inlineStr">
        <is>
          <t>148. What are the medical conditions that you take the medicines for? — Other (specify) text</t>
        </is>
      </c>
      <c r="C328" s="8" t="inlineStr">
        <is>
          <t>148. What are the medical conditions that you take the medicines for? — Other (specify) text</t>
        </is>
      </c>
      <c r="D328" s="8" t="inlineStr"/>
      <c r="E328" s="8" t="inlineStr"/>
      <c r="F328" s="8" t="inlineStr">
        <is>
          <t>K. Access to Medicines</t>
        </is>
      </c>
      <c r="G328" s="8" t="inlineStr">
        <is>
          <t>alpha 120</t>
        </is>
      </c>
      <c r="H328" s="8" t="inlineStr"/>
      <c r="I328" s="8" t="inlineStr"/>
      <c r="J328" s="8" t="inlineStr"/>
    </row>
    <row r="329">
      <c r="A329" s="9" t="inlineStr">
        <is>
          <t>q149_where_buy</t>
        </is>
      </c>
      <c r="B329" s="10" t="inlineStr">
        <is>
          <t>149. Where do you usually buy or receive your medicines? Select all that apply.</t>
        </is>
      </c>
      <c r="C329" s="10" t="inlineStr">
        <is>
          <t>149. Where do you usually buy or receive your medicines? Select all that apply.</t>
        </is>
      </c>
      <c r="D329" s="10" t="inlineStr"/>
      <c r="E329" s="10" t="inlineStr"/>
      <c r="F329" s="10" t="inlineStr">
        <is>
          <t>K. Access to Medicines</t>
        </is>
      </c>
      <c r="G329" s="10" t="inlineStr">
        <is>
          <t>alpha 16</t>
        </is>
      </c>
      <c r="H329" s="10" t="inlineStr">
        <is>
          <t>01 = Public Hospital
02 = Private Hospital
03 = Chain Pharmacies (e.g. Mercury Drug, Watsons, TGP, Generika)
04 = Local pharmacies
05 = Online stores (e.g. Shopee, Lazada)
06 = Barangay Health Station
07 = Rural Health Unit or City Health Office
99 = Other (specify)</t>
        </is>
      </c>
      <c r="I329" s="10" t="inlineStr"/>
      <c r="J329" s="10" t="inlineStr">
        <is>
          <t>[HARD] ≥ 1 option ticked when enabled</t>
        </is>
      </c>
    </row>
    <row r="330">
      <c r="A330" s="7" t="inlineStr">
        <is>
          <t>q149_where_buy_other_txt</t>
        </is>
      </c>
      <c r="B330" s="8" t="inlineStr">
        <is>
          <t>149. Where do you usually buy or receive your medicines? Select all that apply. — Other (specify) text</t>
        </is>
      </c>
      <c r="C330" s="8" t="inlineStr">
        <is>
          <t>149. Where do you usually buy or receive your medicines? Select all that apply. — Other (specify) text</t>
        </is>
      </c>
      <c r="D330" s="8" t="inlineStr"/>
      <c r="E330" s="8" t="inlineStr"/>
      <c r="F330" s="8" t="inlineStr">
        <is>
          <t>K. Access to Medicines</t>
        </is>
      </c>
      <c r="G330" s="8" t="inlineStr">
        <is>
          <t>alpha 120</t>
        </is>
      </c>
      <c r="H330" s="8" t="inlineStr"/>
      <c r="I330" s="8" t="inlineStr"/>
      <c r="J330" s="8" t="inlineStr"/>
    </row>
    <row r="331">
      <c r="A331" s="9" t="inlineStr">
        <is>
          <t>q150_travel_hh</t>
        </is>
      </c>
      <c r="B331" s="10" t="inlineStr">
        <is>
          <t>150. Travel time from home to nearest pharmacy — hours (HH)</t>
        </is>
      </c>
      <c r="C331" s="10" t="inlineStr">
        <is>
          <t>150. Travel time from home to nearest pharmacy — hours (HH) A Pharmacy is an ancillary primary care facility with a FDA LTO where registered medicines can be bought.</t>
        </is>
      </c>
      <c r="D331" s="10" t="inlineStr"/>
      <c r="E331" s="10" t="inlineStr"/>
      <c r="F331" s="10" t="inlineStr">
        <is>
          <t>K. Access to Medicines</t>
        </is>
      </c>
      <c r="G331" s="10" t="inlineStr">
        <is>
          <t>numeric 2</t>
        </is>
      </c>
      <c r="H331" s="10" t="inlineStr"/>
      <c r="I331" s="10" t="inlineStr"/>
      <c r="J331" s="10" t="inlineStr">
        <is>
          <t>[HARD] `0 ≤ HH ≤ 24`</t>
        </is>
      </c>
    </row>
    <row r="332">
      <c r="A332" s="7" t="inlineStr">
        <is>
          <t>q150_travel_mm</t>
        </is>
      </c>
      <c r="B332" s="8" t="inlineStr">
        <is>
          <t>150. Travel time from home to nearest pharmacy — minutes (MM)</t>
        </is>
      </c>
      <c r="C332" s="8" t="inlineStr">
        <is>
          <t>150. Travel time from home to nearest pharmacy — minutes (MM) A Pharmacy is an ancillary primary care facility with a FDA LTO where registered medicines can be bought.</t>
        </is>
      </c>
      <c r="D332" s="8" t="inlineStr"/>
      <c r="E332" s="8" t="inlineStr"/>
      <c r="F332" s="8" t="inlineStr">
        <is>
          <t>K. Access to Medicines</t>
        </is>
      </c>
      <c r="G332" s="8" t="inlineStr">
        <is>
          <t>numeric 2</t>
        </is>
      </c>
      <c r="H332" s="8" t="inlineStr"/>
      <c r="I332" s="8" t="inlineStr"/>
      <c r="J332" s="8" t="inlineStr">
        <is>
          <t>[HARD] `0 ≤ MM ≤ 59`</t>
        </is>
      </c>
    </row>
    <row r="333">
      <c r="A333" s="9" t="inlineStr">
        <is>
          <t>q151_pharm_ease</t>
        </is>
      </c>
      <c r="B333" s="10" t="inlineStr">
        <is>
          <t>151. How easy is it for you to access a pharmacy or drugstore?</t>
        </is>
      </c>
      <c r="C333" s="10" t="inlineStr">
        <is>
          <t>151. How easy is it for you to access a pharmacy or drugstore?</t>
        </is>
      </c>
      <c r="D333" s="10" t="inlineStr">
        <is>
          <t>not asked when Q145 PURCHASE_FREQ = "Never" (5)</t>
        </is>
      </c>
      <c r="E333" s="10" t="inlineStr"/>
      <c r="F333" s="10" t="inlineStr">
        <is>
          <t>K. Access to Medicines</t>
        </is>
      </c>
      <c r="G333" s="10" t="inlineStr">
        <is>
          <t>numeric 1</t>
        </is>
      </c>
      <c r="H333" s="10" t="inlineStr">
        <is>
          <t>1 = Very difficult
2 = Difficult
3 = Neutral
4 = Easy
5 = Very easy</t>
        </is>
      </c>
      <c r="I333" s="10" t="inlineStr"/>
      <c r="J333" s="10" t="inlineStr">
        <is>
          <t>[HARD] Required when enabled, ∈ {1–5}</t>
        </is>
      </c>
    </row>
    <row r="334">
      <c r="A334" s="7" t="inlineStr">
        <is>
          <t>area_has_gamot</t>
        </is>
      </c>
      <c r="B334" s="8" t="inlineStr">
        <is>
          <t>Does this area have a Guaranteed and Accessible Medications for Outpatient Treatment (GAMOT) pharmacy/package? (Q152-Q159 apply only to areas with GAMOT.)</t>
        </is>
      </c>
      <c r="C334" s="8" t="inlineStr">
        <is>
          <t>Does this area have a Guaranteed and Accessible Medications for Outpatient Treatment (GAMOT) pharmacy/package? (Q152-Q159 apply only to areas with GAMOT.)</t>
        </is>
      </c>
      <c r="D334" s="8" t="inlineStr"/>
      <c r="E334" s="8" t="inlineStr"/>
      <c r="F334" s="8" t="inlineStr">
        <is>
          <t>K. Access to Medicines</t>
        </is>
      </c>
      <c r="G334" s="8" t="inlineStr">
        <is>
          <t>numeric 1</t>
        </is>
      </c>
      <c r="H334" s="8" t="inlineStr">
        <is>
          <t>1 = Yes
2 = No</t>
        </is>
      </c>
      <c r="I334" s="8" t="inlineStr"/>
      <c r="J334" s="8" t="inlineStr"/>
    </row>
    <row r="335">
      <c r="A335" s="9" t="inlineStr">
        <is>
          <t>q152_gamot_heard</t>
        </is>
      </c>
      <c r="B335" s="10" t="inlineStr">
        <is>
          <t>152. Have you heard of the Guaranteed and Accessible Medications for Outpatient Treatment (GAMOT) Package, which is part of PhilHealth's YAKAP/Konsulta or primary care benefit package?</t>
        </is>
      </c>
      <c r="C335" s="10" t="inlineStr">
        <is>
          <t>We will now ask about the patient’s awareness about the GAMOT package and the medicines they availed in a GAMOT pharmacy. Q152 to Q157, Q159 are applicable only to respondents in areas with GAMOT. Otherwise, skip. 152. Have you heard of the Guaranteed and Accessible Medications for Outpatient Treatment (GAMOT) Package, which is part of PhilHealth's YAKAP/Konsulta or primary care benefit package?</t>
        </is>
      </c>
      <c r="D335" s="10" t="inlineStr"/>
      <c r="E335" s="10">
        <f> No → Q158 (skip Q153–Q157 — never heard of GAMOT → skip sources/understanding/meds obtained/rest)</f>
        <v/>
      </c>
      <c r="F335" s="10" t="inlineStr">
        <is>
          <t>K. Access to Medicines</t>
        </is>
      </c>
      <c r="G335" s="10" t="inlineStr">
        <is>
          <t>numeric 1</t>
        </is>
      </c>
      <c r="H335" s="10" t="inlineStr">
        <is>
          <t>1 = Yes
2 = No</t>
        </is>
      </c>
      <c r="I335" s="10" t="inlineStr"/>
      <c r="J335" s="10" t="inlineStr">
        <is>
          <t>[HARD] Required, ∈ {1, 2}</t>
        </is>
      </c>
    </row>
    <row r="336">
      <c r="A336" s="7" t="inlineStr">
        <is>
          <t>q153_gamot_source</t>
        </is>
      </c>
      <c r="B336" s="8" t="inlineStr">
        <is>
          <t>153. If yes, what are your sources of information for GAMOT Package?</t>
        </is>
      </c>
      <c r="C336" s="8" t="inlineStr">
        <is>
          <t>153. If yes, what are your sources of information for GAMOT Package? Enumerator: Applicable only to respondents in areas with GAMOT.</t>
        </is>
      </c>
      <c r="D336" s="8" t="inlineStr">
        <is>
          <t>not asked when Q152 GAMOT_HEARD = No</t>
        </is>
      </c>
      <c r="E336" s="8" t="inlineStr"/>
      <c r="F336" s="8" t="inlineStr">
        <is>
          <t>K. Access to Medicines</t>
        </is>
      </c>
      <c r="G336" s="8" t="inlineStr">
        <is>
          <t>alpha 16</t>
        </is>
      </c>
      <c r="H336" s="8" t="inlineStr">
        <is>
          <t>01 = News
02 = Legislation
03 = Social Media
04 = Friends / Family
05 = Health center/facility
06 = LGU/Barangay
99 = Other (Specify)</t>
        </is>
      </c>
      <c r="I336" s="8" t="inlineStr">
        <is>
          <t>90 = I don't know</t>
        </is>
      </c>
      <c r="J336" s="8" t="inlineStr">
        <is>
          <t>[HARD] ≥ 1 option ticked when enabled
[HARD] Cannot be combined with any other option</t>
        </is>
      </c>
    </row>
    <row r="337">
      <c r="A337" s="9" t="inlineStr">
        <is>
          <t>q153_gamot_source_other_txt</t>
        </is>
      </c>
      <c r="B337" s="10" t="inlineStr">
        <is>
          <t>153. If yes, what are your sources of information for GAMOT Package? — Other (specify) text</t>
        </is>
      </c>
      <c r="C337" s="10" t="inlineStr">
        <is>
          <t>153. If yes, what are your sources of information for GAMOT Package? — Other (specify) text</t>
        </is>
      </c>
      <c r="D337" s="10" t="inlineStr">
        <is>
          <t>not asked when Q152 GAMOT_HEARD = No</t>
        </is>
      </c>
      <c r="E337" s="10" t="inlineStr"/>
      <c r="F337" s="10" t="inlineStr">
        <is>
          <t>K. Access to Medicines</t>
        </is>
      </c>
      <c r="G337" s="10" t="inlineStr">
        <is>
          <t>alpha 120</t>
        </is>
      </c>
      <c r="H337" s="10" t="inlineStr"/>
      <c r="I337" s="10" t="inlineStr"/>
      <c r="J337" s="10" t="inlineStr"/>
    </row>
    <row r="338">
      <c r="A338" s="7" t="inlineStr">
        <is>
          <t>q154_gamot_understand</t>
        </is>
      </c>
      <c r="B338" s="8" t="inlineStr">
        <is>
          <t>154. What is your understanding of the GAMOT Package?</t>
        </is>
      </c>
      <c r="C338" s="8" t="inlineStr">
        <is>
          <t>154. What is your understanding of the GAMOT Package? Enumerator: Applicable only to respondents in areas with GAMOT.</t>
        </is>
      </c>
      <c r="D338" s="8" t="inlineStr"/>
      <c r="E338" s="8" t="inlineStr"/>
      <c r="F338" s="8" t="inlineStr">
        <is>
          <t>K. Access to Medicines</t>
        </is>
      </c>
      <c r="G338" s="8" t="inlineStr">
        <is>
          <t>alpha 12</t>
        </is>
      </c>
      <c r="H338" s="8" t="inlineStr">
        <is>
          <t>01 = Provides free or affordable medicines for outpatients
02 = Ensures continuous availability of essential medicines
03 = Helps reduce out-of-pocket expenses for medicines
04 = Supports treatment of common illnesses and chronic conditions
99 = Other (specify)</t>
        </is>
      </c>
      <c r="I338" s="8" t="inlineStr">
        <is>
          <t>90 = I don't know</t>
        </is>
      </c>
      <c r="J338" s="8" t="inlineStr">
        <is>
          <t>[HARD] ≥ 1 option ticked when enabled
[HARD] Cannot be combined with any other option</t>
        </is>
      </c>
    </row>
    <row r="339">
      <c r="A339" s="9" t="inlineStr">
        <is>
          <t>q154_gamot_understand_other_txt</t>
        </is>
      </c>
      <c r="B339" s="10" t="inlineStr">
        <is>
          <t>154. What is your understanding of the GAMOT Package? — Other (specify) text</t>
        </is>
      </c>
      <c r="C339" s="10" t="inlineStr">
        <is>
          <t>154. What is your understanding of the GAMOT Package? — Other (specify) text</t>
        </is>
      </c>
      <c r="D339" s="10" t="inlineStr"/>
      <c r="E339" s="10" t="inlineStr"/>
      <c r="F339" s="10" t="inlineStr">
        <is>
          <t>K. Access to Medicines</t>
        </is>
      </c>
      <c r="G339" s="10" t="inlineStr">
        <is>
          <t>alpha 120</t>
        </is>
      </c>
      <c r="H339" s="10" t="inlineStr"/>
      <c r="I339" s="10" t="inlineStr"/>
      <c r="J339" s="10" t="inlineStr"/>
    </row>
    <row r="340">
      <c r="A340" s="7" t="inlineStr">
        <is>
          <t>q155_gamot_got_meds</t>
        </is>
      </c>
      <c r="B340" s="8" t="inlineStr">
        <is>
          <t>155. Did you get the medicines from the GAMOT Package during the past 6 months?</t>
        </is>
      </c>
      <c r="C340" s="8" t="inlineStr">
        <is>
          <t>155. Did you get the medicines from the GAMOT Package during the past 6 months? Enumerator: Applicable only to respondents in areas with GAMOT.</t>
        </is>
      </c>
      <c r="D340" s="8" t="inlineStr"/>
      <c r="E340" s="8" t="inlineStr"/>
      <c r="F340" s="8" t="inlineStr">
        <is>
          <t>K. Access to Medicines</t>
        </is>
      </c>
      <c r="G340" s="8" t="inlineStr">
        <is>
          <t>numeric 1</t>
        </is>
      </c>
      <c r="H340" s="8" t="inlineStr">
        <is>
          <t>1 = Yes
2 = No</t>
        </is>
      </c>
      <c r="I340" s="8" t="inlineStr"/>
      <c r="J340" s="8" t="inlineStr">
        <is>
          <t>[HARD] Required when enabled, ∈ {1, 2}</t>
        </is>
      </c>
    </row>
    <row r="341">
      <c r="A341" s="9" t="inlineStr">
        <is>
          <t>q156_gamot_meds_list</t>
        </is>
      </c>
      <c r="B341" s="10" t="inlineStr">
        <is>
          <t>156. What are the medications that you obtained from the GAMOT Package? [LIST]</t>
        </is>
      </c>
      <c r="C341" s="10" t="inlineStr">
        <is>
          <t>156. What are the medications that you obtained from the GAMOT Package? [LIST] Enumerator: Applicable only to respondents in areas with GAMOT.</t>
        </is>
      </c>
      <c r="D341" s="10" t="inlineStr"/>
      <c r="E341" s="10" t="inlineStr"/>
      <c r="F341" s="10" t="inlineStr">
        <is>
          <t>K. Access to Medicines</t>
        </is>
      </c>
      <c r="G341" s="10" t="inlineStr">
        <is>
          <t>alpha 240</t>
        </is>
      </c>
      <c r="H341" s="10" t="inlineStr"/>
      <c r="I341" s="10" t="inlineStr"/>
      <c r="J341" s="10" t="inlineStr">
        <is>
          <t>[HARD] Required when enabled, non-blank; ≤ 240 chars</t>
        </is>
      </c>
    </row>
    <row r="342">
      <c r="A342" s="7" t="inlineStr">
        <is>
          <t>q157_where_rest</t>
        </is>
      </c>
      <c r="B342" s="8" t="inlineStr">
        <is>
          <t>157. Where did you get the rest of the medicines? Select all that apply.</t>
        </is>
      </c>
      <c r="C342" s="8" t="inlineStr">
        <is>
          <t>157. Where did you get the rest of the medicines? Select all that apply.</t>
        </is>
      </c>
      <c r="D342" s="8" t="inlineStr">
        <is>
          <t>not asked when Q152 GAMOT_HEARD = No</t>
        </is>
      </c>
      <c r="E342" s="8" t="inlineStr"/>
      <c r="F342" s="8" t="inlineStr">
        <is>
          <t>K. Access to Medicines</t>
        </is>
      </c>
      <c r="G342" s="8" t="inlineStr">
        <is>
          <t>alpha 20</t>
        </is>
      </c>
      <c r="H342" s="8" t="inlineStr">
        <is>
          <t>01 = Purchased from pharmacy
02 = Purchased from public hospital
03 = Purchased from private hospital
04 = Purchased from primary care provider (PCP)
05 = Received from PCP for free
06 = Received from LGU for free
07 = Received from public hospital for free
08 = Received from private hospital for free
90 = None — got all medicines from the GAMOT Package
99 = Other (Specify)</t>
        </is>
      </c>
      <c r="I342" s="8" t="inlineStr"/>
      <c r="J342" s="8" t="inlineStr">
        <is>
          <t>[HARD] ≥ 1 option ticked when enabled</t>
        </is>
      </c>
    </row>
    <row r="343">
      <c r="A343" s="9" t="inlineStr">
        <is>
          <t>q157_where_rest_other_txt</t>
        </is>
      </c>
      <c r="B343" s="10" t="inlineStr">
        <is>
          <t>157. Where did you get the rest of the medicines? Select all that apply. — Other (specify) text</t>
        </is>
      </c>
      <c r="C343" s="10" t="inlineStr">
        <is>
          <t>157. Where did you get the rest of the medicines? Select all that apply. — Other (specify) text</t>
        </is>
      </c>
      <c r="D343" s="10" t="inlineStr">
        <is>
          <t>not asked when Q152 GAMOT_HEARD = No</t>
        </is>
      </c>
      <c r="E343" s="10" t="inlineStr"/>
      <c r="F343" s="10" t="inlineStr">
        <is>
          <t>K. Access to Medicines</t>
        </is>
      </c>
      <c r="G343" s="10" t="inlineStr">
        <is>
          <t>alpha 120</t>
        </is>
      </c>
      <c r="H343" s="10" t="inlineStr"/>
      <c r="I343" s="10" t="inlineStr"/>
      <c r="J343" s="10" t="inlineStr"/>
    </row>
    <row r="344">
      <c r="A344" s="7" t="inlineStr">
        <is>
          <t>q158_brand_gen_know</t>
        </is>
      </c>
      <c r="B344" s="8" t="inlineStr">
        <is>
          <t>158. Do you know the difference between a 'branded' and a 'generic' medicine?</t>
        </is>
      </c>
      <c r="C344" s="8" t="inlineStr">
        <is>
          <t>158. Do you know the difference between a 'branded' and a 'generic' medicine?</t>
        </is>
      </c>
      <c r="D344" s="8" t="inlineStr"/>
      <c r="E344" s="8">
        <f> No → Q162 (skip Q159–Q161 — doesn't know difference → exit Section K)</f>
        <v/>
      </c>
      <c r="F344" s="8" t="inlineStr">
        <is>
          <t>K. Access to Medicines</t>
        </is>
      </c>
      <c r="G344" s="8" t="inlineStr">
        <is>
          <t>numeric 1</t>
        </is>
      </c>
      <c r="H344" s="8" t="inlineStr">
        <is>
          <t>1 = Yes
2 = No</t>
        </is>
      </c>
      <c r="I344" s="8" t="inlineStr"/>
      <c r="J344" s="8" t="inlineStr">
        <is>
          <t>[HARD] Required, ∈ {1, 2}</t>
        </is>
      </c>
    </row>
    <row r="345">
      <c r="A345" s="9" t="inlineStr">
        <is>
          <t>q159_brand_gen_bought</t>
        </is>
      </c>
      <c r="B345" s="10" t="inlineStr">
        <is>
          <t>159. Was/were the medicine/s you bought outside of GAMOT pharmacy branded or generic?</t>
        </is>
      </c>
      <c r="C345" s="10" t="inlineStr">
        <is>
          <t>159. Was/were the medicine/s you bought outside of GAMOT pharmacy branded or generic?</t>
        </is>
      </c>
      <c r="D345" s="10" t="inlineStr">
        <is>
          <t>not asked when Q158 BRAND_GEN_KNOW = No</t>
        </is>
      </c>
      <c r="E345" s="10">
        <f> "Branded" (1) → Q161 (skip Q160 — why-generic irrelevant)
= "Don't know the difference" (4) → Q162 (skip Q160, Q161 — exit Section K)
= "Not applicable" (5) → Q164 (source prints cross-section jump — see sanity finding #7; default: honor source)</f>
        <v/>
      </c>
      <c r="F345" s="10" t="inlineStr">
        <is>
          <t>K. Access to Medicines</t>
        </is>
      </c>
      <c r="G345" s="10" t="inlineStr">
        <is>
          <t>numeric 1</t>
        </is>
      </c>
      <c r="H345" s="10" t="inlineStr">
        <is>
          <t>1 = Branded
2 = Generic
3 = Both branded and generic</t>
        </is>
      </c>
      <c r="I345" s="10" t="inlineStr">
        <is>
          <t>4 = Don't know the difference
5 = Not applicable</t>
        </is>
      </c>
      <c r="J345" s="10" t="inlineStr">
        <is>
          <t>[HARD] Required when enabled, ∈ {1–5}</t>
        </is>
      </c>
    </row>
    <row r="346">
      <c r="A346" s="7" t="inlineStr">
        <is>
          <t>q160_why_generic</t>
        </is>
      </c>
      <c r="B346" s="8" t="inlineStr">
        <is>
          <t>160. If generic, why did you buy generic medicine?</t>
        </is>
      </c>
      <c r="C346" s="8" t="inlineStr">
        <is>
          <t>160. If generic, why did you buy generic medicine?</t>
        </is>
      </c>
      <c r="D346" s="8" t="inlineStr">
        <is>
          <t>not asked when Q159 BRAND_GEN_BOUGHT = "Branded" (1)
not asked when Q159 BRAND_GEN_BOUGHT = "Don't know the difference" (4)</t>
        </is>
      </c>
      <c r="E346" s="8" t="inlineStr"/>
      <c r="F346" s="8" t="inlineStr">
        <is>
          <t>K. Access to Medicines</t>
        </is>
      </c>
      <c r="G346" s="8" t="inlineStr">
        <is>
          <t>alpha 14</t>
        </is>
      </c>
      <c r="H346" s="8" t="inlineStr">
        <is>
          <t>01 = Lower cost
02 = Prescribed by doctor
03 = Readily available
04 = Given for free
05 = More or as effective as branded medicine
99 = Other (Specify)</t>
        </is>
      </c>
      <c r="I346" s="8" t="inlineStr">
        <is>
          <t>90 = I don't know</t>
        </is>
      </c>
      <c r="J346" s="8" t="inlineStr">
        <is>
          <t>[HARD] ≥ 1 option ticked when enabled
[HARD] Cannot be combined with any other option</t>
        </is>
      </c>
    </row>
    <row r="347">
      <c r="A347" s="9" t="inlineStr">
        <is>
          <t>q160_why_generic_other_txt</t>
        </is>
      </c>
      <c r="B347" s="10" t="inlineStr">
        <is>
          <t>160. If generic, why did you buy generic medicine? — Other (specify) text</t>
        </is>
      </c>
      <c r="C347" s="10" t="inlineStr">
        <is>
          <t>160. If generic, why did you buy generic medicine? — Other (specify) text</t>
        </is>
      </c>
      <c r="D347" s="10" t="inlineStr">
        <is>
          <t>not asked when Q159 BRAND_GEN_BOUGHT = "Branded" (1)
not asked when Q159 BRAND_GEN_BOUGHT = "Don't know the difference" (4)</t>
        </is>
      </c>
      <c r="E347" s="10" t="inlineStr"/>
      <c r="F347" s="10" t="inlineStr">
        <is>
          <t>K. Access to Medicines</t>
        </is>
      </c>
      <c r="G347" s="10" t="inlineStr">
        <is>
          <t>alpha 120</t>
        </is>
      </c>
      <c r="H347" s="10" t="inlineStr"/>
      <c r="I347" s="10" t="inlineStr"/>
      <c r="J347" s="10" t="inlineStr"/>
    </row>
    <row r="348">
      <c r="A348" s="7" t="inlineStr">
        <is>
          <t>q161_why_branded</t>
        </is>
      </c>
      <c r="B348" s="8" t="inlineStr">
        <is>
          <t>161. If branded, why did you buy branded medicine?</t>
        </is>
      </c>
      <c r="C348" s="8" t="inlineStr">
        <is>
          <t>161. If branded, why did you buy branded medicine?</t>
        </is>
      </c>
      <c r="D348" s="8" t="inlineStr">
        <is>
          <t>not asked when Q158 BRAND_GEN_KNOW = No
not asked when Q159 BRAND_GEN_BOUGHT = "Don't know the difference" (4)</t>
        </is>
      </c>
      <c r="E348" s="8" t="inlineStr"/>
      <c r="F348" s="8" t="inlineStr">
        <is>
          <t>K. Access to Medicines</t>
        </is>
      </c>
      <c r="G348" s="8" t="inlineStr">
        <is>
          <t>alpha 14</t>
        </is>
      </c>
      <c r="H348" s="8" t="inlineStr">
        <is>
          <t>01 = Branded medicine is more effective than generic
02 = Not aware of generic option
03 = Prescribed by doctor
04 = Given for free
05 = Prefer branded over generic option
99 = Other (Specify)</t>
        </is>
      </c>
      <c r="I348" s="8" t="inlineStr">
        <is>
          <t>90 = I don't know</t>
        </is>
      </c>
      <c r="J348" s="8" t="inlineStr">
        <is>
          <t>[HARD] ≥ 1 option ticked when enabled
[HARD] Cannot be combined with any other option</t>
        </is>
      </c>
    </row>
    <row r="349">
      <c r="A349" s="9" t="inlineStr">
        <is>
          <t>q161_why_branded_other_txt</t>
        </is>
      </c>
      <c r="B349" s="10" t="inlineStr">
        <is>
          <t>161. If branded, why did you buy branded medicine? — Other (specify) text</t>
        </is>
      </c>
      <c r="C349" s="10" t="inlineStr">
        <is>
          <t>161. If branded, why did you buy branded medicine? — Other (specify) text</t>
        </is>
      </c>
      <c r="D349" s="10" t="inlineStr">
        <is>
          <t>not asked when Q158 BRAND_GEN_KNOW = No
not asked when Q159 BRAND_GEN_BOUGHT = "Don't know the difference" (4)</t>
        </is>
      </c>
      <c r="E349" s="10" t="inlineStr"/>
      <c r="F349" s="10" t="inlineStr">
        <is>
          <t>K. Access to Medicines</t>
        </is>
      </c>
      <c r="G349" s="10" t="inlineStr">
        <is>
          <t>alpha 120</t>
        </is>
      </c>
      <c r="H349" s="10" t="inlineStr"/>
      <c r="I349" s="10" t="inlineStr"/>
      <c r="J349" s="10" t="inlineStr"/>
    </row>
    <row r="350">
      <c r="A350" s="7" t="inlineStr">
        <is>
          <t>q162_referred</t>
        </is>
      </c>
      <c r="B350" s="8" t="inlineStr">
        <is>
          <t>162. Based on your most recent visit/confinement at this facility, did a healthcare worker refer you to another facility or specialist for further care or specialized care?</t>
        </is>
      </c>
      <c r="C350" s="8" t="inlineStr">
        <is>
          <t>We will be asking about the patient’s experience and satisfaction on referrals. 162. Based on your most recent visit/confinement at ~~FACILITY_NAME~~, did a healthcare worker refer you to another facility or specialist for further care or specialized care?</t>
        </is>
      </c>
      <c r="D350" s="8" t="inlineStr"/>
      <c r="E350" s="8">
        <f> No → End of survey (skip Q163–Q178; set `ENUM_RESULT = Completed`)</f>
        <v/>
      </c>
      <c r="F350" s="8" t="inlineStr">
        <is>
          <t>L. Experiences and Satisfaction on Referrals</t>
        </is>
      </c>
      <c r="G350" s="8" t="inlineStr">
        <is>
          <t>numeric 1</t>
        </is>
      </c>
      <c r="H350" s="8" t="inlineStr">
        <is>
          <t>1 = Yes
2 = No</t>
        </is>
      </c>
      <c r="I350" s="8" t="inlineStr"/>
      <c r="J350" s="8" t="inlineStr">
        <is>
          <t>[HARD] Required, ∈ {1, 2}; if = No → terminate with `ENUM_RESULT = Completed`</t>
        </is>
      </c>
    </row>
    <row r="351">
      <c r="A351" s="9" t="inlineStr">
        <is>
          <t>q163_care_type</t>
        </is>
      </c>
      <c r="B351" s="10" t="inlineStr">
        <is>
          <t>163. What type of care was the referral for?</t>
        </is>
      </c>
      <c r="C351" s="10" t="inlineStr">
        <is>
          <t>163. What type of care was the referral for? READ OPTIONS OUT LOUD. SELECT ALL THAT APPLY.</t>
        </is>
      </c>
      <c r="D351" s="10" t="inlineStr">
        <is>
          <t>not asked when Q162 REFERRED = No</t>
        </is>
      </c>
      <c r="E351" s="10" t="inlineStr"/>
      <c r="F351" s="10" t="inlineStr">
        <is>
          <t>L. Experiences and Satisfaction on Referrals</t>
        </is>
      </c>
      <c r="G351" s="10" t="inlineStr">
        <is>
          <t>alpha 24</t>
        </is>
      </c>
      <c r="H351" s="10" t="inlineStr">
        <is>
          <t>01 = Outpatient care (Consultation, procedure, or treatment where the patient visits and leaves within the same day)
02 = Emergency care (Care for serious illnesses or injuries that need immediate medical attention; usually provided in an emergency room or ER)
03 = Inpatient care (Care provided in hospital or another facility where the patient is admitted for at least one night)
04 = Dental care (Medical care for your teeth, such as cleanings, fillings, etc.)
05 = Other facility visits (Care that is provided in a facility that is not a health center or hospital, such as independent diagnostic centers, TB dispensaries, etc.)
06 = Special therapy visits (Rehabilitation care or services, such as occupational therapy, physical therapy, psychological and behavioral rehabilitation, prosthetics and orthotics rehabilitation, or speech and language therapy)
07 = Alternative care (Healthcare apart from medical doctors or the formal health care system; such as reflexology, acupuncture, massage therapy, herbal medicines, etc.)
08 = Outreach / medical missions (Care provided by the government or an NGO through an outreach or medical mission within a community)
09 = Home healthcare (Care that is administered at the patient's home, such as birth delivery, checkups, immunization, rehabilitation, etc.)
10 = Telemedicine (Remote diagnosis and treatment of patients by means of telecommunications technology)
90 = None of the above
99 = Other (Specify)</t>
        </is>
      </c>
      <c r="I351" s="10" t="inlineStr"/>
      <c r="J351" s="10" t="inlineStr">
        <is>
          <t>[HARD] ≥ 1 option ticked when enabled
[HARD] Cannot be combined with any other option</t>
        </is>
      </c>
    </row>
    <row r="352">
      <c r="A352" s="7" t="inlineStr">
        <is>
          <t>q163_care_type_other_txt</t>
        </is>
      </c>
      <c r="B352" s="8" t="inlineStr">
        <is>
          <t>163. What type of care was the referral for? — Other (specify) text</t>
        </is>
      </c>
      <c r="C352" s="8" t="inlineStr">
        <is>
          <t>163. What type of care was the referral for? — Other (specify) text</t>
        </is>
      </c>
      <c r="D352" s="8" t="inlineStr">
        <is>
          <t>not asked when Q162 REFERRED = No</t>
        </is>
      </c>
      <c r="E352" s="8" t="inlineStr"/>
      <c r="F352" s="8" t="inlineStr">
        <is>
          <t>L. Experiences and Satisfaction on Referrals</t>
        </is>
      </c>
      <c r="G352" s="8" t="inlineStr">
        <is>
          <t>alpha 120</t>
        </is>
      </c>
      <c r="H352" s="8" t="inlineStr"/>
      <c r="I352" s="8" t="inlineStr"/>
      <c r="J352" s="8" t="inlineStr"/>
    </row>
    <row r="353">
      <c r="A353" s="9" t="inlineStr">
        <is>
          <t>q164_specialist</t>
        </is>
      </c>
      <c r="B353" s="10" t="inlineStr">
        <is>
          <t>164. What kind of specialist did they recommend?</t>
        </is>
      </c>
      <c r="C353" s="10" t="inlineStr">
        <is>
          <t>164. What kind of specialist did they recommend? READ OPTIONS OUT LOUD. SELECT ONE ANSWER ONLY.</t>
        </is>
      </c>
      <c r="D353" s="10" t="inlineStr"/>
      <c r="E353" s="10" t="inlineStr"/>
      <c r="F353" s="10" t="inlineStr">
        <is>
          <t>L. Experiences and Satisfaction on Referrals</t>
        </is>
      </c>
      <c r="G353" s="10" t="inlineStr">
        <is>
          <t>numeric 2</t>
        </is>
      </c>
      <c r="H353" s="10" t="inlineStr">
        <is>
          <t>01 = No specialty
02 = Anesthesia
03 = Dermatology
04 = Emergency Medicine
05 = Family Medicine
06 = General Surgery
07 = Internal Medicine
08 = Neurology
09 = Nuclear Medicine
10 = Obstetrics and Gynecology
11 = Occupational Medicine
12 = Ophthalmology
13 = Orthopedics
14 = Otorhinolaryngology (ENT)
15 = Pathology
16 = Pediatrics
17 = Physical and Rehabilitation Medicine
18 = Psychiatry
19 = Public health
20 = Radiology
21 = Research
23 = Other (Specify)</t>
        </is>
      </c>
      <c r="I353" s="10" t="inlineStr">
        <is>
          <t>22 = I don't know</t>
        </is>
      </c>
      <c r="J353" s="10" t="inlineStr">
        <is>
          <t>[HARD] Required when enabled, ∈ {01–23}</t>
        </is>
      </c>
    </row>
    <row r="354">
      <c r="A354" s="7" t="inlineStr">
        <is>
          <t>q164_specialist_other_txt</t>
        </is>
      </c>
      <c r="B354" s="8" t="inlineStr">
        <is>
          <t>164. Specialist — Other (specify) text</t>
        </is>
      </c>
      <c r="C354" s="8" t="inlineStr">
        <is>
          <t>164. Specialist — Other (specify) text</t>
        </is>
      </c>
      <c r="D354" s="8" t="inlineStr"/>
      <c r="E354" s="8" t="inlineStr"/>
      <c r="F354" s="8" t="inlineStr">
        <is>
          <t>L. Experiences and Satisfaction on Referrals</t>
        </is>
      </c>
      <c r="G354" s="8" t="inlineStr">
        <is>
          <t>alpha 120</t>
        </is>
      </c>
      <c r="H354" s="8" t="inlineStr"/>
      <c r="I354" s="8" t="inlineStr"/>
      <c r="J354" s="8" t="inlineStr"/>
    </row>
    <row r="355">
      <c r="A355" s="9" t="inlineStr">
        <is>
          <t>q165_how_referred</t>
        </is>
      </c>
      <c r="B355" s="10" t="inlineStr">
        <is>
          <t>165. How did they refer you to the doctor?</t>
        </is>
      </c>
      <c r="C355" s="10" t="inlineStr">
        <is>
          <t>165. How did they refer you to the doctor? READ OPTIONS OUT LOUD. SELECT ONE ANSWER ONLY.</t>
        </is>
      </c>
      <c r="D355" s="10" t="inlineStr"/>
      <c r="E355" s="10" t="inlineStr"/>
      <c r="F355" s="10" t="inlineStr">
        <is>
          <t>L. Experiences and Satisfaction on Referrals</t>
        </is>
      </c>
      <c r="G355" s="10" t="inlineStr">
        <is>
          <t>numeric 1</t>
        </is>
      </c>
      <c r="H355" s="10" t="inlineStr">
        <is>
          <t>1 = Physical referral slip
2 = E-referral
3 = Phone call from referring facility to receiving facility
5 = Other (Specify)</t>
        </is>
      </c>
      <c r="I355" s="10" t="inlineStr">
        <is>
          <t>4 = I don't know</t>
        </is>
      </c>
      <c r="J355" s="10" t="inlineStr">
        <is>
          <t>[HARD] Required when enabled, ∈ {1–5}</t>
        </is>
      </c>
    </row>
    <row r="356">
      <c r="A356" s="7" t="inlineStr">
        <is>
          <t>q165_how_referred_other_txt</t>
        </is>
      </c>
      <c r="B356" s="8" t="inlineStr">
        <is>
          <t>165. How referred — Other (specify) text</t>
        </is>
      </c>
      <c r="C356" s="8" t="inlineStr">
        <is>
          <t>165. How referred — Other (specify) text</t>
        </is>
      </c>
      <c r="D356" s="8" t="inlineStr"/>
      <c r="E356" s="8" t="inlineStr"/>
      <c r="F356" s="8" t="inlineStr">
        <is>
          <t>L. Experiences and Satisfaction on Referrals</t>
        </is>
      </c>
      <c r="G356" s="8" t="inlineStr">
        <is>
          <t>alpha 120</t>
        </is>
      </c>
      <c r="H356" s="8" t="inlineStr"/>
      <c r="I356" s="8" t="inlineStr"/>
      <c r="J356" s="8" t="inlineStr"/>
    </row>
    <row r="357">
      <c r="A357" s="9" t="inlineStr">
        <is>
          <t>q166_discussed_options</t>
        </is>
      </c>
      <c r="B357" s="10" t="inlineStr">
        <is>
          <t>166. Did they discuss with you the different places you could have gone to address your health problem?</t>
        </is>
      </c>
      <c r="C357" s="10" t="inlineStr">
        <is>
          <t>166. Did they discuss with you the different places you could have gone to address your health problem?</t>
        </is>
      </c>
      <c r="D357" s="10" t="inlineStr"/>
      <c r="E357" s="10" t="inlineStr"/>
      <c r="F357" s="10" t="inlineStr">
        <is>
          <t>L. Experiences and Satisfaction on Referrals</t>
        </is>
      </c>
      <c r="G357" s="10" t="inlineStr">
        <is>
          <t>numeric 1</t>
        </is>
      </c>
      <c r="H357" s="10" t="inlineStr">
        <is>
          <t>1 = Yes
2 = No</t>
        </is>
      </c>
      <c r="I357" s="10" t="inlineStr"/>
      <c r="J357" s="10" t="inlineStr">
        <is>
          <t>[HARD] Required when enabled, ∈ {1, 2}</t>
        </is>
      </c>
    </row>
    <row r="358">
      <c r="A358" s="7" t="inlineStr">
        <is>
          <t>q167_helped_appt</t>
        </is>
      </c>
      <c r="B358" s="8" t="inlineStr">
        <is>
          <t>167. Did they help you make the appointment for that visit?</t>
        </is>
      </c>
      <c r="C358" s="8" t="inlineStr">
        <is>
          <t>167. Did they help you make the appointment for that visit?</t>
        </is>
      </c>
      <c r="D358" s="8" t="inlineStr"/>
      <c r="E358" s="8" t="inlineStr"/>
      <c r="F358" s="8" t="inlineStr">
        <is>
          <t>L. Experiences and Satisfaction on Referrals</t>
        </is>
      </c>
      <c r="G358" s="8" t="inlineStr">
        <is>
          <t>numeric 1</t>
        </is>
      </c>
      <c r="H358" s="8" t="inlineStr">
        <is>
          <t>1 = Yes
2 = No</t>
        </is>
      </c>
      <c r="I358" s="8" t="inlineStr"/>
      <c r="J358" s="8" t="inlineStr">
        <is>
          <t>[HARD] Required when enabled, ∈ {1, 2}</t>
        </is>
      </c>
    </row>
    <row r="359">
      <c r="A359" s="9" t="inlineStr">
        <is>
          <t>q168_wrote_info</t>
        </is>
      </c>
      <c r="B359" s="10" t="inlineStr">
        <is>
          <t>168. Did they write down any information for the specialist about the reason for that visit?</t>
        </is>
      </c>
      <c r="C359" s="10" t="inlineStr">
        <is>
          <t>168. Did they write down any information for the specialist about the reason for that visit?</t>
        </is>
      </c>
      <c r="D359" s="10" t="inlineStr"/>
      <c r="E359" s="10" t="inlineStr"/>
      <c r="F359" s="10" t="inlineStr">
        <is>
          <t>L. Experiences and Satisfaction on Referrals</t>
        </is>
      </c>
      <c r="G359" s="10" t="inlineStr">
        <is>
          <t>numeric 1</t>
        </is>
      </c>
      <c r="H359" s="10" t="inlineStr">
        <is>
          <t>1 = Yes
2 = No</t>
        </is>
      </c>
      <c r="I359" s="10" t="inlineStr"/>
      <c r="J359" s="10" t="inlineStr">
        <is>
          <t>[HARD] Required when enabled, ∈ {1, 2}</t>
        </is>
      </c>
    </row>
    <row r="360">
      <c r="A360" s="7" t="inlineStr">
        <is>
          <t>q169_visited</t>
        </is>
      </c>
      <c r="B360" s="8" t="inlineStr">
        <is>
          <t>169. Have you visited the referred hospital or facility after the referral was made?</t>
        </is>
      </c>
      <c r="C360" s="8" t="inlineStr">
        <is>
          <t>169. Have you visited the referred hospital or facility after the referral was made? DO NOT READ OPTIONS OUT LOUD. SELECT ONE ANSWER ONLY.</t>
        </is>
      </c>
      <c r="D360" s="8" t="inlineStr"/>
      <c r="E360" s="8">
        <f> "No, I'm not planning to" (2) or "Not yet, but I'm planning to" (3) → Q171 (skip Q170 — didn't visit yet → no follow-up question)</f>
        <v/>
      </c>
      <c r="F360" s="8" t="inlineStr">
        <is>
          <t>L. Experiences and Satisfaction on Referrals</t>
        </is>
      </c>
      <c r="G360" s="8" t="inlineStr">
        <is>
          <t>numeric 1</t>
        </is>
      </c>
      <c r="H360" s="8" t="inlineStr">
        <is>
          <t>1 = Yes
2 = No, I'm not planning to
3 = Not yet, but I'm planning to</t>
        </is>
      </c>
      <c r="I360" s="8" t="inlineStr"/>
      <c r="J360" s="8" t="inlineStr">
        <is>
          <t>[HARD] Required when enabled, ∈ {1, 2, 3}</t>
        </is>
      </c>
    </row>
    <row r="361">
      <c r="A361" s="9" t="inlineStr">
        <is>
          <t>q170_followup</t>
        </is>
      </c>
      <c r="B361" s="10" t="inlineStr">
        <is>
          <t>170. After your visit to the referral hospital/ specialist, did they follow up with you about what happened at the visit?</t>
        </is>
      </c>
      <c r="C361" s="10" t="inlineStr">
        <is>
          <t>170. After your visit to the referral hospital/ specialist, did they follow up with you about what happened at the visit?</t>
        </is>
      </c>
      <c r="D361" s="10" t="inlineStr">
        <is>
          <t>not asked when Q169 VISITED = "No, I'm not planning to" (2) or "Not yet, but I'm planning to" (3)</t>
        </is>
      </c>
      <c r="E361" s="10" t="inlineStr">
        <is>
          <t>(after completion) → Q172 (explicit — skip Q171)</t>
        </is>
      </c>
      <c r="F361" s="10" t="inlineStr">
        <is>
          <t>L. Experiences and Satisfaction on Referrals</t>
        </is>
      </c>
      <c r="G361" s="10" t="inlineStr">
        <is>
          <t>numeric 1</t>
        </is>
      </c>
      <c r="H361" s="10" t="inlineStr">
        <is>
          <t>1 = Yes
2 = No</t>
        </is>
      </c>
      <c r="I361" s="10" t="inlineStr"/>
      <c r="J361" s="10" t="inlineStr">
        <is>
          <t>[HARD] Required when enabled, ∈ {1, 2}</t>
        </is>
      </c>
    </row>
    <row r="362">
      <c r="A362" s="7" t="inlineStr">
        <is>
          <t>q171_why_not</t>
        </is>
      </c>
      <c r="B362" s="8" t="inlineStr">
        <is>
          <t>171. Why are you NOT planning to visit?</t>
        </is>
      </c>
      <c r="C362" s="8" t="inlineStr">
        <is>
          <t>171. Why are you NOT planning to visit? DO NOT READ OPTIONS OUT LOUD. SELECT ALL THAT APPLY.</t>
        </is>
      </c>
      <c r="D362" s="8" t="inlineStr">
        <is>
          <t>not asked when Q170 FOLLOWUP (after completion)</t>
        </is>
      </c>
      <c r="E362" s="8" t="inlineStr">
        <is>
          <t>(after completion) → Q172 (explicit)</t>
        </is>
      </c>
      <c r="F362" s="8" t="inlineStr">
        <is>
          <t>L. Experiences and Satisfaction on Referrals</t>
        </is>
      </c>
      <c r="G362" s="8" t="inlineStr">
        <is>
          <t>alpha 14</t>
        </is>
      </c>
      <c r="H362" s="8" t="inlineStr">
        <is>
          <t>01 = Facility is too far
02 = Do not trust the referred facility
03 = No time
04 = Worried about additional costs
05 = Not needed
99 = Other (Specify)</t>
        </is>
      </c>
      <c r="I362" s="8" t="inlineStr">
        <is>
          <t>06 = Don't know how to get to facility</t>
        </is>
      </c>
      <c r="J362" s="8" t="inlineStr">
        <is>
          <t>[HARD] ≥ 1 option ticked when enabled</t>
        </is>
      </c>
    </row>
    <row r="363">
      <c r="A363" s="9" t="inlineStr">
        <is>
          <t>q171_why_not_other_txt</t>
        </is>
      </c>
      <c r="B363" s="10" t="inlineStr">
        <is>
          <t>171. Why are you NOT planning to visit? — Other (specify) text</t>
        </is>
      </c>
      <c r="C363" s="10" t="inlineStr">
        <is>
          <t>171. Why are you NOT planning to visit? — Other (specify) text</t>
        </is>
      </c>
      <c r="D363" s="10" t="inlineStr">
        <is>
          <t>not asked when Q170 FOLLOWUP (after completion)</t>
        </is>
      </c>
      <c r="E363" s="10" t="inlineStr"/>
      <c r="F363" s="10" t="inlineStr">
        <is>
          <t>L. Experiences and Satisfaction on Referrals</t>
        </is>
      </c>
      <c r="G363" s="10" t="inlineStr">
        <is>
          <t>alpha 120</t>
        </is>
      </c>
      <c r="H363" s="10" t="inlineStr"/>
      <c r="I363" s="10" t="inlineStr"/>
      <c r="J363" s="10" t="inlineStr"/>
    </row>
    <row r="364">
      <c r="A364" s="7" t="inlineStr">
        <is>
          <t>q172_pcp_referral</t>
        </is>
      </c>
      <c r="B364" s="8" t="inlineStr">
        <is>
          <t>172. Was the visit to this facility a referral from your primary care facility?</t>
        </is>
      </c>
      <c r="C364" s="8" t="inlineStr">
        <is>
          <t>172. Was the visit to ~~FACILITY_NAME~~ a referral from your primary care facility?</t>
        </is>
      </c>
      <c r="D364" s="8" t="inlineStr"/>
      <c r="E364" s="8">
        <f> No → Q177 (skip Q173–Q176 — not a PCP referral → skip PCP-role questions)</f>
        <v/>
      </c>
      <c r="F364" s="8" t="inlineStr">
        <is>
          <t>L. Experiences and Satisfaction on Referrals</t>
        </is>
      </c>
      <c r="G364" s="8" t="inlineStr">
        <is>
          <t>numeric 1</t>
        </is>
      </c>
      <c r="H364" s="8" t="inlineStr">
        <is>
          <t>1 = Yes
2 = No</t>
        </is>
      </c>
      <c r="I364" s="8" t="inlineStr"/>
      <c r="J364" s="8" t="inlineStr">
        <is>
          <t>[HARD] Required when enabled (i.e., Q162 = Yes), ∈ {1, 2}</t>
        </is>
      </c>
    </row>
    <row r="365">
      <c r="A365" s="9" t="inlineStr">
        <is>
          <t>q173_pcp_knows</t>
        </is>
      </c>
      <c r="B365" s="10" t="inlineStr">
        <is>
          <t>173. Does your primary care provider know that you made the visit?</t>
        </is>
      </c>
      <c r="C365" s="10" t="inlineStr">
        <is>
          <t>173. Does your primary care provider know that you made the visit?</t>
        </is>
      </c>
      <c r="D365" s="10" t="inlineStr">
        <is>
          <t>not asked when Q172 PCP_REFERRAL = No</t>
        </is>
      </c>
      <c r="E365" s="10" t="inlineStr"/>
      <c r="F365" s="10" t="inlineStr">
        <is>
          <t>L. Experiences and Satisfaction on Referrals</t>
        </is>
      </c>
      <c r="G365" s="10" t="inlineStr">
        <is>
          <t>numeric 1</t>
        </is>
      </c>
      <c r="H365" s="10" t="inlineStr">
        <is>
          <t>1 = Yes
2 = No</t>
        </is>
      </c>
      <c r="I365" s="10" t="inlineStr">
        <is>
          <t>3 = I don't know</t>
        </is>
      </c>
      <c r="J365" s="10" t="inlineStr">
        <is>
          <t>[HARD] Required when enabled, ∈ {1, 2, 3}</t>
        </is>
      </c>
    </row>
    <row r="366">
      <c r="A366" s="7" t="inlineStr">
        <is>
          <t>q174_pcp_discussed</t>
        </is>
      </c>
      <c r="B366" s="8" t="inlineStr">
        <is>
          <t>174. Did your primary care provider discuss with you different places you could have gone to get help with your problem?</t>
        </is>
      </c>
      <c r="C366" s="8" t="inlineStr">
        <is>
          <t>174. Did your primary care provider discuss with you different places you could have gone to get help with your problem?</t>
        </is>
      </c>
      <c r="D366" s="8" t="inlineStr"/>
      <c r="E366" s="8" t="inlineStr"/>
      <c r="F366" s="8" t="inlineStr">
        <is>
          <t>L. Experiences and Satisfaction on Referrals</t>
        </is>
      </c>
      <c r="G366" s="8" t="inlineStr">
        <is>
          <t>numeric 1</t>
        </is>
      </c>
      <c r="H366" s="8" t="inlineStr">
        <is>
          <t>1 = Yes
2 = No</t>
        </is>
      </c>
      <c r="I366" s="8" t="inlineStr"/>
      <c r="J366" s="8" t="inlineStr">
        <is>
          <t>[HARD] Required when enabled, ∈ {1, 2}</t>
        </is>
      </c>
    </row>
    <row r="367">
      <c r="A367" s="9" t="inlineStr">
        <is>
          <t>q175_pcp_helped_appt</t>
        </is>
      </c>
      <c r="B367" s="10" t="inlineStr">
        <is>
          <t>175. Did your primary care provider (PCP) or someone working with your PCP help you make the appointment for that visit?</t>
        </is>
      </c>
      <c r="C367" s="10" t="inlineStr">
        <is>
          <t>175. Did your primary care provider (PCP) or someone working with your PCP help you make the appointment for that visit?</t>
        </is>
      </c>
      <c r="D367" s="10" t="inlineStr"/>
      <c r="E367" s="10" t="inlineStr"/>
      <c r="F367" s="10" t="inlineStr">
        <is>
          <t>L. Experiences and Satisfaction on Referrals</t>
        </is>
      </c>
      <c r="G367" s="10" t="inlineStr">
        <is>
          <t>numeric 1</t>
        </is>
      </c>
      <c r="H367" s="10" t="inlineStr">
        <is>
          <t>1 = Yes
2 = No</t>
        </is>
      </c>
      <c r="I367" s="10" t="inlineStr"/>
      <c r="J367" s="10" t="inlineStr">
        <is>
          <t>[HARD] Required when enabled, ∈ {1, 2}</t>
        </is>
      </c>
    </row>
    <row r="368">
      <c r="A368" s="7" t="inlineStr">
        <is>
          <t>q176_pcp_wrote_info</t>
        </is>
      </c>
      <c r="B368" s="8" t="inlineStr">
        <is>
          <t>176. Did your primary care provider write down any information for the specialist about the reason for that visit?</t>
        </is>
      </c>
      <c r="C368" s="8" t="inlineStr">
        <is>
          <t>176. Did your primary care provider write down any information for the specialist about the reason for that visit?</t>
        </is>
      </c>
      <c r="D368" s="8" t="inlineStr">
        <is>
          <t>not asked when Q172 PCP_REFERRAL = No</t>
        </is>
      </c>
      <c r="E368" s="8" t="inlineStr"/>
      <c r="F368" s="8" t="inlineStr">
        <is>
          <t>L. Experiences and Satisfaction on Referrals</t>
        </is>
      </c>
      <c r="G368" s="8" t="inlineStr">
        <is>
          <t>numeric 1</t>
        </is>
      </c>
      <c r="H368" s="8" t="inlineStr">
        <is>
          <t>1 = Yes
2 = No</t>
        </is>
      </c>
      <c r="I368" s="8" t="inlineStr"/>
      <c r="J368" s="8" t="inlineStr">
        <is>
          <t>[HARD] Required when enabled, ∈ {1, 2}</t>
        </is>
      </c>
    </row>
    <row r="369">
      <c r="A369" s="9" t="inlineStr">
        <is>
          <t>q177_why_hospital</t>
        </is>
      </c>
      <c r="B369" s="10" t="inlineStr">
        <is>
          <t>177. As it was not a referral, why did you decide to visit a hospital?</t>
        </is>
      </c>
      <c r="C369" s="10" t="inlineStr">
        <is>
          <t>177. As it was not a referral, why did you decide to visit a hospital? DO NOT READ OPTIONS OUT LOUD. SELECT ALL THAT APPLY.</t>
        </is>
      </c>
      <c r="D369" s="10" t="inlineStr"/>
      <c r="E369" s="10" t="inlineStr"/>
      <c r="F369" s="10" t="inlineStr">
        <is>
          <t>L. Experiences and Satisfaction on Referrals</t>
        </is>
      </c>
      <c r="G369" s="10" t="inlineStr">
        <is>
          <t>alpha 20</t>
        </is>
      </c>
      <c r="H369" s="10" t="inlineStr">
        <is>
          <t>01 = Referred by other specialist (doctor in another hospital)
02 = Nearest facility to house
03 = Facility is usual source of care
04 = Facility is the only place that can perform a certain test
05 = Referred by BHW/nurse/midwife/other community health professional
06 = Referred by family / friends
07 = Facility offers subsidized or free health services
08 = ZBB eligibility
99 = Other (Specify)</t>
        </is>
      </c>
      <c r="I369" s="10" t="inlineStr">
        <is>
          <t>90 = I don't know</t>
        </is>
      </c>
      <c r="J369" s="10" t="inlineStr">
        <is>
          <t>[HARD] ≥ 1 option ticked when enabled
[HARD] Cannot be combined with any other option</t>
        </is>
      </c>
    </row>
    <row r="370">
      <c r="A370" s="7" t="inlineStr">
        <is>
          <t>q177_why_hospital_other_txt</t>
        </is>
      </c>
      <c r="B370" s="8" t="inlineStr">
        <is>
          <t>177. As it was not a referral, why did you decide to visit a hospital? — Other (specify) text</t>
        </is>
      </c>
      <c r="C370" s="8" t="inlineStr">
        <is>
          <t>177. As it was not a referral, why did you decide to visit a hospital? — Other (specify) text</t>
        </is>
      </c>
      <c r="D370" s="8" t="inlineStr"/>
      <c r="E370" s="8" t="inlineStr"/>
      <c r="F370" s="8" t="inlineStr">
        <is>
          <t>L. Experiences and Satisfaction on Referrals</t>
        </is>
      </c>
      <c r="G370" s="8" t="inlineStr">
        <is>
          <t>alpha 120</t>
        </is>
      </c>
      <c r="H370" s="8" t="inlineStr"/>
      <c r="I370" s="8" t="inlineStr"/>
      <c r="J370" s="8" t="inlineStr"/>
    </row>
    <row r="371">
      <c r="A371" s="9" t="inlineStr">
        <is>
          <t>q178_sat_referral</t>
        </is>
      </c>
      <c r="B371" s="10" t="inlineStr">
        <is>
          <t>178. Overall, how would you rate your experience with the referral process?</t>
        </is>
      </c>
      <c r="C371" s="10" t="inlineStr">
        <is>
          <t>178. Overall, how would you rate your experience with the referral process? READ OPTIONS OUT LOUD. SELECT ONE ANSWER ONLY.</t>
        </is>
      </c>
      <c r="D371" s="10" t="inlineStr">
        <is>
          <t>not asked when Q162 REFERRED = No</t>
        </is>
      </c>
      <c r="E371" s="10" t="inlineStr"/>
      <c r="F371" s="10" t="inlineStr">
        <is>
          <t>L. Experiences and Satisfaction on Referrals</t>
        </is>
      </c>
      <c r="G371" s="10" t="inlineStr">
        <is>
          <t>numeric 1</t>
        </is>
      </c>
      <c r="H371" s="10" t="inlineStr">
        <is>
          <t>1 = Very Satisfied
2 = Satisfied
3 = Neither Satisfied nor Dissatisfied
4 = Dissatisfied
5 = Very Dissatisfied</t>
        </is>
      </c>
      <c r="I371" s="10" t="inlineStr"/>
      <c r="J371" s="10" t="inlineStr">
        <is>
          <t>[HARD] Required (asked for all Q162 = Yes respondents), ∈ {1–6}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78"/>
  <sheetViews>
    <sheetView workbookViewId="0">
      <pane ySplit="1" topLeftCell="A2" activePane="bottomLeft" state="frozen"/>
      <selection pane="bottomLeft" activeCell="A1" sqref="A1"/>
    </sheetView>
  </sheetViews>
  <sheetFormatPr baseColWidth="8" defaultRowHeight="15"/>
  <cols>
    <col width="44" customWidth="1" min="1" max="1"/>
    <col width="90" customWidth="1" min="2" max="2"/>
    <col width="20" customWidth="1" min="3" max="3"/>
  </cols>
  <sheetData>
    <row r="1">
      <c r="A1" s="11" t="inlineStr">
        <is>
          <t>Item(s)</t>
        </is>
      </c>
      <c r="B1" s="11" t="inlineStr">
        <is>
          <t>Rule</t>
        </is>
      </c>
      <c r="C1" s="11" t="inlineStr">
        <is>
          <t>Severity</t>
        </is>
      </c>
    </row>
    <row r="2">
      <c r="A2" s="9" t="inlineStr">
        <is>
          <t>DATE_FIRST_VISIT</t>
        </is>
      </c>
      <c r="B2" s="10" t="inlineStr">
        <is>
          <t>Valid date; `20260101 ≤ d ≤ today + 1`</t>
        </is>
      </c>
      <c r="C2" s="10" t="inlineStr">
        <is>
          <t>HARD</t>
        </is>
      </c>
    </row>
    <row r="3">
      <c r="A3" s="9" t="inlineStr">
        <is>
          <t>DATE_FINAL_VISIT</t>
        </is>
      </c>
      <c r="B3" s="10" t="inlineStr">
        <is>
          <t>Valid date; `≥ DATE_FIRST_VISIT`; `≤ today + 1`</t>
        </is>
      </c>
      <c r="C3" s="10" t="inlineStr">
        <is>
          <t>HARD</t>
        </is>
      </c>
    </row>
    <row r="4">
      <c r="A4" s="9" t="inlineStr">
        <is>
          <t>TOTAL_VISITS</t>
        </is>
      </c>
      <c r="B4" s="10" t="inlineStr">
        <is>
          <t>`≥ 1` when `ENUM_RESULT_FIRST_VISIT` or `ENUM_RESULT_FINAL_VISIT = Completed`</t>
        </is>
      </c>
      <c r="C4" s="10" t="inlineStr">
        <is>
          <t>HARD</t>
        </is>
      </c>
    </row>
    <row r="5">
      <c r="A5" s="9" t="inlineStr">
        <is>
          <t>CLASSIFICATION, REGION, PROVINCE_HUC, CITY_MUNICIPALITY, BARANGAY</t>
        </is>
      </c>
      <c r="B5" s="10" t="inlineStr">
        <is>
          <t>Required, non-blank; must exist in the loaded PSGC external lookup dictionaries (`shared/psgc_*.dcf`)</t>
        </is>
      </c>
      <c r="C5" s="10" t="inlineStr">
        <is>
          <t>HARD</t>
        </is>
      </c>
    </row>
    <row r="6">
      <c r="A6" s="9" t="inlineStr">
        <is>
          <t>P_REGION, P_PROVINCE_HUC, P_CITY_MUNICIPALITY, P_BARANGAY</t>
        </is>
      </c>
      <c r="B6" s="10" t="inlineStr">
        <is>
          <t>Required when `PATIENT_TYPE = Outpatient` or home-visit interview; exist in PSGC lookups</t>
        </is>
      </c>
      <c r="C6" s="10" t="inlineStr">
        <is>
          <t>HARD</t>
        </is>
      </c>
    </row>
    <row r="7">
      <c r="A7" s="9" t="inlineStr">
        <is>
          <t>Child PSGC parent consistency</t>
        </is>
      </c>
      <c r="B7" s="10" t="inlineStr">
        <is>
          <t>Enforced at pick-time by `PSGC-Cascade.apc` — `onfocus` on each child filters its value set to children of the chosen parent, so an inconsistent pair is unrepresentable (apply the same chain to the `P_*` family)</t>
        </is>
      </c>
      <c r="C7" s="10" t="inlineStr">
        <is>
          <t>HARD — cascade enforces</t>
        </is>
      </c>
    </row>
    <row r="8">
      <c r="A8" s="9" t="inlineStr">
        <is>
          <t>FACILITY_CAPTURE_GPS</t>
        </is>
      </c>
      <c r="B8" s="10" t="inlineStr">
        <is>
          <t>Trigger; auto-resets to blank after each successful read (so the button re-arms for retry)</t>
        </is>
      </c>
      <c r="C8" s="10" t="inlineStr">
        <is>
          <t>—</t>
        </is>
      </c>
    </row>
    <row r="9">
      <c r="A9" s="9" t="inlineStr">
        <is>
          <t>FACILITY_GPS_LATITUDE</t>
        </is>
      </c>
      <c r="B9" s="10" t="inlineStr">
        <is>
          <t>Alpha; after capture, `tonumber()` must be in `[4.5, 21.5]` (Philippine bounding box)</t>
        </is>
      </c>
      <c r="C9" s="10" t="inlineStr">
        <is>
          <t>HARD</t>
        </is>
      </c>
    </row>
    <row r="10">
      <c r="A10" s="9" t="inlineStr">
        <is>
          <t>FACILITY_GPS_LONGITUDE</t>
        </is>
      </c>
      <c r="B10" s="10" t="inlineStr">
        <is>
          <t>After capture, `tonumber()` in `[116.5, 127.0]`</t>
        </is>
      </c>
      <c r="C10" s="10" t="inlineStr">
        <is>
          <t>HARD</t>
        </is>
      </c>
    </row>
    <row r="11">
      <c r="A11" s="9" t="inlineStr">
        <is>
          <t>FACILITY_GPS_ACCURACY</t>
        </is>
      </c>
      <c r="B11" s="10" t="inlineStr">
        <is>
          <t>Numeric, metres. Warn if `&gt; 30` — re-read outdoors recommended</t>
        </is>
      </c>
      <c r="C11" s="10" t="inlineStr">
        <is>
          <t>SOFT</t>
        </is>
      </c>
    </row>
    <row r="12">
      <c r="A12" s="9" t="inlineStr">
        <is>
          <t>FACILITY_GPS_SATELLITES</t>
        </is>
      </c>
      <c r="B12" s="10" t="inlineStr">
        <is>
          <t>Numeric. Warn if `&lt; 4` (fix is below minimum for reliable lat/lon)</t>
        </is>
      </c>
      <c r="C12" s="10" t="inlineStr">
        <is>
          <t>SOFT</t>
        </is>
      </c>
    </row>
    <row r="13">
      <c r="A13" s="9" t="inlineStr">
        <is>
          <t>FACILITY_GPS_READTIME</t>
        </is>
      </c>
      <c r="B13" s="10" t="inlineStr">
        <is>
          <t>Alpha UTC timestamp; must parse and be within `±24 h` of `DATE_FINAL_VISIT`</t>
        </is>
      </c>
      <c r="C13" s="10" t="inlineStr">
        <is>
          <t>SOFT</t>
        </is>
      </c>
    </row>
    <row r="14">
      <c r="A14" s="9" t="inlineStr">
        <is>
          <t>FACILITY_GPS_* non-blank required</t>
        </is>
      </c>
      <c r="B14" s="10" t="inlineStr">
        <is>
          <t>When `ENUM_RESULT_FINAL_VISIT = Completed at Hospital`/`at Home` and `PATIENT_TYPE = Inpatient` (facility-captured case)</t>
        </is>
      </c>
      <c r="C14" s="10" t="inlineStr">
        <is>
          <t>HARD</t>
        </is>
      </c>
    </row>
    <row r="15">
      <c r="A15" s="9" t="inlineStr">
        <is>
          <t>P_HOME_CAPTURE_GPS</t>
        </is>
      </c>
      <c r="B15" s="10" t="inlineStr">
        <is>
          <t>Trigger mirror of facility capture; auto-resets</t>
        </is>
      </c>
      <c r="C15" s="10" t="inlineStr">
        <is>
          <t>—</t>
        </is>
      </c>
    </row>
    <row r="16">
      <c r="A16" s="9" t="inlineStr">
        <is>
          <t>P_HOME_GPS_LATITUDE, P_HOME_GPS_LONGITUDE</t>
        </is>
      </c>
      <c r="B16" s="10" t="inlineStr">
        <is>
          <t>Same bounding-box checks as facility block</t>
        </is>
      </c>
      <c r="C16" s="10" t="inlineStr">
        <is>
          <t>HARD</t>
        </is>
      </c>
    </row>
    <row r="17">
      <c r="A17" s="9" t="inlineStr">
        <is>
          <t>P_HOME_GPS_ACCURACY, P_HOME_GPS_SATELLITES, P_HOME_GPS_READTIME</t>
        </is>
      </c>
      <c r="B17" s="10" t="inlineStr">
        <is>
          <t>Same sanity rules as facility block</t>
        </is>
      </c>
      <c r="C17" s="10" t="inlineStr">
        <is>
          <t>SOFT</t>
        </is>
      </c>
    </row>
    <row r="18">
      <c r="A18" s="9" t="inlineStr">
        <is>
          <t>P_HOME_GPS_* non-blank required</t>
        </is>
      </c>
      <c r="B18" s="10" t="inlineStr">
        <is>
          <t>When home-visit interview (`ENUM_RESULT_FINAL_VISIT = Completed at Home`) or `PATIENT_TYPE = Outpatient`</t>
        </is>
      </c>
      <c r="C18" s="10" t="inlineStr">
        <is>
          <t>HARD</t>
        </is>
      </c>
    </row>
    <row r="19">
      <c r="A19" s="9" t="inlineStr">
        <is>
          <t>Facility vs patient-home distance</t>
        </is>
      </c>
      <c r="B19" s="10" t="inlineStr">
        <is>
          <t>Warn if `haversine(FACILITY_GPS_*, P_HOME_GPS_*) &gt; 100 km` — likely cross-facility / mis-capture</t>
        </is>
      </c>
      <c r="C19" s="10" t="inlineStr">
        <is>
          <t>SOFT</t>
        </is>
      </c>
    </row>
    <row r="20">
      <c r="A20" s="9" t="inlineStr">
        <is>
          <t>CAPTURE_VERIFICATION_PHOTO</t>
        </is>
      </c>
      <c r="B20" s="10" t="inlineStr">
        <is>
          <t>Trigger; auto-resets to blank after each successful capture</t>
        </is>
      </c>
      <c r="C20" s="10" t="inlineStr">
        <is>
          <t>—</t>
        </is>
      </c>
    </row>
    <row r="21">
      <c r="A21" s="9" t="inlineStr">
        <is>
          <t>VERIFICATION_PHOTO_FILENAME</t>
        </is>
      </c>
      <c r="B21" s="10" t="inlineStr">
        <is>
          <t>Non-blank when `ENUM_RESULT_FINAL_VISIT = Completed*`; 120-char alpha populated by `TakeVerificationPhoto()`</t>
        </is>
      </c>
      <c r="C21" s="10" t="inlineStr">
        <is>
          <t>HARD</t>
        </is>
      </c>
    </row>
    <row r="22">
      <c r="A22" s="9" t="inlineStr">
        <is>
          <t>Filename pattern</t>
        </is>
      </c>
      <c r="B22" s="10" t="inlineStr">
        <is>
          <t>Matches `case-{QUESTIONNAIRE_NO}-verification.jpg` (enforced by the PROC that assigns it)</t>
        </is>
      </c>
      <c r="C22" s="10" t="inlineStr">
        <is>
          <t>HARD</t>
        </is>
      </c>
    </row>
    <row r="23">
      <c r="A23" s="9" t="inlineStr">
        <is>
          <t>File reachability</t>
        </is>
      </c>
      <c r="B23" s="10" t="inlineStr">
        <is>
          <t>CSEntry attachment must sync to CSWeb before the case can be marked final; enforced by sync workflow, not dictionary validation</t>
        </is>
      </c>
      <c r="C23" s="10" t="inlineStr">
        <is>
          <t>—</t>
        </is>
      </c>
    </row>
    <row r="24">
      <c r="A24" s="9" t="inlineStr">
        <is>
          <t>F3_FACILITY_ID</t>
        </is>
      </c>
      <c r="B24" s="10" t="inlineStr">
        <is>
          <t>Required, non-blank; must match a `QUESTIONNAIRE_NO` in the sampled-facility F1 dataset sync'd from CSWeb</t>
        </is>
      </c>
      <c r="C24" s="10" t="inlineStr">
        <is>
          <t>HARD</t>
        </is>
      </c>
    </row>
    <row r="25">
      <c r="A25" s="9" t="inlineStr">
        <is>
          <t>Linkage consistency</t>
        </is>
      </c>
      <c r="B25" s="10" t="inlineStr">
        <is>
          <t>`F3.REGION == F1.REGION` (and PROVINCE_HUC / CITY_MUNICIPALITY / BARANGAY) for the linked facility record — prevents accidental cross-region linkage</t>
        </is>
      </c>
      <c r="C25" s="10" t="inlineStr">
        <is>
          <t>HARD</t>
        </is>
      </c>
    </row>
    <row r="26">
      <c r="A26" s="9" t="inlineStr">
        <is>
          <t>PATIENT_TYPE</t>
        </is>
      </c>
      <c r="B26" s="10" t="inlineStr">
        <is>
          <t>Required, ∈ {Outpatient, Inpatient}; drives Section G vs Section H gating</t>
        </is>
      </c>
      <c r="C26" s="10" t="inlineStr">
        <is>
          <t>HARD</t>
        </is>
      </c>
    </row>
    <row r="27">
      <c r="A27" s="9" t="inlineStr">
        <is>
          <t>PATIENT_LISTING_NO</t>
        </is>
      </c>
      <c r="B27" s="10" t="inlineStr">
        <is>
          <t>Required, 4-digit zero-filled; must match a row in the F3b patient listing export</t>
        </is>
      </c>
      <c r="C27" s="10" t="inlineStr">
        <is>
          <t>HARD</t>
        </is>
      </c>
    </row>
    <row r="28">
      <c r="A28" s="9" t="inlineStr">
        <is>
          <t>BREAKOFF</t>
        </is>
      </c>
      <c r="B28" s="10" t="inlineStr">
        <is>
          <t>Required; defaults to `1 — Continue interview`. If ≠ Continue → terminate; sets `ENUM_RESULT_FINAL_VISIT` (2 Withdrew → 6 Withdraw Participation/Consent; 3 Postponed → 3; 4 Stop-other → 4 Incomplete) and `CASE_DISPOSITION = 2`</t>
        </is>
      </c>
      <c r="C28" s="10" t="inlineStr">
        <is>
          <t>HARD</t>
        </is>
      </c>
    </row>
    <row r="29">
      <c r="A29" s="9" t="inlineStr">
        <is>
          <t>CASE_DISPOSITION</t>
        </is>
      </c>
      <c r="B29" s="10" t="inlineStr">
        <is>
          <t>Auto-written by logic, never typed: 0 In progress / 1 Completed / 2 Partial / not completed</t>
        </is>
      </c>
      <c r="C29" s="10" t="inlineStr">
        <is>
          <t>—</t>
        </is>
      </c>
    </row>
    <row r="30">
      <c r="A30" s="9" t="inlineStr">
        <is>
          <t>ENUM_RESULT_FIRST_VISIT = Completed / Completed at Hospital / Completed at Home</t>
        </is>
      </c>
      <c r="B30" s="10" t="inlineStr">
        <is>
          <t>All Section A–L mandatory items must be non-blank</t>
        </is>
      </c>
      <c r="C30" s="10" t="inlineStr">
        <is>
          <t>HARD</t>
        </is>
      </c>
    </row>
    <row r="31">
      <c r="A31" s="9" t="inlineStr">
        <is>
          <t>Q2 enabled</t>
        </is>
      </c>
      <c r="B31" s="10" t="inlineStr">
        <is>
          <t>`Q1_IS_PATIENT = No` (2)</t>
        </is>
      </c>
      <c r="C31" s="10" t="inlineStr">
        <is>
          <t>GATE</t>
        </is>
      </c>
    </row>
    <row r="32">
      <c r="A32" s="9" t="inlineStr">
        <is>
          <t>Q3 enabled</t>
        </is>
      </c>
      <c r="B32" s="10" t="inlineStr">
        <is>
          <t>`Q1_IS_PATIENT = No` (2)</t>
        </is>
      </c>
      <c r="C32" s="10" t="inlineStr">
        <is>
          <t>GATE</t>
        </is>
      </c>
    </row>
    <row r="33">
      <c r="A33" s="9" t="inlineStr">
        <is>
          <t>Q2_RELATIONSHIP = 19 (Other)</t>
        </is>
      </c>
      <c r="B33" s="10" t="inlineStr">
        <is>
          <t>`Q2_RELATIONSHIP_OTHER_TXT` required, non-blank</t>
        </is>
      </c>
      <c r="C33" s="10" t="inlineStr">
        <is>
          <t>HARD</t>
        </is>
      </c>
    </row>
    <row r="34">
      <c r="A34" s="9" t="inlineStr">
        <is>
          <t>Q2_RELATIONSHIP = 20 (Refuse)</t>
        </is>
      </c>
      <c r="B34" s="10" t="inlineStr">
        <is>
          <t>Accept; no other-text required</t>
        </is>
      </c>
      <c r="C34" s="10" t="inlineStr">
        <is>
          <t>—</t>
        </is>
      </c>
    </row>
    <row r="35">
      <c r="A35" s="9" t="inlineStr">
        <is>
          <t>Q3_SAME_HOUSE</t>
        </is>
      </c>
      <c r="B35" s="10" t="inlineStr">
        <is>
          <t>Required when Q1 = No</t>
        </is>
      </c>
      <c r="C35" s="10" t="inlineStr">
        <is>
          <t>HARD</t>
        </is>
      </c>
    </row>
    <row r="36">
      <c r="A36" s="9" t="inlineStr">
        <is>
          <t>Q4_NAME</t>
        </is>
      </c>
      <c r="B36" s="10" t="inlineStr">
        <is>
          <t>Required; non-blank; ≤120 chars</t>
        </is>
      </c>
      <c r="C36" s="10" t="inlineStr">
        <is>
          <t>HARD</t>
        </is>
      </c>
    </row>
    <row r="37">
      <c r="A37" s="9" t="inlineStr">
        <is>
          <t>Q5_BIRTH_MONTH</t>
        </is>
      </c>
      <c r="B37" s="10" t="inlineStr">
        <is>
          <t>Integer 1–12</t>
        </is>
      </c>
      <c r="C37" s="10" t="inlineStr">
        <is>
          <t>HARD</t>
        </is>
      </c>
    </row>
    <row r="38">
      <c r="A38" s="9" t="inlineStr">
        <is>
          <t>Q5_BIRTH_YEAR</t>
        </is>
      </c>
      <c r="B38" s="10" t="inlineStr">
        <is>
          <t>Integer; `1900 ≤ y ≤ current_year`</t>
        </is>
      </c>
      <c r="C38" s="10" t="inlineStr">
        <is>
          <t>HARD</t>
        </is>
      </c>
    </row>
    <row r="39">
      <c r="A39" s="9" t="inlineStr">
        <is>
          <t>Q6_AGE</t>
        </is>
      </c>
      <c r="B39" s="10" t="inlineStr">
        <is>
          <t>`0 ≤ age ≤ 120`</t>
        </is>
      </c>
      <c r="C39" s="10" t="inlineStr">
        <is>
          <t>HARD</t>
        </is>
      </c>
    </row>
    <row r="40">
      <c r="A40" s="9" t="inlineStr">
        <is>
          <t>Q5/Q6 age-vs-birth consistency</t>
        </is>
      </c>
      <c r="B40" s="10" t="inlineStr">
        <is>
          <t>`abs((current_year − Q5_BIRTH_YEAR) − Q6_AGE) ≤ 1` (allow ±1 for not-yet-birthday)</t>
        </is>
      </c>
      <c r="C40" s="10" t="inlineStr">
        <is>
          <t>HARD</t>
        </is>
      </c>
    </row>
    <row r="41">
      <c r="A41" s="9" t="inlineStr">
        <is>
          <t>Q7_SEX</t>
        </is>
      </c>
      <c r="B41" s="10" t="inlineStr">
        <is>
          <t>Required, ∈ {1, 2}</t>
        </is>
      </c>
      <c r="C41" s="10" t="inlineStr">
        <is>
          <t>HARD</t>
        </is>
      </c>
    </row>
    <row r="42">
      <c r="A42" s="9" t="inlineStr">
        <is>
          <t>Q8 LGBTQIA</t>
        </is>
      </c>
      <c r="B42" s="10" t="inlineStr">
        <is>
          <t>Required, ∈ {1–5}</t>
        </is>
      </c>
      <c r="C42" s="10" t="inlineStr">
        <is>
          <t>HARD</t>
        </is>
      </c>
    </row>
    <row r="43">
      <c r="A43" s="9" t="inlineStr">
        <is>
          <t>Q9 enabled</t>
        </is>
      </c>
      <c r="B43" s="10" t="inlineStr">
        <is>
          <t>`Q8_LGBTQIA = Yes` (1)</t>
        </is>
      </c>
      <c r="C43" s="10" t="inlineStr">
        <is>
          <t>GATE</t>
        </is>
      </c>
    </row>
    <row r="44">
      <c r="A44" s="9" t="inlineStr">
        <is>
          <t>Q9_GROUP = 8 (Other)</t>
        </is>
      </c>
      <c r="B44" s="10" t="inlineStr">
        <is>
          <t>`Q9_GROUP_OTHER_TXT` required</t>
        </is>
      </c>
      <c r="C44" s="10" t="inlineStr">
        <is>
          <t>HARD</t>
        </is>
      </c>
    </row>
    <row r="45">
      <c r="A45" s="9" t="inlineStr">
        <is>
          <t>Q10_CIVIL_STATUS</t>
        </is>
      </c>
      <c r="B45" s="10" t="inlineStr">
        <is>
          <t>Required, ∈ {1–8}</t>
        </is>
      </c>
      <c r="C45" s="10" t="inlineStr">
        <is>
          <t>HARD</t>
        </is>
      </c>
    </row>
    <row r="46">
      <c r="A46" s="9" t="inlineStr">
        <is>
          <t>Q12 enabled</t>
        </is>
      </c>
      <c r="B46" s="10" t="inlineStr">
        <is>
          <t>`Q11_PWD = Yes`</t>
        </is>
      </c>
      <c r="C46" s="10" t="inlineStr">
        <is>
          <t>GATE</t>
        </is>
      </c>
    </row>
    <row r="47">
      <c r="A47" s="9" t="inlineStr">
        <is>
          <t>Q13 enabled</t>
        </is>
      </c>
      <c r="B47" s="10" t="inlineStr">
        <is>
          <t>`Q11_PWD = Yes` and `Q12_PWD_SPECIFY = Yes`</t>
        </is>
      </c>
      <c r="C47" s="10" t="inlineStr">
        <is>
          <t>GATE</t>
        </is>
      </c>
    </row>
    <row r="48">
      <c r="A48" s="9" t="inlineStr">
        <is>
          <t>Q14 enabled</t>
        </is>
      </c>
      <c r="B48" s="10" t="inlineStr">
        <is>
          <t>`Q13_PWD_CARD = 1` (card presented and verified)</t>
        </is>
      </c>
      <c r="C48" s="10" t="inlineStr">
        <is>
          <t>GATE</t>
        </is>
      </c>
    </row>
    <row r="49">
      <c r="A49" s="9" t="inlineStr">
        <is>
          <t>Q14_DISABILITY_TYPE = 8 (Other)</t>
        </is>
      </c>
      <c r="B49" s="10" t="inlineStr">
        <is>
          <t>`Q14_DISABILITY_OTHER_TXT` required</t>
        </is>
      </c>
      <c r="C49" s="10" t="inlineStr">
        <is>
          <t>HARD</t>
        </is>
      </c>
    </row>
    <row r="50">
      <c r="A50" s="9" t="inlineStr">
        <is>
          <t>Q15_EDUCATION</t>
        </is>
      </c>
      <c r="B50" s="10" t="inlineStr">
        <is>
          <t>Required; if = 11 (Other), `Q15_EDUCATION_OTHER_TXT` required</t>
        </is>
      </c>
      <c r="C50" s="10" t="inlineStr">
        <is>
          <t>HARD</t>
        </is>
      </c>
    </row>
    <row r="51">
      <c r="A51" s="9" t="inlineStr">
        <is>
          <t>Q16_EMPLOYMENT</t>
        </is>
      </c>
      <c r="B51" s="10" t="inlineStr">
        <is>
          <t>Required, ∈ {1–9}</t>
        </is>
      </c>
      <c r="C51" s="10" t="inlineStr">
        <is>
          <t>HARD</t>
        </is>
      </c>
    </row>
    <row r="52">
      <c r="A52" s="9" t="inlineStr">
        <is>
          <t>Q17_INCOME_SOURCE</t>
        </is>
      </c>
      <c r="B52" s="10" t="inlineStr">
        <is>
          <t>Required, ∈ {01–09, 99}</t>
        </is>
      </c>
      <c r="C52" s="10" t="inlineStr">
        <is>
          <t>HARD</t>
        </is>
      </c>
    </row>
    <row r="53">
      <c r="A53" s="9" t="inlineStr">
        <is>
          <t>Q17 employment-consistency</t>
        </is>
      </c>
      <c r="B53" s="10" t="inlineStr">
        <is>
          <t>If `Q16_EMPLOYMENT = 4 or 5` (unemployed) → `Q17_INCOME_SOURCE ∈ {06, 07, 08, 09, 99}` (no paid-work income source)</t>
        </is>
      </c>
      <c r="C53" s="10" t="inlineStr">
        <is>
          <t>SOFT</t>
        </is>
      </c>
    </row>
    <row r="54">
      <c r="A54" s="9" t="inlineStr">
        <is>
          <t>Q18_INCOME_AMOUNT</t>
        </is>
      </c>
      <c r="B54" s="10" t="inlineStr">
        <is>
          <t>Numeric; `0 ≤ amt ≤ 99,999,999`; units = PHP/month</t>
        </is>
      </c>
      <c r="C54" s="10" t="inlineStr">
        <is>
          <t>HARD</t>
        </is>
      </c>
    </row>
    <row r="55">
      <c r="A55" s="9" t="inlineStr">
        <is>
          <t>Q18_INCOME_BRACKET</t>
        </is>
      </c>
      <c r="B55" s="10" t="inlineStr">
        <is>
          <t>Required; bracket must contain `Q18_INCOME_AMOUNT` (see table)</t>
        </is>
      </c>
      <c r="C55" s="10" t="inlineStr">
        <is>
          <t>HARD</t>
        </is>
      </c>
    </row>
    <row r="56">
      <c r="A56" s="9" t="inlineStr">
        <is>
          <t>Q19_HH_SIZE</t>
        </is>
      </c>
      <c r="B56" s="10" t="inlineStr">
        <is>
          <t>`1 ≤ size ≤ 30` (SOFT &gt; 15)</t>
        </is>
      </c>
      <c r="C56" s="10" t="inlineStr">
        <is>
          <t>HARD + SOFT</t>
        </is>
      </c>
    </row>
    <row r="57">
      <c r="A57" s="9" t="inlineStr">
        <is>
          <t>Q20_HH_CHILDREN</t>
        </is>
      </c>
      <c r="B57" s="10" t="inlineStr">
        <is>
          <t>`0 ≤ children ≤ Q19_HH_SIZE`</t>
        </is>
      </c>
      <c r="C57" s="10" t="inlineStr">
        <is>
          <t>HARD</t>
        </is>
      </c>
    </row>
    <row r="58">
      <c r="A58" s="9" t="inlineStr">
        <is>
          <t>Q21_HH_SENIORS</t>
        </is>
      </c>
      <c r="B58" s="10" t="inlineStr">
        <is>
          <t>`0 ≤ seniors ≤ Q19_HH_SIZE`</t>
        </is>
      </c>
      <c r="C58" s="10" t="inlineStr">
        <is>
          <t>HARD</t>
        </is>
      </c>
    </row>
    <row r="59">
      <c r="A59" s="9" t="inlineStr">
        <is>
          <t>Q20 + Q21 ≤ Q19</t>
        </is>
      </c>
      <c r="B59" s="10" t="inlineStr">
        <is>
          <t>`Q20_HH_CHILDREN + Q21_HH_SENIORS ≤ Q19_HH_SIZE` (working-age adults = rest)</t>
        </is>
      </c>
      <c r="C59" s="10" t="inlineStr">
        <is>
          <t>HARD</t>
        </is>
      </c>
    </row>
    <row r="60">
      <c r="A60" s="9" t="inlineStr">
        <is>
          <t>Q22_ELECTRICITY, Q26_REFRIGERATOR, Q27_TELEVISION, Q28_WASHER</t>
        </is>
      </c>
      <c r="B60" s="10" t="inlineStr">
        <is>
          <t>Required, ∈ {1, 2}</t>
        </is>
      </c>
      <c r="C60" s="10" t="inlineStr">
        <is>
          <t>HARD</t>
        </is>
      </c>
    </row>
    <row r="61">
      <c r="A61" s="9" t="inlineStr">
        <is>
          <t>Q22 = No + Q26/Q27/Q28 = Yes</t>
        </is>
      </c>
      <c r="B61" s="10" t="inlineStr">
        <is>
          <t>Warn: "Household without electricity reports powered appliance"</t>
        </is>
      </c>
      <c r="C61" s="10" t="inlineStr">
        <is>
          <t>SOFT</t>
        </is>
      </c>
    </row>
    <row r="62">
      <c r="A62" s="9" t="inlineStr">
        <is>
          <t>Q23_WATER</t>
        </is>
      </c>
      <c r="B62" s="10" t="inlineStr">
        <is>
          <t>Required, ∈ {1–4}; if = 4 (Other), `Q23_WATER_OTHER_TXT` required</t>
        </is>
      </c>
      <c r="C62" s="10" t="inlineStr">
        <is>
          <t>HARD</t>
        </is>
      </c>
    </row>
    <row r="63">
      <c r="A63" s="9" t="inlineStr">
        <is>
          <t>Q24 enabled</t>
        </is>
      </c>
      <c r="B63" s="10" t="inlineStr">
        <is>
          <t>`Q23_WATER = 1` (Faucet inside the house)</t>
        </is>
      </c>
      <c r="C63" s="10" t="inlineStr">
        <is>
          <t>GATE</t>
        </is>
      </c>
    </row>
    <row r="64">
      <c r="A64" s="9" t="inlineStr">
        <is>
          <t>Q25 enabled</t>
        </is>
      </c>
      <c r="B64" s="10" t="inlineStr">
        <is>
          <t>`Q23_WATER = 2` (Tubed/piped well)</t>
        </is>
      </c>
      <c r="C64" s="10" t="inlineStr">
        <is>
          <t>GATE</t>
        </is>
      </c>
    </row>
    <row r="65">
      <c r="A65" s="9" t="inlineStr">
        <is>
          <t>Q29_SEC_CLASS</t>
        </is>
      </c>
      <c r="B65" s="10" t="inlineStr">
        <is>
          <t>Required, ∈ {1–4}</t>
        </is>
      </c>
      <c r="C65" s="10" t="inlineStr">
        <is>
          <t>HARD</t>
        </is>
      </c>
    </row>
    <row r="66">
      <c r="A66" s="9" t="inlineStr">
        <is>
          <t>Q29 vs Q18 sanity</t>
        </is>
      </c>
      <c r="B66" s="10" t="inlineStr">
        <is>
          <t>If `Q29 = 1` (Class A/B) and `Q18_INCOME_BRACKET ∈ {1, 2}` (&lt; 60k) → Warn</t>
        </is>
      </c>
      <c r="C66" s="10" t="inlineStr">
        <is>
          <t>SOFT</t>
        </is>
      </c>
    </row>
    <row r="67">
      <c r="A67" s="9" t="inlineStr">
        <is>
          <t>Q31 enabled</t>
        </is>
      </c>
      <c r="B67" s="10" t="inlineStr">
        <is>
          <t>`Q30_IP = Yes`</t>
        </is>
      </c>
      <c r="C67" s="10" t="inlineStr">
        <is>
          <t>GATE</t>
        </is>
      </c>
    </row>
    <row r="68">
      <c r="A68" s="9" t="inlineStr">
        <is>
          <t>Q31_IP_GROUP</t>
        </is>
      </c>
      <c r="B68" s="10" t="inlineStr">
        <is>
          <t>Required when Q31 enabled; non-blank</t>
        </is>
      </c>
      <c r="C68" s="10" t="inlineStr">
        <is>
          <t>HARD</t>
        </is>
      </c>
    </row>
    <row r="69">
      <c r="A69" s="9" t="inlineStr">
        <is>
          <t>Q32_4PS</t>
        </is>
      </c>
      <c r="B69" s="10" t="inlineStr">
        <is>
          <t>Required, ∈ {1, 2}</t>
        </is>
      </c>
      <c r="C69" s="10" t="inlineStr">
        <is>
          <t>HARD</t>
        </is>
      </c>
    </row>
    <row r="70">
      <c r="A70" s="9" t="inlineStr">
        <is>
          <t>Q33_DECISION_MAKER</t>
        </is>
      </c>
      <c r="B70" s="10" t="inlineStr">
        <is>
          <t>Required, ∈ {1, 2, 3}</t>
        </is>
      </c>
      <c r="C70" s="10" t="inlineStr">
        <is>
          <t>HARD</t>
        </is>
      </c>
    </row>
    <row r="71">
      <c r="A71" s="9" t="inlineStr">
        <is>
          <t>Q34 enabled</t>
        </is>
      </c>
      <c r="B71" s="10" t="inlineStr">
        <is>
          <t>`Q33_DECISION_MAKER = 2` (No)</t>
        </is>
      </c>
      <c r="C71" s="10" t="inlineStr">
        <is>
          <t>GATE</t>
        </is>
      </c>
    </row>
    <row r="72">
      <c r="A72" s="9" t="inlineStr">
        <is>
          <t>Q34_WHO_DECIDES = 11 (Other)</t>
        </is>
      </c>
      <c r="B72" s="10" t="inlineStr">
        <is>
          <t>`Q34_WHO_DECIDES_OTHER_TXT` required</t>
        </is>
      </c>
      <c r="C72" s="10" t="inlineStr">
        <is>
          <t>HARD</t>
        </is>
      </c>
    </row>
    <row r="73">
      <c r="A73" s="9" t="inlineStr">
        <is>
          <t>Q35_UHC_HEARD</t>
        </is>
      </c>
      <c r="B73" s="10" t="inlineStr">
        <is>
          <t>Required, ∈ {1, 2}</t>
        </is>
      </c>
      <c r="C73" s="10" t="inlineStr">
        <is>
          <t>HARD</t>
        </is>
      </c>
    </row>
    <row r="74">
      <c r="A74" s="9" t="inlineStr">
        <is>
          <t>Q36 enabled</t>
        </is>
      </c>
      <c r="B74" s="10" t="inlineStr">
        <is>
          <t>`Q35_UHC_HEARD = Yes`</t>
        </is>
      </c>
      <c r="C74" s="10" t="inlineStr">
        <is>
          <t>GATE</t>
        </is>
      </c>
    </row>
    <row r="75">
      <c r="A75" s="9" t="inlineStr">
        <is>
          <t>Q37 enabled</t>
        </is>
      </c>
      <c r="B75" s="10" t="inlineStr">
        <is>
          <t>`Q35_UHC_HEARD = Yes`</t>
        </is>
      </c>
      <c r="C75" s="10" t="inlineStr">
        <is>
          <t>GATE</t>
        </is>
      </c>
    </row>
    <row r="76">
      <c r="A76" s="9" t="inlineStr">
        <is>
          <t>Q36_UHC_SOURCE select-all</t>
        </is>
      </c>
      <c r="B76" s="10" t="inlineStr">
        <is>
          <t>≥ 1 option ticked when enabled</t>
        </is>
      </c>
      <c r="C76" s="10" t="inlineStr">
        <is>
          <t>HARD</t>
        </is>
      </c>
    </row>
    <row r="77">
      <c r="A77" s="9" t="inlineStr">
        <is>
          <t>Q36_UHC_SOURCE "I don't know" (7)</t>
        </is>
      </c>
      <c r="B77" s="10" t="inlineStr">
        <is>
          <t>Cannot be combined with any other option</t>
        </is>
      </c>
      <c r="C77" s="10" t="inlineStr">
        <is>
          <t>HARD</t>
        </is>
      </c>
    </row>
    <row r="78">
      <c r="A78" s="9" t="inlineStr">
        <is>
          <t>Q36_UHC_SOURCE "Other" (8)</t>
        </is>
      </c>
      <c r="B78" s="10" t="inlineStr">
        <is>
          <t>`Q36_UHC_SOURCE_OTHER_TXT` required</t>
        </is>
      </c>
      <c r="C78" s="10" t="inlineStr">
        <is>
          <t>HARD</t>
        </is>
      </c>
    </row>
    <row r="79">
      <c r="A79" s="9" t="inlineStr">
        <is>
          <t>Q37_UHC_UNDERSTAND select-all</t>
        </is>
      </c>
      <c r="B79" s="10" t="inlineStr">
        <is>
          <t>≥ 1 option ticked when enabled</t>
        </is>
      </c>
      <c r="C79" s="10" t="inlineStr">
        <is>
          <t>HARD</t>
        </is>
      </c>
    </row>
    <row r="80">
      <c r="A80" s="9" t="inlineStr">
        <is>
          <t>Q37_UHC_UNDERSTAND "I don't know" (5)</t>
        </is>
      </c>
      <c r="B80" s="10" t="inlineStr">
        <is>
          <t>Cannot be combined with any other option</t>
        </is>
      </c>
      <c r="C80" s="10" t="inlineStr">
        <is>
          <t>HARD</t>
        </is>
      </c>
    </row>
    <row r="81">
      <c r="A81" s="9" t="inlineStr">
        <is>
          <t>Q37_UHC_UNDERSTAND "Other" (6)</t>
        </is>
      </c>
      <c r="B81" s="10" t="inlineStr">
        <is>
          <t>`Q37_UHC_UNDERSTAND_OTHER_TXT` required</t>
        </is>
      </c>
      <c r="C81" s="10" t="inlineStr">
        <is>
          <t>HARD</t>
        </is>
      </c>
    </row>
    <row r="82">
      <c r="A82" s="9" t="inlineStr">
        <is>
          <t>Q38_PHILHEALTH_REG</t>
        </is>
      </c>
      <c r="B82" s="10" t="inlineStr">
        <is>
          <t>Required, ∈ {1, 2, 3}</t>
        </is>
      </c>
      <c r="C82" s="10" t="inlineStr">
        <is>
          <t>HARD</t>
        </is>
      </c>
    </row>
    <row r="83">
      <c r="A83" s="9" t="inlineStr">
        <is>
          <t>Q38.1 enabled (Q38_1_PIN_WHEN)</t>
        </is>
      </c>
      <c r="B83" s="10" t="inlineStr">
        <is>
          <t>`Q38_PHILHEALTH_REG = Yes` (1) — ✅ built+deployed (#764); select-one 1–4 + 5 IDK[DNR]</t>
        </is>
      </c>
      <c r="C83" s="10" t="inlineStr">
        <is>
          <t>GATE</t>
        </is>
      </c>
    </row>
    <row r="84">
      <c r="A84" s="9" t="inlineStr">
        <is>
          <t>Q38.2 enabled (Q38_2_WHY_NOT_REG)</t>
        </is>
      </c>
      <c r="B84" s="10" t="inlineStr">
        <is>
          <t>`Q38_PHILHEALTH_REG = No` (2) — ✅ built+deployed (#764); tick-all 01–08 + 99 Other→`_OTHER_TXT` (in optimize CHECKBOX set; ≥1 required)</t>
        </is>
      </c>
      <c r="C84" s="10" t="inlineStr">
        <is>
          <t>GATE</t>
        </is>
      </c>
    </row>
    <row r="85">
      <c r="A85" s="9" t="inlineStr">
        <is>
          <t>Q39 enabled</t>
        </is>
      </c>
      <c r="B85" s="10" t="inlineStr">
        <is>
          <t>`Q38_PHILHEALTH_REG = Yes` (1)</t>
        </is>
      </c>
      <c r="C85" s="10" t="inlineStr">
        <is>
          <t>GATE</t>
        </is>
      </c>
    </row>
    <row r="86">
      <c r="A86" s="9" t="inlineStr">
        <is>
          <t>Q40 enabled</t>
        </is>
      </c>
      <c r="B86" s="10" t="inlineStr">
        <is>
          <t>`Q38_PHILHEALTH_REG = Yes` (1)</t>
        </is>
      </c>
      <c r="C86" s="10" t="inlineStr">
        <is>
          <t>GATE</t>
        </is>
      </c>
    </row>
    <row r="87">
      <c r="A87" s="9" t="inlineStr">
        <is>
          <t>Q41 enabled</t>
        </is>
      </c>
      <c r="B87" s="10" t="inlineStr">
        <is>
          <t>`Q38_PHILHEALTH_REG = Yes` (1)</t>
        </is>
      </c>
      <c r="C87" s="10" t="inlineStr">
        <is>
          <t>GATE</t>
        </is>
      </c>
    </row>
    <row r="88">
      <c r="A88" s="9" t="inlineStr">
        <is>
          <t>Q42 enabled</t>
        </is>
      </c>
      <c r="B88" s="10" t="inlineStr">
        <is>
          <t>`Q38_PHILHEALTH_REG = Yes` and `Q41_REG_DIFFICULTY = Yes`</t>
        </is>
      </c>
      <c r="C88" s="10" t="inlineStr">
        <is>
          <t>GATE</t>
        </is>
      </c>
    </row>
    <row r="89">
      <c r="A89" s="9" t="inlineStr">
        <is>
          <t>Q44 enabled</t>
        </is>
      </c>
      <c r="B89" s="10" t="inlineStr">
        <is>
          <t>`Q43_KNOWS_ASSIST = Yes`</t>
        </is>
      </c>
      <c r="C89" s="10" t="inlineStr">
        <is>
          <t>GATE</t>
        </is>
      </c>
    </row>
    <row r="90">
      <c r="A90" s="9" t="inlineStr">
        <is>
          <t>Q39_HOW_FIND_OUT = 10 (Other)</t>
        </is>
      </c>
      <c r="B90" s="10" t="inlineStr">
        <is>
          <t>`Q39_HOW_FIND_OUT_OTHER_TXT` required</t>
        </is>
      </c>
      <c r="C90" s="10" t="inlineStr">
        <is>
          <t>HARD</t>
        </is>
      </c>
    </row>
    <row r="91">
      <c r="A91" s="9" t="inlineStr">
        <is>
          <t>Q40_WHO_ASSISTED = 10 (Other)</t>
        </is>
      </c>
      <c r="B91" s="10" t="inlineStr">
        <is>
          <t>`Q40_WHO_ASSISTED_OTHER_TXT` required</t>
        </is>
      </c>
      <c r="C91" s="10" t="inlineStr">
        <is>
          <t>HARD</t>
        </is>
      </c>
    </row>
    <row r="92">
      <c r="A92" s="9" t="inlineStr">
        <is>
          <t>Q44_WHERE_ASSIST = 10 (Other)</t>
        </is>
      </c>
      <c r="B92" s="10" t="inlineStr">
        <is>
          <t>`Q44_WHERE_ASSIST_OTHER_TXT` required</t>
        </is>
      </c>
      <c r="C92" s="10" t="inlineStr">
        <is>
          <t>HARD</t>
        </is>
      </c>
    </row>
    <row r="93">
      <c r="A93" s="9" t="inlineStr">
        <is>
          <t>Q42_DIFFICULTY select-all</t>
        </is>
      </c>
      <c r="B93" s="10" t="inlineStr">
        <is>
          <t>≥ 1 option ticked when enabled</t>
        </is>
      </c>
      <c r="C93" s="10" t="inlineStr">
        <is>
          <t>HARD</t>
        </is>
      </c>
    </row>
    <row r="94">
      <c r="A94" s="9" t="inlineStr">
        <is>
          <t>Q42_DIFFICULTY "I don't know" (7)</t>
        </is>
      </c>
      <c r="B94" s="10" t="inlineStr">
        <is>
          <t>Cannot be combined with any other option</t>
        </is>
      </c>
      <c r="C94" s="10" t="inlineStr">
        <is>
          <t>HARD</t>
        </is>
      </c>
    </row>
    <row r="95">
      <c r="A95" s="9" t="inlineStr">
        <is>
          <t>Q42_DIFFICULTY = 8 (Other)</t>
        </is>
      </c>
      <c r="B95" s="10" t="inlineStr">
        <is>
          <t>`Q42_DIFFICULTY_OTHER_TXT` required</t>
        </is>
      </c>
      <c r="C95" s="10" t="inlineStr">
        <is>
          <t>HARD</t>
        </is>
      </c>
    </row>
    <row r="96">
      <c r="A96" s="9" t="inlineStr">
        <is>
          <t>Q45 enabled</t>
        </is>
      </c>
      <c r="B96" s="10" t="inlineStr">
        <is>
          <t>`Q38_PHILHEALTH_REG = Yes` (non-members skip to Q51)</t>
        </is>
      </c>
      <c r="C96" s="10" t="inlineStr">
        <is>
          <t>GATE</t>
        </is>
      </c>
    </row>
    <row r="97">
      <c r="A97" s="9" t="inlineStr">
        <is>
          <t>Q45_CATEGORY</t>
        </is>
      </c>
      <c r="B97" s="10" t="inlineStr">
        <is>
          <t>Required when enabled, ∈ {01–08, 98, 99}</t>
        </is>
      </c>
      <c r="C97" s="10" t="inlineStr">
        <is>
          <t>HARD</t>
        </is>
      </c>
    </row>
    <row r="98">
      <c r="A98" s="9" t="inlineStr">
        <is>
          <t>Q45_CATEGORY = 99 (Other)</t>
        </is>
      </c>
      <c r="B98" s="10" t="inlineStr">
        <is>
          <t>`Q45_CATEGORY_OTHER_TXT` required</t>
        </is>
      </c>
      <c r="C98" s="10" t="inlineStr">
        <is>
          <t>HARD</t>
        </is>
      </c>
    </row>
    <row r="99">
      <c r="A99" s="9" t="inlineStr">
        <is>
          <t>Q46 enabled</t>
        </is>
      </c>
      <c r="B99" s="10" t="inlineStr">
        <is>
          <t>`Q38_PHILHEALTH_REG = Yes`</t>
        </is>
      </c>
      <c r="C99" s="10" t="inlineStr">
        <is>
          <t>GATE</t>
        </is>
      </c>
    </row>
    <row r="100">
      <c r="A100" s="9" t="inlineStr">
        <is>
          <t>Q46_BENEFITS select-all</t>
        </is>
      </c>
      <c r="B100" s="10" t="inlineStr">
        <is>
          <t>≥ 1 option ticked when enabled</t>
        </is>
      </c>
      <c r="C100" s="10" t="inlineStr">
        <is>
          <t>HARD</t>
        </is>
      </c>
    </row>
    <row r="101">
      <c r="A101" s="9" t="inlineStr">
        <is>
          <t>Q46_BENEFITS "There are no benefits" (4)</t>
        </is>
      </c>
      <c r="B101" s="10" t="inlineStr">
        <is>
          <t>Cannot be combined with any other option</t>
        </is>
      </c>
      <c r="C101" s="10" t="inlineStr">
        <is>
          <t>HARD</t>
        </is>
      </c>
    </row>
    <row r="102">
      <c r="A102" s="9" t="inlineStr">
        <is>
          <t>Q46_BENEFITS "I don't know" (5)</t>
        </is>
      </c>
      <c r="B102" s="10" t="inlineStr">
        <is>
          <t>Cannot be combined with any other option</t>
        </is>
      </c>
      <c r="C102" s="10" t="inlineStr">
        <is>
          <t>HARD</t>
        </is>
      </c>
    </row>
    <row r="103">
      <c r="A103" s="9" t="inlineStr">
        <is>
          <t>Q46_BENEFITS = 6 (Other)</t>
        </is>
      </c>
      <c r="B103" s="10" t="inlineStr">
        <is>
          <t>`Q46_BENEFITS_OTHER_TXT` required</t>
        </is>
      </c>
      <c r="C103" s="10" t="inlineStr">
        <is>
          <t>HARD</t>
        </is>
      </c>
    </row>
    <row r="104">
      <c r="A104" s="9" t="inlineStr">
        <is>
          <t>Q45 = 06 (Senior citizen)</t>
        </is>
      </c>
      <c r="B104" s="10" t="inlineStr">
        <is>
          <t>Check patient `Q6_AGE ≥ 60`</t>
        </is>
      </c>
      <c r="C104" s="10" t="inlineStr">
        <is>
          <t>SOFT (warn if mismatched)</t>
        </is>
      </c>
    </row>
    <row r="105">
      <c r="A105" s="9" t="inlineStr">
        <is>
          <t>Q47 roster — Q47_PHYSICIAN_CHECKUP / Q47_DIAGNOSTIC_TESTS / Q47_HOSPITAL_CONF / Q47_OUTPATIENT_DRUGS</t>
        </is>
      </c>
      <c r="B105" s="10" t="inlineStr">
        <is>
          <t>Each item required, ∈ {1, 2}, when Q46 enabled</t>
        </is>
      </c>
      <c r="C105" s="10" t="inlineStr">
        <is>
          <t>HARD</t>
        </is>
      </c>
    </row>
    <row r="106">
      <c r="A106" s="9" t="inlineStr">
        <is>
          <t>Q48 enabled</t>
        </is>
      </c>
      <c r="B106" s="10" t="inlineStr">
        <is>
          <t>`Q38_PHILHEALTH_REG = Yes`</t>
        </is>
      </c>
      <c r="C106" s="10" t="inlineStr">
        <is>
          <t>GATE</t>
        </is>
      </c>
    </row>
    <row r="107">
      <c r="A107" s="9" t="inlineStr">
        <is>
          <t>Q48_PREMIUM_PAY</t>
        </is>
      </c>
      <c r="B107" s="10" t="inlineStr">
        <is>
          <t>Required when enabled, ∈ {1, 2, 3}</t>
        </is>
      </c>
      <c r="C107" s="10" t="inlineStr">
        <is>
          <t>HARD</t>
        </is>
      </c>
    </row>
    <row r="108">
      <c r="A108" s="9" t="inlineStr">
        <is>
          <t>Q49 enabled</t>
        </is>
      </c>
      <c r="B108" s="10" t="inlineStr">
        <is>
          <t>`Q48_PREMIUM_PAY ∈ {1, 2}` (actually pays)</t>
        </is>
      </c>
      <c r="C108" s="10" t="inlineStr">
        <is>
          <t>GATE</t>
        </is>
      </c>
    </row>
    <row r="109">
      <c r="A109" s="9" t="inlineStr">
        <is>
          <t>Q50 enabled</t>
        </is>
      </c>
      <c r="B109" s="10" t="inlineStr">
        <is>
          <t>`Q48_PREMIUM_PAY ∈ {1, 2}` and `Q49_PREMIUM_DIFFICULT = Yes`</t>
        </is>
      </c>
      <c r="C109" s="10" t="inlineStr">
        <is>
          <t>GATE</t>
        </is>
      </c>
    </row>
    <row r="110">
      <c r="A110" s="9" t="inlineStr">
        <is>
          <t>Q50_DIFFICULTY_PAYING select-all</t>
        </is>
      </c>
      <c r="B110" s="10" t="inlineStr">
        <is>
          <t>≥ 1 option ticked when enabled</t>
        </is>
      </c>
      <c r="C110" s="10" t="inlineStr">
        <is>
          <t>HARD</t>
        </is>
      </c>
    </row>
    <row r="111">
      <c r="A111" s="9" t="inlineStr">
        <is>
          <t>Q50_DIFFICULTY_PAYING "I don't know" (6)</t>
        </is>
      </c>
      <c r="B111" s="10" t="inlineStr">
        <is>
          <t>Cannot be combined with any other option</t>
        </is>
      </c>
      <c r="C111" s="10" t="inlineStr">
        <is>
          <t>HARD</t>
        </is>
      </c>
    </row>
    <row r="112">
      <c r="A112" s="9" t="inlineStr">
        <is>
          <t>Q50_DIFFICULTY_PAYING = 7 (Other)</t>
        </is>
      </c>
      <c r="B112" s="10" t="inlineStr">
        <is>
          <t>`Q50_DIFFICULTY_PAYING_OTHER_TXT` required</t>
        </is>
      </c>
      <c r="C112" s="10" t="inlineStr">
        <is>
          <t>HARD</t>
        </is>
      </c>
    </row>
    <row r="113">
      <c r="A113" s="9" t="inlineStr">
        <is>
          <t>Q51_OTHER_INSURANCE</t>
        </is>
      </c>
      <c r="B113" s="10" t="inlineStr">
        <is>
          <t>Required, ∈ {1, 2}</t>
        </is>
      </c>
      <c r="C113" s="10" t="inlineStr">
        <is>
          <t>HARD</t>
        </is>
      </c>
    </row>
    <row r="114">
      <c r="A114" s="9" t="inlineStr">
        <is>
          <t>Q52 enabled</t>
        </is>
      </c>
      <c r="B114" s="10" t="inlineStr">
        <is>
          <t>`Q51_OTHER_INSURANCE = Yes`</t>
        </is>
      </c>
      <c r="C114" s="10" t="inlineStr">
        <is>
          <t>GATE</t>
        </is>
      </c>
    </row>
    <row r="115">
      <c r="A115" s="9" t="inlineStr">
        <is>
          <t>Q52_PLANS select-all</t>
        </is>
      </c>
      <c r="B115" s="10" t="inlineStr">
        <is>
          <t>≥ 1 option ticked when enabled</t>
        </is>
      </c>
      <c r="C115" s="10" t="inlineStr">
        <is>
          <t>HARD</t>
        </is>
      </c>
    </row>
    <row r="116">
      <c r="A116" s="9" t="inlineStr">
        <is>
          <t>Q52_PLANS "I don't know" (6)</t>
        </is>
      </c>
      <c r="B116" s="10" t="inlineStr">
        <is>
          <t>Cannot be combined with any other option</t>
        </is>
      </c>
      <c r="C116" s="10" t="inlineStr">
        <is>
          <t>HARD</t>
        </is>
      </c>
    </row>
    <row r="117">
      <c r="A117" s="9" t="inlineStr">
        <is>
          <t>Q52_PLANS = 7 (Others)</t>
        </is>
      </c>
      <c r="B117" s="10" t="inlineStr">
        <is>
          <t>`Q52_PLANS_OTHER_TXT` required</t>
        </is>
      </c>
      <c r="C117" s="10" t="inlineStr">
        <is>
          <t>HARD</t>
        </is>
      </c>
    </row>
    <row r="118">
      <c r="A118" s="9" t="inlineStr">
        <is>
          <t>Q53_HAS_PCP</t>
        </is>
      </c>
      <c r="B118" s="10" t="inlineStr">
        <is>
          <t>Required, ∈ {1, 2}</t>
        </is>
      </c>
      <c r="C118" s="10" t="inlineStr">
        <is>
          <t>HARD</t>
        </is>
      </c>
    </row>
    <row r="119">
      <c r="A119" s="9" t="inlineStr">
        <is>
          <t>Q54–Q62 enabled</t>
        </is>
      </c>
      <c r="B119" s="10" t="inlineStr">
        <is>
          <t>`Q53_HAS_PCP = Yes`</t>
        </is>
      </c>
      <c r="C119" s="10" t="inlineStr">
        <is>
          <t>GATE</t>
        </is>
      </c>
    </row>
    <row r="120">
      <c r="A120" s="9" t="inlineStr">
        <is>
          <t>Q54_PCP_TYPE</t>
        </is>
      </c>
      <c r="B120" s="10" t="inlineStr">
        <is>
          <t>Required when enabled, ∈ {1–5}</t>
        </is>
      </c>
      <c r="C120" s="10" t="inlineStr">
        <is>
          <t>HARD</t>
        </is>
      </c>
    </row>
    <row r="121">
      <c r="A121" s="9" t="inlineStr">
        <is>
          <t>Q54_PCP_TYPE = 4 (Other)</t>
        </is>
      </c>
      <c r="B121" s="10" t="inlineStr">
        <is>
          <t>`Q54_PCP_TYPE_OTHER_TXT` required</t>
        </is>
      </c>
      <c r="C121" s="10" t="inlineStr">
        <is>
          <t>HARD</t>
        </is>
      </c>
    </row>
    <row r="122">
      <c r="A122" s="9" t="inlineStr">
        <is>
          <t>Q55_LOC_CONVENIENT / Q56_HOURS_CONVENIENT / Q57_WAIT_CONVENIENT</t>
        </is>
      </c>
      <c r="B122" s="10" t="inlineStr">
        <is>
          <t>Required when enabled, ∈ {1, 2}</t>
        </is>
      </c>
      <c r="C122" s="10" t="inlineStr">
        <is>
          <t>HARD</t>
        </is>
      </c>
    </row>
    <row r="123">
      <c r="A123" s="9" t="inlineStr">
        <is>
          <t>Q58_WAIT_DAYS</t>
        </is>
      </c>
      <c r="B123" s="10" t="inlineStr">
        <is>
          <t>`0 ≤ days ≤ 365`</t>
        </is>
      </c>
      <c r="C123" s="10" t="inlineStr">
        <is>
          <t>HARD</t>
        </is>
      </c>
    </row>
    <row r="124">
      <c r="A124" s="9" t="inlineStr">
        <is>
          <t>Q58_WAIT_MINUTES</t>
        </is>
      </c>
      <c r="B124" s="10" t="inlineStr">
        <is>
          <t>`0 ≤ minutes ≤ 1440` (24 h cap)</t>
        </is>
      </c>
      <c r="C124" s="10" t="inlineStr">
        <is>
          <t>HARD</t>
        </is>
      </c>
    </row>
    <row r="125">
      <c r="A125" s="9" t="inlineStr">
        <is>
          <t>Q58 pair sanity</t>
        </is>
      </c>
      <c r="B125" s="10" t="inlineStr">
        <is>
          <t>`Q58_WAIT_DAYS + Q58_WAIT_MINUTES &gt; 0` (at least one non-zero when enabled)</t>
        </is>
      </c>
      <c r="C125" s="10" t="inlineStr">
        <is>
          <t>SOFT</t>
        </is>
      </c>
    </row>
    <row r="126">
      <c r="A126" s="9" t="inlineStr">
        <is>
          <t>Q59_SCHED_COMM select-all</t>
        </is>
      </c>
      <c r="B126" s="10" t="inlineStr">
        <is>
          <t>≥ 1 option ticked when enabled</t>
        </is>
      </c>
      <c r="C126" s="10" t="inlineStr">
        <is>
          <t>HARD</t>
        </is>
      </c>
    </row>
    <row r="127">
      <c r="A127" s="9" t="inlineStr">
        <is>
          <t>Q60 enabled</t>
        </is>
      </c>
      <c r="B127" s="10" t="inlineStr">
        <is>
          <t>`Q59_SCHED_COMM` includes "Teleconsultation" (2)</t>
        </is>
      </c>
      <c r="C127" s="10" t="inlineStr">
        <is>
          <t>GATE</t>
        </is>
      </c>
    </row>
    <row r="128">
      <c r="A128" s="9" t="inlineStr">
        <is>
          <t>Q60_SCHED_TELECON_OK</t>
        </is>
      </c>
      <c r="B128" s="10" t="inlineStr">
        <is>
          <t>Required when enabled, ∈ {1, 2}</t>
        </is>
      </c>
      <c r="C128" s="10" t="inlineStr">
        <is>
          <t>HARD</t>
        </is>
      </c>
    </row>
    <row r="129">
      <c r="A129" s="9" t="inlineStr">
        <is>
          <t>Q61_CONSULT_COMM select-all</t>
        </is>
      </c>
      <c r="B129" s="10" t="inlineStr">
        <is>
          <t>≥ 1 option ticked when enabled</t>
        </is>
      </c>
      <c r="C129" s="10" t="inlineStr">
        <is>
          <t>HARD</t>
        </is>
      </c>
    </row>
    <row r="130">
      <c r="A130" s="9" t="inlineStr">
        <is>
          <t>Q62 enabled</t>
        </is>
      </c>
      <c r="B130" s="10" t="inlineStr">
        <is>
          <t>`Q61_CONSULT_COMM` includes "Teleconsultation" (2)</t>
        </is>
      </c>
      <c r="C130" s="10" t="inlineStr">
        <is>
          <t>GATE</t>
        </is>
      </c>
    </row>
    <row r="131">
      <c r="A131" s="9" t="inlineStr">
        <is>
          <t>Q62_CONSULT_TELECON_OK</t>
        </is>
      </c>
      <c r="B131" s="10" t="inlineStr">
        <is>
          <t>Required when enabled, ∈ {1, 2}</t>
        </is>
      </c>
      <c r="C131" s="10" t="inlineStr">
        <is>
          <t>HARD</t>
        </is>
      </c>
    </row>
    <row r="132">
      <c r="A132" s="9" t="inlineStr">
        <is>
          <t>Q63_HAS_USUAL_FACILITY</t>
        </is>
      </c>
      <c r="B132" s="10" t="inlineStr">
        <is>
          <t>Required, ∈ {1, 2}</t>
        </is>
      </c>
      <c r="C132" s="10" t="inlineStr">
        <is>
          <t>HARD</t>
        </is>
      </c>
    </row>
    <row r="133">
      <c r="A133" s="9" t="inlineStr">
        <is>
          <t>Q64 enabled</t>
        </is>
      </c>
      <c r="B133" s="10" t="inlineStr">
        <is>
          <t>`Q63_HAS_USUAL_FACILITY = Yes`</t>
        </is>
      </c>
      <c r="C133" s="10" t="inlineStr">
        <is>
          <t>GATE</t>
        </is>
      </c>
    </row>
    <row r="134">
      <c r="A134" s="9" t="inlineStr">
        <is>
          <t>Q64_FACILITY_NAME</t>
        </is>
      </c>
      <c r="B134" s="10" t="inlineStr">
        <is>
          <t>Required when enabled, non-blank</t>
        </is>
      </c>
      <c r="C134" s="10" t="inlineStr">
        <is>
          <t>HARD</t>
        </is>
      </c>
    </row>
    <row r="135">
      <c r="A135" s="9" t="inlineStr">
        <is>
          <t>Q65 enabled</t>
        </is>
      </c>
      <c r="B135" s="10" t="inlineStr">
        <is>
          <t>`Q63_HAS_USUAL_FACILITY = No`</t>
        </is>
      </c>
      <c r="C135" s="10" t="inlineStr">
        <is>
          <t>GATE</t>
        </is>
      </c>
    </row>
    <row r="136">
      <c r="A136" s="9" t="inlineStr">
        <is>
          <t>Q65_WHY_NO_USUAL select-all</t>
        </is>
      </c>
      <c r="B136" s="10" t="inlineStr">
        <is>
          <t>≥ 1 option ticked when enabled</t>
        </is>
      </c>
      <c r="C136" s="10" t="inlineStr">
        <is>
          <t>HARD</t>
        </is>
      </c>
    </row>
    <row r="137">
      <c r="A137" s="9" t="inlineStr">
        <is>
          <t>Q65_WHY_NO_USUAL "I don't know" (6)</t>
        </is>
      </c>
      <c r="B137" s="10" t="inlineStr">
        <is>
          <t>Cannot be combined with any other option</t>
        </is>
      </c>
      <c r="C137" s="10" t="inlineStr">
        <is>
          <t>HARD</t>
        </is>
      </c>
    </row>
    <row r="138">
      <c r="A138" s="9" t="inlineStr">
        <is>
          <t>Q65_WHY_NO_USUAL = 7 (Other)</t>
        </is>
      </c>
      <c r="B138" s="10" t="inlineStr">
        <is>
          <t>`Q65_WHY_NO_USUAL_OTHER_TXT` required</t>
        </is>
      </c>
      <c r="C138" s="10" t="inlineStr">
        <is>
          <t>HARD</t>
        </is>
      </c>
    </row>
    <row r="139">
      <c r="A139" s="9" t="inlineStr">
        <is>
          <t>Q66 enabled</t>
        </is>
      </c>
      <c r="B139" s="10" t="inlineStr">
        <is>
          <t>`Q63_HAS_USUAL_FACILITY = Yes`</t>
        </is>
      </c>
      <c r="C139" s="10" t="inlineStr">
        <is>
          <t>GATE</t>
        </is>
      </c>
    </row>
    <row r="140">
      <c r="A140" s="9" t="inlineStr">
        <is>
          <t>Q66_SAME_AS_USUAL</t>
        </is>
      </c>
      <c r="B140" s="10" t="inlineStr">
        <is>
          <t>Required when enabled, ∈ {1, 2}</t>
        </is>
      </c>
      <c r="C140" s="10" t="inlineStr">
        <is>
          <t>HARD</t>
        </is>
      </c>
    </row>
    <row r="141">
      <c r="A141" s="9" t="inlineStr">
        <is>
          <t>Q67 enabled</t>
        </is>
      </c>
      <c r="B141" s="10" t="inlineStr">
        <is>
          <t>`Q63_HAS_USUAL_FACILITY = Yes` and `Q66_SAME_AS_USUAL = No`</t>
        </is>
      </c>
      <c r="C141" s="10" t="inlineStr">
        <is>
          <t>GATE</t>
        </is>
      </c>
    </row>
    <row r="142">
      <c r="A142" s="9" t="inlineStr">
        <is>
          <t>Q67_WHY_THIS_FACILITY select-all</t>
        </is>
      </c>
      <c r="B142" s="10" t="inlineStr">
        <is>
          <t>≥ 1 option ticked when enabled</t>
        </is>
      </c>
      <c r="C142" s="10" t="inlineStr">
        <is>
          <t>HARD</t>
        </is>
      </c>
    </row>
    <row r="143">
      <c r="A143" s="9" t="inlineStr">
        <is>
          <t>Q67_WHY_THIS_FACILITY = 8 (Other)</t>
        </is>
      </c>
      <c r="B143" s="10" t="inlineStr">
        <is>
          <t>`Q67_WHY_THIS_OTHER_TXT` required</t>
        </is>
      </c>
      <c r="C143" s="10" t="inlineStr">
        <is>
          <t>HARD</t>
        </is>
      </c>
    </row>
    <row r="144">
      <c r="A144" s="9" t="inlineStr">
        <is>
          <t>Q68 enabled</t>
        </is>
      </c>
      <c r="B144" s="10" t="inlineStr">
        <is>
          <t>`Q63_HAS_USUAL_FACILITY = Yes`</t>
        </is>
      </c>
      <c r="C144" s="10" t="inlineStr">
        <is>
          <t>GATE</t>
        </is>
      </c>
    </row>
    <row r="145">
      <c r="A145" s="9" t="inlineStr">
        <is>
          <t>Q68_USUAL_FAC_TYPE</t>
        </is>
      </c>
      <c r="B145" s="10" t="inlineStr">
        <is>
          <t>Required when enabled, ∈ {1–9}</t>
        </is>
      </c>
      <c r="C145" s="10" t="inlineStr">
        <is>
          <t>HARD</t>
        </is>
      </c>
    </row>
    <row r="146">
      <c r="A146" s="9" t="inlineStr">
        <is>
          <t>Q68_USUAL_FAC_TYPE = 9 (Other)</t>
        </is>
      </c>
      <c r="B146" s="10" t="inlineStr">
        <is>
          <t>`Q68_USUAL_FAC_TYPE_OTHER_TXT` required</t>
        </is>
      </c>
      <c r="C146" s="10" t="inlineStr">
        <is>
          <t>HARD</t>
        </is>
      </c>
    </row>
    <row r="147">
      <c r="A147" s="9" t="inlineStr">
        <is>
          <t>Q69/Q70 enabled</t>
        </is>
      </c>
      <c r="B147" s="10" t="inlineStr">
        <is>
          <t>`Q63_HAS_USUAL_FACILITY = Yes`</t>
        </is>
      </c>
      <c r="C147" s="10" t="inlineStr">
        <is>
          <t>GATE</t>
        </is>
      </c>
    </row>
    <row r="148">
      <c r="A148" s="9" t="inlineStr">
        <is>
          <t>Q69_USUAL_TRAVEL_HH</t>
        </is>
      </c>
      <c r="B148" s="10" t="inlineStr">
        <is>
          <t>`0 ≤ HH ≤ 24`</t>
        </is>
      </c>
      <c r="C148" s="10" t="inlineStr">
        <is>
          <t>HARD</t>
        </is>
      </c>
    </row>
    <row r="149">
      <c r="A149" s="9" t="inlineStr">
        <is>
          <t>Q69_USUAL_TRAVEL_MM</t>
        </is>
      </c>
      <c r="B149" s="10" t="inlineStr">
        <is>
          <t>`0 ≤ MM ≤ 59`</t>
        </is>
      </c>
      <c r="C149" s="10" t="inlineStr">
        <is>
          <t>HARD</t>
        </is>
      </c>
    </row>
    <row r="150">
      <c r="A150" s="9" t="inlineStr">
        <is>
          <t>Q69 pair sanity</t>
        </is>
      </c>
      <c r="B150" s="10" t="inlineStr">
        <is>
          <t>`Q69_USUAL_TRAVEL_HH + Q69_USUAL_TRAVEL_MM &gt; 0` (warn if both zero)</t>
        </is>
      </c>
      <c r="C150" s="10" t="inlineStr">
        <is>
          <t>SOFT</t>
        </is>
      </c>
    </row>
    <row r="151">
      <c r="A151" s="9" t="inlineStr">
        <is>
          <t>Q70_USUAL_TRANSPORT select-all</t>
        </is>
      </c>
      <c r="B151" s="10" t="inlineStr">
        <is>
          <t>≥ 1 option ticked when enabled</t>
        </is>
      </c>
      <c r="C151" s="10" t="inlineStr">
        <is>
          <t>HARD</t>
        </is>
      </c>
    </row>
    <row r="152">
      <c r="A152" s="9" t="inlineStr">
        <is>
          <t>Q70_USUAL_TRANSPORT = 12 (Other)</t>
        </is>
      </c>
      <c r="B152" s="10" t="inlineStr">
        <is>
          <t>`Q70_USUAL_TRANSPORT_OTHER_TXT` required</t>
        </is>
      </c>
      <c r="C152" s="10" t="inlineStr">
        <is>
          <t>HARD</t>
        </is>
      </c>
    </row>
    <row r="153">
      <c r="A153" s="9" t="inlineStr">
        <is>
          <t>Q71_NEAREST_TYPE</t>
        </is>
      </c>
      <c r="B153" s="10" t="inlineStr">
        <is>
          <t>Required, ∈ {1–8}</t>
        </is>
      </c>
      <c r="C153" s="10" t="inlineStr">
        <is>
          <t>HARD</t>
        </is>
      </c>
    </row>
    <row r="154">
      <c r="A154" s="9" t="inlineStr">
        <is>
          <t>Q71_NEAREST_TYPE = 7 (I don't know)</t>
        </is>
      </c>
      <c r="B154" s="10" t="inlineStr">
        <is>
          <t>`Q72`, `Q73` may be skipped (IDK → no travel estimate); warn if answered anyway</t>
        </is>
      </c>
      <c r="C154" s="10" t="inlineStr">
        <is>
          <t>SOFT</t>
        </is>
      </c>
    </row>
    <row r="155">
      <c r="A155" s="9" t="inlineStr">
        <is>
          <t>Q71_NEAREST_TYPE = 8 (Other)</t>
        </is>
      </c>
      <c r="B155" s="10" t="inlineStr">
        <is>
          <t>`Q71_NEAREST_TYPE_OTHER_TXT` required</t>
        </is>
      </c>
      <c r="C155" s="10" t="inlineStr">
        <is>
          <t>HARD</t>
        </is>
      </c>
    </row>
    <row r="156">
      <c r="A156" s="9" t="inlineStr">
        <is>
          <t>Q72_NEAREST_TRAVEL_HH</t>
        </is>
      </c>
      <c r="B156" s="10" t="inlineStr">
        <is>
          <t>`0 ≤ HH ≤ 24`</t>
        </is>
      </c>
      <c r="C156" s="10" t="inlineStr">
        <is>
          <t>HARD</t>
        </is>
      </c>
    </row>
    <row r="157">
      <c r="A157" s="9" t="inlineStr">
        <is>
          <t>Q72_NEAREST_TRAVEL_MM</t>
        </is>
      </c>
      <c r="B157" s="10" t="inlineStr">
        <is>
          <t>`0 ≤ MM ≤ 59`</t>
        </is>
      </c>
      <c r="C157" s="10" t="inlineStr">
        <is>
          <t>HARD</t>
        </is>
      </c>
    </row>
    <row r="158">
      <c r="A158" s="9" t="inlineStr">
        <is>
          <t>Q73_NEAREST_TRANSPORT select-all</t>
        </is>
      </c>
      <c r="B158" s="10" t="inlineStr">
        <is>
          <t>≥ 1 option ticked when enabled</t>
        </is>
      </c>
      <c r="C158" s="10" t="inlineStr">
        <is>
          <t>HARD</t>
        </is>
      </c>
    </row>
    <row r="159">
      <c r="A159" s="9" t="inlineStr">
        <is>
          <t>Q73_NEAREST_TRANSPORT = 12 (Other)</t>
        </is>
      </c>
      <c r="B159" s="10" t="inlineStr">
        <is>
          <t>`Q73_NEAREST_TRANSPORT_OTHER_TXT` required</t>
        </is>
      </c>
      <c r="C159" s="10" t="inlineStr">
        <is>
          <t>HARD</t>
        </is>
      </c>
    </row>
    <row r="160">
      <c r="A160" s="9" t="inlineStr">
        <is>
          <t>Q74_KON_HEARD</t>
        </is>
      </c>
      <c r="B160" s="10" t="inlineStr">
        <is>
          <t>Required, ∈ {1, 2}</t>
        </is>
      </c>
      <c r="C160" s="10" t="inlineStr">
        <is>
          <t>HARD</t>
        </is>
      </c>
    </row>
    <row r="161">
      <c r="A161" s="9" t="inlineStr">
        <is>
          <t>Q75–Q82 enabled</t>
        </is>
      </c>
      <c r="B161" s="10" t="inlineStr">
        <is>
          <t>`Q74_KON_HEARD = Yes`</t>
        </is>
      </c>
      <c r="C161" s="10" t="inlineStr">
        <is>
          <t>GATE</t>
        </is>
      </c>
    </row>
    <row r="162">
      <c r="A162" s="9" t="inlineStr">
        <is>
          <t>Q75_KON_SOURCE select-all</t>
        </is>
      </c>
      <c r="B162" s="10" t="inlineStr">
        <is>
          <t>≥ 1 option ticked when enabled</t>
        </is>
      </c>
      <c r="C162" s="10" t="inlineStr">
        <is>
          <t>HARD</t>
        </is>
      </c>
    </row>
    <row r="163">
      <c r="A163" s="9" t="inlineStr">
        <is>
          <t>Q75_KON_SOURCE "I don't know" (7)</t>
        </is>
      </c>
      <c r="B163" s="10" t="inlineStr">
        <is>
          <t>Cannot be combined with any other option</t>
        </is>
      </c>
      <c r="C163" s="10" t="inlineStr">
        <is>
          <t>HARD</t>
        </is>
      </c>
    </row>
    <row r="164">
      <c r="A164" s="9" t="inlineStr">
        <is>
          <t>Q75_KON_SOURCE = 8 (Other)</t>
        </is>
      </c>
      <c r="B164" s="10" t="inlineStr">
        <is>
          <t>`Q75_KON_SOURCE_OTHER_TXT` required</t>
        </is>
      </c>
      <c r="C164" s="10" t="inlineStr">
        <is>
          <t>HARD</t>
        </is>
      </c>
    </row>
    <row r="165">
      <c r="A165" s="9" t="inlineStr">
        <is>
          <t>Q76_KON_UNDERSTAND select-all</t>
        </is>
      </c>
      <c r="B165" s="10" t="inlineStr">
        <is>
          <t>≥ 1 option ticked when enabled</t>
        </is>
      </c>
      <c r="C165" s="10" t="inlineStr">
        <is>
          <t>HARD</t>
        </is>
      </c>
    </row>
    <row r="166">
      <c r="A166" s="9" t="inlineStr">
        <is>
          <t>Q76_KON_UNDERSTAND "There are no benefits" (5)</t>
        </is>
      </c>
      <c r="B166" s="10" t="inlineStr">
        <is>
          <t>Cannot be combined with any other option</t>
        </is>
      </c>
      <c r="C166" s="10" t="inlineStr">
        <is>
          <t>HARD</t>
        </is>
      </c>
    </row>
    <row r="167">
      <c r="A167" s="9" t="inlineStr">
        <is>
          <t>Q76_KON_UNDERSTAND "I don't know" (6)</t>
        </is>
      </c>
      <c r="B167" s="10" t="inlineStr">
        <is>
          <t>Cannot be combined with any other option</t>
        </is>
      </c>
      <c r="C167" s="10" t="inlineStr">
        <is>
          <t>HARD</t>
        </is>
      </c>
    </row>
    <row r="168">
      <c r="A168" s="9" t="inlineStr">
        <is>
          <t>Q76_KON_UNDERSTAND = 7 (Other)</t>
        </is>
      </c>
      <c r="B168" s="10" t="inlineStr">
        <is>
          <t>`Q76_KON_UNDERSTAND_OTHER_TXT` required</t>
        </is>
      </c>
      <c r="C168" s="10" t="inlineStr">
        <is>
          <t>HARD</t>
        </is>
      </c>
    </row>
    <row r="169">
      <c r="A169" s="9" t="inlineStr">
        <is>
          <t>Q77_KON_REGISTERED</t>
        </is>
      </c>
      <c r="B169" s="10" t="inlineStr">
        <is>
          <t>Required when enabled, ∈ {1, 2, 3, 4}</t>
        </is>
      </c>
      <c r="C169" s="10" t="inlineStr">
        <is>
          <t>HARD</t>
        </is>
      </c>
    </row>
    <row r="170">
      <c r="A170" s="9" t="inlineStr">
        <is>
          <t>Q78 enabled</t>
        </is>
      </c>
      <c r="B170" s="10" t="inlineStr">
        <is>
          <t>`Q77_KON_REGISTERED = Yes` (1)</t>
        </is>
      </c>
      <c r="C170" s="10" t="inlineStr">
        <is>
          <t>GATE</t>
        </is>
      </c>
    </row>
    <row r="171">
      <c r="A171" s="9" t="inlineStr">
        <is>
          <t>Q79 enabled</t>
        </is>
      </c>
      <c r="B171" s="10" t="inlineStr">
        <is>
          <t>`Q77_KON_REGISTERED = Yes` (1)</t>
        </is>
      </c>
      <c r="C171" s="10" t="inlineStr">
        <is>
          <t>GATE</t>
        </is>
      </c>
    </row>
    <row r="172">
      <c r="A172" s="9" t="inlineStr">
        <is>
          <t>Q80 enabled</t>
        </is>
      </c>
      <c r="B172" s="10" t="inlineStr">
        <is>
          <t>`Q77_KON_REGISTERED = Yes` (1)</t>
        </is>
      </c>
      <c r="C172" s="10" t="inlineStr">
        <is>
          <t>GATE</t>
        </is>
      </c>
    </row>
    <row r="173">
      <c r="A173" s="9" t="inlineStr">
        <is>
          <t>Q81 enabled</t>
        </is>
      </c>
      <c r="B173" s="10" t="inlineStr">
        <is>
          <t>`Q77_KON_REGISTERED = Yes` (1) and `Q79_KON_HAD_APPT = Yes`</t>
        </is>
      </c>
      <c r="C173" s="10" t="inlineStr">
        <is>
          <t>GATE</t>
        </is>
      </c>
    </row>
    <row r="174">
      <c r="A174" s="9" t="inlineStr">
        <is>
          <t>Q78_KON_WHEN_REG</t>
        </is>
      </c>
      <c r="B174" s="10" t="inlineStr">
        <is>
          <t>Required when enabled, ∈ {1–4}</t>
        </is>
      </c>
      <c r="C174" s="10" t="inlineStr">
        <is>
          <t>HARD</t>
        </is>
      </c>
    </row>
    <row r="175">
      <c r="A175" s="9" t="inlineStr">
        <is>
          <t>Q78_KON_WHEN_REG vs. age</t>
        </is>
      </c>
      <c r="B175" s="10" t="inlineStr">
        <is>
          <t>Warn if `Q78 ∈ {3, 4}` and Q6 age suggests YAKAP/Konsulta did not yet exist at that time (configurable by ASPSI)</t>
        </is>
      </c>
      <c r="C175" s="10" t="inlineStr">
        <is>
          <t>SOFT</t>
        </is>
      </c>
    </row>
    <row r="176">
      <c r="A176" s="9" t="inlineStr">
        <is>
          <t>Q82 enabled</t>
        </is>
      </c>
      <c r="B176" s="10" t="inlineStr">
        <is>
          <t>`Q77_KON_REGISTERED = No` (2)</t>
        </is>
      </c>
      <c r="C176" s="10" t="inlineStr">
        <is>
          <t>GATE</t>
        </is>
      </c>
    </row>
    <row r="177">
      <c r="A177" s="9" t="inlineStr">
        <is>
          <t>Q82_KON_WHY_NOT_REG select-all</t>
        </is>
      </c>
      <c r="B177" s="10" t="inlineStr">
        <is>
          <t>≥ 1 option ticked when enabled</t>
        </is>
      </c>
      <c r="C177" s="10" t="inlineStr">
        <is>
          <t>HARD</t>
        </is>
      </c>
    </row>
    <row r="178">
      <c r="A178" s="9" t="inlineStr">
        <is>
          <t>Q82_KON_WHY_NOT_REG "I don't know" (10)</t>
        </is>
      </c>
      <c r="B178" s="10" t="inlineStr">
        <is>
          <t>Cannot be combined with any other option</t>
        </is>
      </c>
      <c r="C178" s="10" t="inlineStr">
        <is>
          <t>HARD</t>
        </is>
      </c>
    </row>
    <row r="179">
      <c r="A179" s="9" t="inlineStr">
        <is>
          <t>Q82_KON_WHY_NOT_REG = 11 (Other)</t>
        </is>
      </c>
      <c r="B179" s="10" t="inlineStr">
        <is>
          <t>`Q82_KON_WHY_NOT_REG_OTHER_TXT` required</t>
        </is>
      </c>
      <c r="C179" s="10" t="inlineStr">
        <is>
          <t>HARD</t>
        </is>
      </c>
    </row>
    <row r="180">
      <c r="A180" s="9" t="inlineStr">
        <is>
          <t>Q83_VISIT_REASON</t>
        </is>
      </c>
      <c r="B180" s="10" t="inlineStr">
        <is>
          <t>Required, ∈ {1–8}</t>
        </is>
      </c>
      <c r="C180" s="10" t="inlineStr">
        <is>
          <t>HARD</t>
        </is>
      </c>
    </row>
    <row r="181">
      <c r="A181" s="9" t="inlineStr">
        <is>
          <t>Q83_VISIT_REASON = 8 (Other)</t>
        </is>
      </c>
      <c r="B181" s="10" t="inlineStr">
        <is>
          <t>`Q83_VISIT_REASON_OTHER_TXT` required</t>
        </is>
      </c>
      <c r="C181" s="10" t="inlineStr">
        <is>
          <t>HARD</t>
        </is>
      </c>
    </row>
    <row r="182">
      <c r="A182" s="9" t="inlineStr">
        <is>
          <t>Q84_SERVICE_TYPE</t>
        </is>
      </c>
      <c r="B182" s="10" t="inlineStr">
        <is>
          <t>Required, ∈ {1–5}</t>
        </is>
      </c>
      <c r="C182" s="10" t="inlineStr">
        <is>
          <t>HARD</t>
        </is>
      </c>
    </row>
    <row r="183">
      <c r="A183" s="9" t="inlineStr">
        <is>
          <t>Q84_SERVICE_TYPE = 5 (Other)</t>
        </is>
      </c>
      <c r="B183" s="10" t="inlineStr">
        <is>
          <t>`Q84_SERVICE_TYPE_OTHER_TXT` required</t>
        </is>
      </c>
      <c r="C183" s="10" t="inlineStr">
        <is>
          <t>HARD</t>
        </is>
      </c>
    </row>
    <row r="184">
      <c r="A184" s="9" t="inlineStr">
        <is>
          <t>Q84 vs. FIELD_CONTROL.PATIENT_TYPE</t>
        </is>
      </c>
      <c r="B184" s="10" t="inlineStr">
        <is>
          <t>`PATIENT_TYPE` is authoritative for Section G vs H routing. If `Q84 = 1 (Outpatient)` but `PATIENT_TYPE = Inpatient` (or vice versa), warn enumerator to verify</t>
        </is>
      </c>
      <c r="C184" s="10" t="inlineStr">
        <is>
          <t>SOFT</t>
        </is>
      </c>
    </row>
    <row r="185">
      <c r="A185" s="9" t="inlineStr">
        <is>
          <t>Q85_CONDITIONS select-all</t>
        </is>
      </c>
      <c r="B185" s="10" t="inlineStr">
        <is>
          <t>≥ 1 option ticked</t>
        </is>
      </c>
      <c r="C185" s="10" t="inlineStr">
        <is>
          <t>HARD</t>
        </is>
      </c>
    </row>
    <row r="186">
      <c r="A186" s="9" t="inlineStr">
        <is>
          <t>Q85_CONDITIONS "No condition - Regular check-up only" (19)</t>
        </is>
      </c>
      <c r="B186" s="10" t="inlineStr">
        <is>
          <t>Cannot be combined with any other option</t>
        </is>
      </c>
      <c r="C186" s="10" t="inlineStr">
        <is>
          <t>HARD</t>
        </is>
      </c>
    </row>
    <row r="187">
      <c r="A187" s="9" t="inlineStr">
        <is>
          <t>Q85_CONDITIONS = 20 (Other)</t>
        </is>
      </c>
      <c r="B187" s="10" t="inlineStr">
        <is>
          <t>`Q85_CONDITIONS_OTHER_TXT` required</t>
        </is>
      </c>
      <c r="C187" s="10" t="inlineStr">
        <is>
          <t>HARD</t>
        </is>
      </c>
    </row>
    <row r="188">
      <c r="A188" s="9" t="inlineStr">
        <is>
          <t>Q85 vs. Q83</t>
        </is>
      </c>
      <c r="B188" s="10" t="inlineStr">
        <is>
          <t>If `Q83 = 4` (general check-up) → expect `Q85 = 19` (No condition); if conflicting, warn</t>
        </is>
      </c>
      <c r="C188" s="10" t="inlineStr">
        <is>
          <t>SOFT</t>
        </is>
      </c>
    </row>
    <row r="189">
      <c r="A189" s="9" t="inlineStr">
        <is>
          <t>Q86_VISIT_EVENTS select-all</t>
        </is>
      </c>
      <c r="B189" s="10" t="inlineStr">
        <is>
          <t>≥ 1 option ticked (a visit must have SOMETHING happen)</t>
        </is>
      </c>
      <c r="C189" s="10" t="inlineStr">
        <is>
          <t>HARD</t>
        </is>
      </c>
    </row>
    <row r="190">
      <c r="A190" s="9" t="inlineStr">
        <is>
          <t>Q87_OTHER_ACTIONS select-all</t>
        </is>
      </c>
      <c r="B190" s="10" t="inlineStr">
        <is>
          <t>≥ 1 option ticked</t>
        </is>
      </c>
      <c r="C190" s="10" t="inlineStr">
        <is>
          <t>HARD</t>
        </is>
      </c>
    </row>
    <row r="191">
      <c r="A191" s="9" t="inlineStr">
        <is>
          <t>Q87_OTHER_ACTIONS "Did not seek other forms of care" (6)</t>
        </is>
      </c>
      <c r="B191" s="10" t="inlineStr">
        <is>
          <t>Cannot be combined with any other option</t>
        </is>
      </c>
      <c r="C191" s="10" t="inlineStr">
        <is>
          <t>HARD</t>
        </is>
      </c>
    </row>
    <row r="192">
      <c r="A192" s="9" t="inlineStr">
        <is>
          <t>Q87_OTHER_ACTIONS = 7 (Other)</t>
        </is>
      </c>
      <c r="B192" s="10" t="inlineStr">
        <is>
          <t>`Q87_OTHER_ACTIONS_OTHER_TXT` required</t>
        </is>
      </c>
      <c r="C192" s="10" t="inlineStr">
        <is>
          <t>HARD</t>
        </is>
      </c>
    </row>
    <row r="193">
      <c r="A193" s="9" t="inlineStr">
        <is>
          <t>Section G enabled</t>
        </is>
      </c>
      <c r="B193" s="10" t="inlineStr">
        <is>
          <t>`FIELD_CONTROL.PATIENT_TYPE = Outpatient`</t>
        </is>
      </c>
      <c r="C193" s="10" t="inlineStr">
        <is>
          <t>GATE</t>
        </is>
      </c>
    </row>
    <row r="194">
      <c r="A194" s="9" t="inlineStr">
        <is>
          <t>Q88_WHY_VISIT</t>
        </is>
      </c>
      <c r="B194" s="10" t="inlineStr">
        <is>
          <t>Required, ∈ {1–8}</t>
        </is>
      </c>
      <c r="C194" s="10" t="inlineStr">
        <is>
          <t>HARD</t>
        </is>
      </c>
    </row>
    <row r="195">
      <c r="A195" s="9" t="inlineStr">
        <is>
          <t>Q88_WHY_VISIT = 8 (Other)</t>
        </is>
      </c>
      <c r="B195" s="10" t="inlineStr">
        <is>
          <t>`Q88_WHY_VISIT_OTHER_TXT` required</t>
        </is>
      </c>
      <c r="C195" s="10" t="inlineStr">
        <is>
          <t>HARD</t>
        </is>
      </c>
    </row>
    <row r="196">
      <c r="A196" s="9" t="inlineStr">
        <is>
          <t>Q89_ADVISED_ADMIT</t>
        </is>
      </c>
      <c r="B196" s="10" t="inlineStr">
        <is>
          <t>Required, ∈ {1, 2}</t>
        </is>
      </c>
      <c r="C196" s="10" t="inlineStr">
        <is>
          <t>HARD</t>
        </is>
      </c>
    </row>
    <row r="197">
      <c r="A197" s="9" t="inlineStr">
        <is>
          <t>Q89_ADVISED_ADMIT = Yes + in facility for outpatient</t>
        </is>
      </c>
      <c r="B197" s="10" t="inlineStr">
        <is>
          <t>Warn enumerator: "Patient was advised to be admitted but is receiving outpatient care — verify"</t>
        </is>
      </c>
      <c r="C197" s="10" t="inlineStr">
        <is>
          <t>SOFT</t>
        </is>
      </c>
    </row>
    <row r="198">
      <c r="A198" s="9" t="inlineStr">
        <is>
          <t>Q90_NOT_CONFINED select-all</t>
        </is>
      </c>
      <c r="B198" s="10" t="inlineStr">
        <is>
          <t>When Q89 = No: ≥ 1 option ticked</t>
        </is>
      </c>
      <c r="C198" s="10" t="inlineStr">
        <is>
          <t>HARD</t>
        </is>
      </c>
    </row>
    <row r="199">
      <c r="A199" s="9" t="inlineStr">
        <is>
          <t>Q90_NOT_CONFINED = 7 (Other)</t>
        </is>
      </c>
      <c r="B199" s="10" t="inlineStr">
        <is>
          <t>`Q90_NOT_CONFINED_OTHER_TXT` required</t>
        </is>
      </c>
      <c r="C199" s="10" t="inlineStr">
        <is>
          <t>HARD</t>
        </is>
      </c>
    </row>
    <row r="200">
      <c r="A200" s="9" t="inlineStr">
        <is>
          <t>Q91_USUAL_OUTPATIENT</t>
        </is>
      </c>
      <c r="B200" s="10" t="inlineStr">
        <is>
          <t>Required, ∈ {1, 2}</t>
        </is>
      </c>
      <c r="C200" s="10" t="inlineStr">
        <is>
          <t>HARD</t>
        </is>
      </c>
    </row>
    <row r="201">
      <c r="A201" s="9" t="inlineStr">
        <is>
          <t>Q92 payment-source matrix</t>
        </is>
      </c>
      <c r="B201" s="10" t="inlineStr">
        <is>
          <t>For each `Q92_PAY_{code} = Yes`, `Q92_PAY_{code}_AMT` required `&gt; 0` (pesos); for `= No`, `_AMT` must be 0 or blank</t>
        </is>
      </c>
      <c r="C201" s="10" t="inlineStr">
        <is>
          <t>HARD</t>
        </is>
      </c>
    </row>
    <row r="202">
      <c r="A202" s="9" t="inlineStr">
        <is>
          <t>Q92 mutual exclusivity</t>
        </is>
      </c>
      <c r="B202" s="10" t="inlineStr">
        <is>
          <t>`Q92_PAY_03` ("Free/no cost") = Yes cannot coexist with any Q92_PAY_01/02/07 (Out-of-pocket/Donation/In kind)</t>
        </is>
      </c>
      <c r="C202" s="10" t="inlineStr">
        <is>
          <t>SOFT (allow override)</t>
        </is>
      </c>
    </row>
    <row r="203">
      <c r="A203" s="9" t="inlineStr">
        <is>
          <t>Q92 total sanity</t>
        </is>
      </c>
      <c r="B203" s="10" t="inlineStr">
        <is>
          <t>Sum of Q92_*_AMT &gt; 0 if Q92_PAY_03 ≠ Yes; warn if Q92 total implausibly low/high for facility tier</t>
        </is>
      </c>
      <c r="C203" s="10" t="inlineStr">
        <is>
          <t>SOFT</t>
        </is>
      </c>
    </row>
    <row r="204">
      <c r="A204" s="9" t="inlineStr">
        <is>
          <t>Q93_LABS select-all</t>
        </is>
      </c>
      <c r="B204" s="10" t="inlineStr">
        <is>
          <t>≥ 1 option ticked</t>
        </is>
      </c>
      <c r="C204" s="10" t="inlineStr">
        <is>
          <t>HARD</t>
        </is>
      </c>
    </row>
    <row r="205">
      <c r="A205" s="9" t="inlineStr">
        <is>
          <t>Q93_LABS = 16 (Other, specify)</t>
        </is>
      </c>
      <c r="B205" s="10" t="inlineStr">
        <is>
          <t>`Q93_LABS_OTHER_TXT` required</t>
        </is>
      </c>
      <c r="C205" s="10" t="inlineStr">
        <is>
          <t>HARD</t>
        </is>
      </c>
    </row>
    <row r="206">
      <c r="A206" s="9" t="inlineStr">
        <is>
          <t>Q93_LABS = 17 (None)</t>
        </is>
      </c>
      <c r="B206" s="10" t="inlineStr">
        <is>
          <t>Cannot be combined with any other lab option; gates Q94 off</t>
        </is>
      </c>
      <c r="C206" s="10" t="inlineStr">
        <is>
          <t>HARD</t>
        </is>
      </c>
    </row>
    <row r="207">
      <c r="A207" s="9" t="inlineStr">
        <is>
          <t>Q94 payment-source matrix enabled</t>
        </is>
      </c>
      <c r="B207" s="10" t="inlineStr">
        <is>
          <t>`Q93_LABS ≠ {17}` (at least one lab ticked)</t>
        </is>
      </c>
      <c r="C207" s="10" t="inlineStr">
        <is>
          <t>GATE</t>
        </is>
      </c>
    </row>
    <row r="208">
      <c r="A208" s="9" t="inlineStr">
        <is>
          <t>Q94 amount rules</t>
        </is>
      </c>
      <c r="B208" s="10" t="inlineStr">
        <is>
          <t>Same as Q92 pattern</t>
        </is>
      </c>
      <c r="C208" s="10" t="inlineStr">
        <is>
          <t>HARD</t>
        </is>
      </c>
    </row>
    <row r="209">
      <c r="A209" s="9" t="inlineStr">
        <is>
          <t>Q95_PRESCRIBED</t>
        </is>
      </c>
      <c r="B209" s="10" t="inlineStr">
        <is>
          <t>Required, ∈ {1, 2}</t>
        </is>
      </c>
      <c r="C209" s="10" t="inlineStr">
        <is>
          <t>HARD</t>
        </is>
      </c>
    </row>
    <row r="210">
      <c r="A210" s="9" t="inlineStr">
        <is>
          <t>Q96 payment-source matrix enabled</t>
        </is>
      </c>
      <c r="B210" s="10" t="inlineStr">
        <is>
          <t>`Q95_PRESCRIBED = Yes`</t>
        </is>
      </c>
      <c r="C210" s="10" t="inlineStr">
        <is>
          <t>GATE</t>
        </is>
      </c>
    </row>
    <row r="211">
      <c r="A211" s="9" t="inlineStr">
        <is>
          <t>Q96 amount rules</t>
        </is>
      </c>
      <c r="B211" s="10" t="inlineStr">
        <is>
          <t>Same as Q92 pattern</t>
        </is>
      </c>
      <c r="C211" s="10" t="inlineStr">
        <is>
          <t>HARD</t>
        </is>
      </c>
    </row>
    <row r="212">
      <c r="A212" s="9" t="inlineStr">
        <is>
          <t>Q97_FINAL_AMOUNT</t>
        </is>
      </c>
      <c r="B212" s="10" t="inlineStr">
        <is>
          <t>`0 ≤ amt ≤ 99,999,999`</t>
        </is>
      </c>
      <c r="C212" s="10" t="inlineStr">
        <is>
          <t>HARD</t>
        </is>
      </c>
    </row>
    <row r="213">
      <c r="A213" s="9" t="inlineStr">
        <is>
          <t>Q97 vs. Q92/Q94/Q96</t>
        </is>
      </c>
      <c r="B213" s="10" t="inlineStr">
        <is>
          <t>`Q97_FINAL_AMOUNT` should be ≈ sum of all Out-of-pocket (`_PAY_01`) lines across Q92/Q94/Q96 ± 10%; warn otherwise</t>
        </is>
      </c>
      <c r="C213" s="10" t="inlineStr">
        <is>
          <t>SOFT</t>
        </is>
      </c>
    </row>
    <row r="214">
      <c r="A214" s="9" t="inlineStr">
        <is>
          <t>Q97.1 select matrix (Q971_{1-4})</t>
        </is>
      </c>
      <c r="B214" s="10" t="inlineStr">
        <is>
          <t>For each ticked, `_AMT &gt; 0`; sum of Q971 amounts must also appear in Q97_FINAL_AMOUNT</t>
        </is>
      </c>
      <c r="C214" s="10" t="inlineStr">
        <is>
          <t>HARD + SOFT</t>
        </is>
      </c>
    </row>
    <row r="215">
      <c r="A215" s="9" t="inlineStr">
        <is>
          <t>Q971_4 = Yes (Other expenses)</t>
        </is>
      </c>
      <c r="B215" s="10" t="inlineStr">
        <is>
          <t>`Q971_OTHER_TXT` required</t>
        </is>
      </c>
      <c r="C215" s="10" t="inlineStr">
        <is>
          <t>HARD</t>
        </is>
      </c>
    </row>
    <row r="216">
      <c r="A216" s="9" t="inlineStr">
        <is>
          <t>Q97.2 select matrix (Q972_{1-6})</t>
        </is>
      </c>
      <c r="B216" s="10" t="inlineStr">
        <is>
          <t>For each ticked, `_AMT &gt; 0`; NOT summed into Q97 (these are out-of-bill)</t>
        </is>
      </c>
      <c r="C216" s="10" t="inlineStr">
        <is>
          <t>HARD</t>
        </is>
      </c>
    </row>
    <row r="217">
      <c r="A217" s="9" t="inlineStr">
        <is>
          <t>Q972_6 = Yes (Other expenses)</t>
        </is>
      </c>
      <c r="B217" s="10" t="inlineStr">
        <is>
          <t>`Q972_OTHER_TXT` required</t>
        </is>
      </c>
      <c r="C217" s="10" t="inlineStr">
        <is>
          <t>HARD</t>
        </is>
      </c>
    </row>
    <row r="218">
      <c r="A218" s="9" t="inlineStr">
        <is>
          <t>Q98 matrix</t>
        </is>
      </c>
      <c r="B218" s="10" t="inlineStr">
        <is>
          <t>≥ 1 `Q98_PAY_*` = Yes (patient must have paid somehow)</t>
        </is>
      </c>
      <c r="C218" s="10" t="inlineStr">
        <is>
          <t>HARD</t>
        </is>
      </c>
    </row>
    <row r="219">
      <c r="A219" s="9" t="inlineStr">
        <is>
          <t>Q98 per-row</t>
        </is>
      </c>
      <c r="B219" s="10" t="inlineStr">
        <is>
          <t>For each `Q98_PAY_{code} = Yes`, `Q98_PAY_{code}_AMT &gt; 0`</t>
        </is>
      </c>
      <c r="C219" s="10" t="inlineStr">
        <is>
          <t>HARD</t>
        </is>
      </c>
    </row>
    <row r="220">
      <c r="A220" s="9" t="inlineStr">
        <is>
          <t>Q98_PAY_06 = Yes (Other gov donation)</t>
        </is>
      </c>
      <c r="B220" s="10" t="inlineStr">
        <is>
          <t>`Q98_OTHER_DONATION_TXT` required</t>
        </is>
      </c>
      <c r="C220" s="10" t="inlineStr">
        <is>
          <t>HARD</t>
        </is>
      </c>
    </row>
    <row r="221">
      <c r="A221" s="9" t="inlineStr">
        <is>
          <t>Q98_PAY_15 = Yes (Other)</t>
        </is>
      </c>
      <c r="B221" s="10" t="inlineStr">
        <is>
          <t>`Q98_OTHER_TXT` required</t>
        </is>
      </c>
      <c r="C221" s="10" t="inlineStr">
        <is>
          <t>HARD</t>
        </is>
      </c>
    </row>
    <row r="222">
      <c r="A222" s="9" t="inlineStr">
        <is>
          <t>Q98 total vs. Q97</t>
        </is>
      </c>
      <c r="B222" s="10" t="inlineStr">
        <is>
          <t>Sum of Q98_*_AMT should ≈ `Q97_FINAL_AMOUNT + Q972 non-OOP amounts`; warn if wildly different</t>
        </is>
      </c>
      <c r="C222" s="10" t="inlineStr">
        <is>
          <t>SOFT</t>
        </is>
      </c>
    </row>
    <row r="223">
      <c r="A223" s="9" t="inlineStr">
        <is>
          <t>Q99_BUCAS_HEARD</t>
        </is>
      </c>
      <c r="B223" s="10" t="inlineStr">
        <is>
          <t>Required when enumerator judges area has BUCAS (see sanity #11); else may be blank</t>
        </is>
      </c>
      <c r="C223" s="10" t="inlineStr">
        <is>
          <t>HARD (conditional)</t>
        </is>
      </c>
    </row>
    <row r="224">
      <c r="A224" s="9" t="inlineStr">
        <is>
          <t>Q100–Q103 enabled</t>
        </is>
      </c>
      <c r="B224" s="10" t="inlineStr">
        <is>
          <t>`Q99_BUCAS_HEARD = Yes`</t>
        </is>
      </c>
      <c r="C224" s="10" t="inlineStr">
        <is>
          <t>GATE</t>
        </is>
      </c>
    </row>
    <row r="225">
      <c r="A225" s="9" t="inlineStr">
        <is>
          <t>Q100_BUCAS_SOURCE select-all</t>
        </is>
      </c>
      <c r="B225" s="10" t="inlineStr">
        <is>
          <t>≥ 1 option ticked when enabled</t>
        </is>
      </c>
      <c r="C225" s="10" t="inlineStr">
        <is>
          <t>HARD</t>
        </is>
      </c>
    </row>
    <row r="226">
      <c r="A226" s="9" t="inlineStr">
        <is>
          <t>Q100_BUCAS_SOURCE "I don't know" (7)</t>
        </is>
      </c>
      <c r="B226" s="10" t="inlineStr">
        <is>
          <t>Cannot be combined with any other option</t>
        </is>
      </c>
      <c r="C226" s="10" t="inlineStr">
        <is>
          <t>HARD</t>
        </is>
      </c>
    </row>
    <row r="227">
      <c r="A227" s="9" t="inlineStr">
        <is>
          <t>Q100_BUCAS_SOURCE = 8 (Other)</t>
        </is>
      </c>
      <c r="B227" s="10" t="inlineStr">
        <is>
          <t>`Q100_BUCAS_SOURCE_OTHER_TXT` required</t>
        </is>
      </c>
      <c r="C227" s="10" t="inlineStr">
        <is>
          <t>HARD</t>
        </is>
      </c>
    </row>
    <row r="228">
      <c r="A228" s="9" t="inlineStr">
        <is>
          <t>Q101_BUCAS_UNDERSTAND select-all</t>
        </is>
      </c>
      <c r="B228" s="10" t="inlineStr">
        <is>
          <t>≥ 1 option ticked when enabled</t>
        </is>
      </c>
      <c r="C228" s="10" t="inlineStr">
        <is>
          <t>HARD</t>
        </is>
      </c>
    </row>
    <row r="229">
      <c r="A229" s="9" t="inlineStr">
        <is>
          <t>Q101_BUCAS_UNDERSTAND = 5 (Other)</t>
        </is>
      </c>
      <c r="B229" s="10" t="inlineStr">
        <is>
          <t>`Q101_BUCAS_UNDERSTAND_OTHER_TXT` required</t>
        </is>
      </c>
      <c r="C229" s="10" t="inlineStr">
        <is>
          <t>HARD</t>
        </is>
      </c>
    </row>
    <row r="230">
      <c r="A230" s="9" t="inlineStr">
        <is>
          <t>Q102_BUCAS_ACCESSED</t>
        </is>
      </c>
      <c r="B230" s="10" t="inlineStr">
        <is>
          <t>Required when Q99 = Yes, ∈ {1, 2}</t>
        </is>
      </c>
      <c r="C230" s="10" t="inlineStr">
        <is>
          <t>HARD</t>
        </is>
      </c>
    </row>
    <row r="231">
      <c r="A231" s="9" t="inlineStr">
        <is>
          <t>Q103 enabled</t>
        </is>
      </c>
      <c r="B231" s="10" t="inlineStr">
        <is>
          <t>`Q102_BUCAS_ACCESSED = Yes`</t>
        </is>
      </c>
      <c r="C231" s="10" t="inlineStr">
        <is>
          <t>GATE</t>
        </is>
      </c>
    </row>
    <row r="232">
      <c r="A232" s="9" t="inlineStr">
        <is>
          <t>Q103_BUCAS_SERVICES select-all</t>
        </is>
      </c>
      <c r="B232" s="10" t="inlineStr">
        <is>
          <t>≥ 1 option ticked when enabled</t>
        </is>
      </c>
      <c r="C232" s="10" t="inlineStr">
        <is>
          <t>HARD</t>
        </is>
      </c>
    </row>
    <row r="233">
      <c r="A233" s="9" t="inlineStr">
        <is>
          <t>Q103_BUCAS_SERVICES "I don't know" (6)</t>
        </is>
      </c>
      <c r="B233" s="10" t="inlineStr">
        <is>
          <t>Cannot be combined with any other option</t>
        </is>
      </c>
      <c r="C233" s="10" t="inlineStr">
        <is>
          <t>HARD</t>
        </is>
      </c>
    </row>
    <row r="234">
      <c r="A234" s="9" t="inlineStr">
        <is>
          <t>Q103_BUCAS_SERVICES = 7 (Other)</t>
        </is>
      </c>
      <c r="B234" s="10" t="inlineStr">
        <is>
          <t>`Q103_BUCAS_SERVICES_OTHER_TXT` required</t>
        </is>
      </c>
      <c r="C234" s="10" t="inlineStr">
        <is>
          <t>HARD</t>
        </is>
      </c>
    </row>
    <row r="235">
      <c r="A235" s="9" t="inlineStr">
        <is>
          <t>Q104_WITHOUT_BUCAS</t>
        </is>
      </c>
      <c r="B235" s="10" t="inlineStr">
        <is>
          <t>Required when Q99 = Yes, ∈ {1–6}</t>
        </is>
      </c>
      <c r="C235" s="10" t="inlineStr">
        <is>
          <t>HARD</t>
        </is>
      </c>
    </row>
    <row r="236">
      <c r="A236" s="9" t="inlineStr">
        <is>
          <t>Q104_WITHOUT_BUCAS = 6 (Others)</t>
        </is>
      </c>
      <c r="B236" s="10" t="inlineStr">
        <is>
          <t>`Q104_WITHOUT_BUCAS_OTHER_TXT` required</t>
        </is>
      </c>
      <c r="C236" s="10" t="inlineStr">
        <is>
          <t>HARD</t>
        </is>
      </c>
    </row>
    <row r="237">
      <c r="A237" s="9" t="inlineStr">
        <is>
          <t>Section H enabled</t>
        </is>
      </c>
      <c r="B237" s="10" t="inlineStr">
        <is>
          <t>`FIELD_CONTROL.PATIENT_TYPE = Inpatient`</t>
        </is>
      </c>
      <c r="C237" s="10" t="inlineStr">
        <is>
          <t>GATE</t>
        </is>
      </c>
    </row>
    <row r="238">
      <c r="A238" s="9" t="inlineStr">
        <is>
          <t>Q105_REASON</t>
        </is>
      </c>
      <c r="B238" s="10" t="inlineStr">
        <is>
          <t>Required, ∈ {1–5}</t>
        </is>
      </c>
      <c r="C238" s="10" t="inlineStr">
        <is>
          <t>HARD</t>
        </is>
      </c>
    </row>
    <row r="239">
      <c r="A239" s="9" t="inlineStr">
        <is>
          <t>Q105_REASON = 5 (Other)</t>
        </is>
      </c>
      <c r="B239" s="10" t="inlineStr">
        <is>
          <t>`Q105_REASON_OTHER_TXT` required</t>
        </is>
      </c>
      <c r="C239" s="10" t="inlineStr">
        <is>
          <t>HARD</t>
        </is>
      </c>
    </row>
    <row r="240">
      <c r="A240" s="9" t="inlineStr">
        <is>
          <t>Q106_NIGHTS</t>
        </is>
      </c>
      <c r="B240" s="10" t="inlineStr">
        <is>
          <t>`0 ≤ nights ≤ 365` (warn if &gt; 90)</t>
        </is>
      </c>
      <c r="C240" s="10" t="inlineStr">
        <is>
          <t>HARD + SOFT</t>
        </is>
      </c>
    </row>
    <row r="241">
      <c r="A241" s="9" t="inlineStr">
        <is>
          <t>Q106_DAYS</t>
        </is>
      </c>
      <c r="B241" s="10" t="inlineStr">
        <is>
          <t>`0 ≤ days ≤ 365`   (warn if &gt; 90)</t>
        </is>
      </c>
      <c r="C241" s="10" t="inlineStr">
        <is>
          <t>HARD + SOFT</t>
        </is>
      </c>
    </row>
    <row r="242">
      <c r="A242" s="9" t="inlineStr">
        <is>
          <t>Q106 pair sanity</t>
        </is>
      </c>
      <c r="B242" s="10" t="inlineStr">
        <is>
          <t>`Q106_NIGHTS + Q106_DAYS ≥ 1` (at least one full day of stay)</t>
        </is>
      </c>
      <c r="C242" s="10" t="inlineStr">
        <is>
          <t>HARD</t>
        </is>
      </c>
    </row>
    <row r="243">
      <c r="A243" s="9" t="inlineStr">
        <is>
          <t>Q106 vs. visit dates</t>
        </is>
      </c>
      <c r="B243" s="10" t="inlineStr">
        <is>
          <t>`abs((DATE_FINAL_VISIT − DATE_FIRST_VISIT) − Q106_DAYS) ≤ 1`</t>
        </is>
      </c>
      <c r="C243" s="10" t="inlineStr">
        <is>
          <t>SOFT</t>
        </is>
      </c>
    </row>
    <row r="244">
      <c r="A244" s="9" t="inlineStr">
        <is>
          <t>Q107 matrix</t>
        </is>
      </c>
      <c r="B244" s="10" t="inlineStr">
        <is>
          <t>≥ 1 `Q107_PAY_*` = Yes</t>
        </is>
      </c>
      <c r="C244" s="10" t="inlineStr">
        <is>
          <t>HARD</t>
        </is>
      </c>
    </row>
    <row r="245">
      <c r="A245" s="9" t="inlineStr">
        <is>
          <t>Q107 per-row</t>
        </is>
      </c>
      <c r="B245" s="10" t="inlineStr">
        <is>
          <t>For each `Q107_PAY_{code} = Yes`, `Q107_PAY_{code}_AMT &gt; 0`</t>
        </is>
      </c>
      <c r="C245" s="10" t="inlineStr">
        <is>
          <t>HARD</t>
        </is>
      </c>
    </row>
    <row r="246">
      <c r="A246" s="9" t="inlineStr">
        <is>
          <t>Q107_PAY_10 = Yes (Other)</t>
        </is>
      </c>
      <c r="B246" s="10" t="inlineStr">
        <is>
          <t>`Q107_PAY_OTHER_TXT` required</t>
        </is>
      </c>
      <c r="C246" s="10" t="inlineStr">
        <is>
          <t>HARD</t>
        </is>
      </c>
    </row>
    <row r="247">
      <c r="A247" s="9" t="inlineStr">
        <is>
          <t>Q108_MEDS_OUTSIDE</t>
        </is>
      </c>
      <c r="B247" s="10" t="inlineStr">
        <is>
          <t>Required, ∈ {1, 2}</t>
        </is>
      </c>
      <c r="C247" s="10" t="inlineStr">
        <is>
          <t>HARD</t>
        </is>
      </c>
    </row>
    <row r="248">
      <c r="A248" s="9" t="inlineStr">
        <is>
          <t>Q109 matrix enabled</t>
        </is>
      </c>
      <c r="B248" s="10" t="inlineStr">
        <is>
          <t>`Q108_MEDS_OUTSIDE = Yes`</t>
        </is>
      </c>
      <c r="C248" s="10" t="inlineStr">
        <is>
          <t>GATE</t>
        </is>
      </c>
    </row>
    <row r="249">
      <c r="A249" s="9" t="inlineStr">
        <is>
          <t>Q109 per-row</t>
        </is>
      </c>
      <c r="B249" s="10" t="inlineStr">
        <is>
          <t>Same pattern as Q107</t>
        </is>
      </c>
      <c r="C249" s="10" t="inlineStr">
        <is>
          <t>HARD</t>
        </is>
      </c>
    </row>
    <row r="250">
      <c r="A250" s="9" t="inlineStr">
        <is>
          <t>Q109_PAY_09 = Yes (Other)</t>
        </is>
      </c>
      <c r="B250" s="10" t="inlineStr">
        <is>
          <t>`Q109_PAY_OTHER_TXT` required</t>
        </is>
      </c>
      <c r="C250" s="10" t="inlineStr">
        <is>
          <t>HARD</t>
        </is>
      </c>
    </row>
    <row r="251">
      <c r="A251" s="9" t="inlineStr">
        <is>
          <t>Q110_LAB_OUTSIDE</t>
        </is>
      </c>
      <c r="B251" s="10" t="inlineStr">
        <is>
          <t>Required, ∈ {1, 2}</t>
        </is>
      </c>
      <c r="C251" s="10" t="inlineStr">
        <is>
          <t>HARD</t>
        </is>
      </c>
    </row>
    <row r="252">
      <c r="A252" s="9" t="inlineStr">
        <is>
          <t>Q111, Q112 enabled</t>
        </is>
      </c>
      <c r="B252" s="10" t="inlineStr">
        <is>
          <t>`Q110_LAB_OUTSIDE = Yes`</t>
        </is>
      </c>
      <c r="C252" s="10" t="inlineStr">
        <is>
          <t>GATE</t>
        </is>
      </c>
    </row>
    <row r="253">
      <c r="A253" s="9" t="inlineStr">
        <is>
          <t>Q111_SERVICES_OUTSIDE</t>
        </is>
      </c>
      <c r="B253" s="10" t="inlineStr">
        <is>
          <t>Required when enabled, non-blank</t>
        </is>
      </c>
      <c r="C253" s="10" t="inlineStr">
        <is>
          <t>HARD</t>
        </is>
      </c>
    </row>
    <row r="254">
      <c r="A254" s="9" t="inlineStr">
        <is>
          <t>Q112 matrix enabled</t>
        </is>
      </c>
      <c r="B254" s="10" t="inlineStr">
        <is>
          <t>`Q110_LAB_OUTSIDE = Yes`</t>
        </is>
      </c>
      <c r="C254" s="10" t="inlineStr">
        <is>
          <t>GATE</t>
        </is>
      </c>
    </row>
    <row r="255">
      <c r="A255" s="9" t="inlineStr">
        <is>
          <t>Q112 per-row</t>
        </is>
      </c>
      <c r="B255" s="10" t="inlineStr">
        <is>
          <t>Same pattern as Q107</t>
        </is>
      </c>
      <c r="C255" s="10" t="inlineStr">
        <is>
          <t>HARD</t>
        </is>
      </c>
    </row>
    <row r="256">
      <c r="A256" s="9" t="inlineStr">
        <is>
          <t>Q112_PAY_09 = Yes (Other)</t>
        </is>
      </c>
      <c r="B256" s="10" t="inlineStr">
        <is>
          <t>`Q112_PAY_OTHER_TXT` required</t>
        </is>
      </c>
      <c r="C256" s="10" t="inlineStr">
        <is>
          <t>HARD</t>
        </is>
      </c>
    </row>
    <row r="257">
      <c r="A257" s="9" t="inlineStr">
        <is>
          <t>Q113 matrix</t>
        </is>
      </c>
      <c r="B257" s="10" t="inlineStr">
        <is>
          <t>≥ 1 `Q113_PAY_*` = Yes</t>
        </is>
      </c>
      <c r="C257" s="10" t="inlineStr">
        <is>
          <t>HARD</t>
        </is>
      </c>
    </row>
    <row r="258">
      <c r="A258" s="9" t="inlineStr">
        <is>
          <t>Q113 per-row</t>
        </is>
      </c>
      <c r="B258" s="10" t="inlineStr">
        <is>
          <t>For each `Q113_PAY_{code} = Yes`, `Q113_PAY_{code}_AMT &gt; 0`</t>
        </is>
      </c>
      <c r="C258" s="10" t="inlineStr">
        <is>
          <t>HARD</t>
        </is>
      </c>
    </row>
    <row r="259">
      <c r="A259" s="9" t="inlineStr">
        <is>
          <t>Q113_PAY_13 = Yes (Other)</t>
        </is>
      </c>
      <c r="B259" s="10" t="inlineStr">
        <is>
          <t>`Q113_PAY_OTHER_TXT` required</t>
        </is>
      </c>
      <c r="C259" s="10" t="inlineStr">
        <is>
          <t>HARD</t>
        </is>
      </c>
    </row>
    <row r="260">
      <c r="A260" s="9" t="inlineStr">
        <is>
          <t>Q113 total vs. Q107</t>
        </is>
      </c>
      <c r="B260" s="10" t="inlineStr">
        <is>
          <t>Sum of Q113_*_AMT ≈ sum of Q107 OOP + PhilHealth/HMO/etc. rows; warn if off by &gt; 10%</t>
        </is>
      </c>
      <c r="C260" s="10" t="inlineStr">
        <is>
          <t>SOFT</t>
        </is>
      </c>
    </row>
    <row r="261">
      <c r="A261" s="9" t="inlineStr">
        <is>
          <t>Q114 enabled</t>
        </is>
      </c>
      <c r="B261" s="10" t="inlineStr">
        <is>
          <t>`Q113_PAY_08 ≠ Yes` (PhilHealth not availed)</t>
        </is>
      </c>
      <c r="C261" s="10" t="inlineStr">
        <is>
          <t>GATE</t>
        </is>
      </c>
    </row>
    <row r="262">
      <c r="A262" s="9" t="inlineStr">
        <is>
          <t>Q114_NO_PH select-all</t>
        </is>
      </c>
      <c r="B262" s="10" t="inlineStr">
        <is>
          <t>≥ 1 option ticked when enabled</t>
        </is>
      </c>
      <c r="C262" s="10" t="inlineStr">
        <is>
          <t>HARD</t>
        </is>
      </c>
    </row>
    <row r="263">
      <c r="A263" s="9" t="inlineStr">
        <is>
          <t>Q114_NO_PH = 7 (Other)</t>
        </is>
      </c>
      <c r="B263" s="10" t="inlineStr">
        <is>
          <t>`Q114_NO_PH_OTHER_TXT` required</t>
        </is>
      </c>
      <c r="C263" s="10" t="inlineStr">
        <is>
          <t>HARD</t>
        </is>
      </c>
    </row>
    <row r="264">
      <c r="A264" s="9" t="inlineStr">
        <is>
          <t>Q114.1 matrix (Q1141_{1-6})</t>
        </is>
      </c>
      <c r="B264" s="10" t="inlineStr">
        <is>
          <t>For each ticked, `_AMT &gt; 0`; amount included in Q107 totals</t>
        </is>
      </c>
      <c r="C264" s="10" t="inlineStr">
        <is>
          <t>HARD</t>
        </is>
      </c>
    </row>
    <row r="265">
      <c r="A265" s="9" t="inlineStr">
        <is>
          <t>Q1141_6 = Yes (Other)</t>
        </is>
      </c>
      <c r="B265" s="10" t="inlineStr">
        <is>
          <t>`Q1141_OTHER_TXT` required</t>
        </is>
      </c>
      <c r="C265" s="10" t="inlineStr">
        <is>
          <t>HARD</t>
        </is>
      </c>
    </row>
    <row r="266">
      <c r="A266" s="9" t="inlineStr">
        <is>
          <t>Q114.2 matrix (Q1142_{1-7})</t>
        </is>
      </c>
      <c r="B266" s="10" t="inlineStr">
        <is>
          <t>For each ticked, `_AMT &gt; 0`; amounts are out-of-bill, NOT in Q107</t>
        </is>
      </c>
      <c r="C266" s="10" t="inlineStr">
        <is>
          <t>HARD</t>
        </is>
      </c>
    </row>
    <row r="267">
      <c r="A267" s="9" t="inlineStr">
        <is>
          <t>Q1142_7 = Yes (Other)</t>
        </is>
      </c>
      <c r="B267" s="10" t="inlineStr">
        <is>
          <t>`Q1142_OTHER_TXT` required</t>
        </is>
      </c>
      <c r="C267" s="10" t="inlineStr">
        <is>
          <t>HARD</t>
        </is>
      </c>
    </row>
    <row r="268">
      <c r="A268" s="9" t="inlineStr">
        <is>
          <t>Q115_FINAL_CASH</t>
        </is>
      </c>
      <c r="B268" s="10" t="inlineStr">
        <is>
          <t>`0 ≤ amt ≤ 999,999,999`; should ≈ Q107 OOP row (`Q107_PAY_01_AMT`) ± 10%</t>
        </is>
      </c>
      <c r="C268" s="10" t="inlineStr">
        <is>
          <t>HARD + SOFT</t>
        </is>
      </c>
    </row>
    <row r="269">
      <c r="A269" s="9" t="inlineStr">
        <is>
          <t>Q116_NBB_HEARD</t>
        </is>
      </c>
      <c r="B269" s="10" t="inlineStr">
        <is>
          <t>Required, ∈ {1, 2, 3}</t>
        </is>
      </c>
      <c r="C269" s="10" t="inlineStr">
        <is>
          <t>HARD</t>
        </is>
      </c>
    </row>
    <row r="270">
      <c r="A270" s="9" t="inlineStr">
        <is>
          <t>Q117, Q118 enabled</t>
        </is>
      </c>
      <c r="B270" s="10" t="inlineStr">
        <is>
          <t>`Q116_NBB_HEARD = Yes`</t>
        </is>
      </c>
      <c r="C270" s="10" t="inlineStr">
        <is>
          <t>GATE</t>
        </is>
      </c>
    </row>
    <row r="271">
      <c r="A271" s="9" t="inlineStr">
        <is>
          <t>Q117_NBB_SOURCE select-all</t>
        </is>
      </c>
      <c r="B271" s="10" t="inlineStr">
        <is>
          <t>≥ 1 option ticked when enabled</t>
        </is>
      </c>
      <c r="C271" s="10" t="inlineStr">
        <is>
          <t>HARD</t>
        </is>
      </c>
    </row>
    <row r="272">
      <c r="A272" s="9" t="inlineStr">
        <is>
          <t>Q117_NBB_SOURCE "I don't know" (7)</t>
        </is>
      </c>
      <c r="B272" s="10" t="inlineStr">
        <is>
          <t>Cannot be combined with any other option</t>
        </is>
      </c>
      <c r="C272" s="10" t="inlineStr">
        <is>
          <t>HARD</t>
        </is>
      </c>
    </row>
    <row r="273">
      <c r="A273" s="9" t="inlineStr">
        <is>
          <t>Q117_NBB_SOURCE = 8 (Other)</t>
        </is>
      </c>
      <c r="B273" s="10" t="inlineStr">
        <is>
          <t>`Q117_NBB_SOURCE_OTHER_TXT` required</t>
        </is>
      </c>
      <c r="C273" s="10" t="inlineStr">
        <is>
          <t>HARD</t>
        </is>
      </c>
    </row>
    <row r="274">
      <c r="A274" s="9" t="inlineStr">
        <is>
          <t>Q118_NBB_UNDERSTAND select-all</t>
        </is>
      </c>
      <c r="B274" s="10" t="inlineStr">
        <is>
          <t>≥ 1 option ticked when enabled</t>
        </is>
      </c>
      <c r="C274" s="10" t="inlineStr">
        <is>
          <t>HARD</t>
        </is>
      </c>
    </row>
    <row r="275">
      <c r="A275" s="9" t="inlineStr">
        <is>
          <t>Q118_NBB_UNDERSTAND "I don't know" (8)</t>
        </is>
      </c>
      <c r="B275" s="10" t="inlineStr">
        <is>
          <t>Cannot be combined with any other option</t>
        </is>
      </c>
      <c r="C275" s="10" t="inlineStr">
        <is>
          <t>HARD</t>
        </is>
      </c>
    </row>
    <row r="276">
      <c r="A276" s="9" t="inlineStr">
        <is>
          <t>Q118_NBB_UNDERSTAND = 9 (Other)</t>
        </is>
      </c>
      <c r="B276" s="10" t="inlineStr">
        <is>
          <t>`Q118_NBB_UNDERSTAND_OTHER_TXT` required</t>
        </is>
      </c>
      <c r="C276" s="10" t="inlineStr">
        <is>
          <t>HARD</t>
        </is>
      </c>
    </row>
    <row r="277">
      <c r="A277" s="9" t="inlineStr">
        <is>
          <t>Q119_ZBB_HEARD</t>
        </is>
      </c>
      <c r="B277" s="10" t="inlineStr">
        <is>
          <t>Required, ∈ {1, 2, 3}</t>
        </is>
      </c>
      <c r="C277" s="10" t="inlineStr">
        <is>
          <t>HARD</t>
        </is>
      </c>
    </row>
    <row r="278">
      <c r="A278" s="9" t="inlineStr">
        <is>
          <t>Q120–Q123 enabled</t>
        </is>
      </c>
      <c r="B278" s="10" t="inlineStr">
        <is>
          <t>`Q119_ZBB_HEARD = Yes`</t>
        </is>
      </c>
      <c r="C278" s="10" t="inlineStr">
        <is>
          <t>GATE</t>
        </is>
      </c>
    </row>
    <row r="279">
      <c r="A279" s="9" t="inlineStr">
        <is>
          <t>Q120_ZBB_SOURCE select-all</t>
        </is>
      </c>
      <c r="B279" s="10" t="inlineStr">
        <is>
          <t>≥ 1 option ticked when enabled</t>
        </is>
      </c>
      <c r="C279" s="10" t="inlineStr">
        <is>
          <t>HARD</t>
        </is>
      </c>
    </row>
    <row r="280">
      <c r="A280" s="9" t="inlineStr">
        <is>
          <t>Q120_ZBB_SOURCE "I don't know" (7)</t>
        </is>
      </c>
      <c r="B280" s="10" t="inlineStr">
        <is>
          <t>Cannot be combined with any other option</t>
        </is>
      </c>
      <c r="C280" s="10" t="inlineStr">
        <is>
          <t>HARD</t>
        </is>
      </c>
    </row>
    <row r="281">
      <c r="A281" s="9" t="inlineStr">
        <is>
          <t>Q120_ZBB_SOURCE = 8 (Other)</t>
        </is>
      </c>
      <c r="B281" s="10" t="inlineStr">
        <is>
          <t>`Q120_ZBB_SOURCE_OTHER_TXT` required</t>
        </is>
      </c>
      <c r="C281" s="10" t="inlineStr">
        <is>
          <t>HARD</t>
        </is>
      </c>
    </row>
    <row r="282">
      <c r="A282" s="9" t="inlineStr">
        <is>
          <t>Q121_ZBB_UNDERSTAND select-all</t>
        </is>
      </c>
      <c r="B282" s="10" t="inlineStr">
        <is>
          <t>≥ 1 option ticked when enabled</t>
        </is>
      </c>
      <c r="C282" s="10" t="inlineStr">
        <is>
          <t>HARD</t>
        </is>
      </c>
    </row>
    <row r="283">
      <c r="A283" s="9" t="inlineStr">
        <is>
          <t>Q121_ZBB_UNDERSTAND "I don't know" (8)</t>
        </is>
      </c>
      <c r="B283" s="10" t="inlineStr">
        <is>
          <t>Cannot be combined with any other option</t>
        </is>
      </c>
      <c r="C283" s="10" t="inlineStr">
        <is>
          <t>HARD</t>
        </is>
      </c>
    </row>
    <row r="284">
      <c r="A284" s="9" t="inlineStr">
        <is>
          <t>Q121_ZBB_UNDERSTAND = 9 (Other)</t>
        </is>
      </c>
      <c r="B284" s="10" t="inlineStr">
        <is>
          <t>`Q121_ZBB_UNDERSTAND_OTHER_TXT` required</t>
        </is>
      </c>
      <c r="C284" s="10" t="inlineStr">
        <is>
          <t>HARD</t>
        </is>
      </c>
    </row>
    <row r="285">
      <c r="A285" s="9" t="inlineStr">
        <is>
          <t>Q122 enabled</t>
        </is>
      </c>
      <c r="B285" s="10" t="inlineStr">
        <is>
          <t>`Q119_ZBB_HEARD = Yes` and `PATIENT_TYPE = Inpatient`</t>
        </is>
      </c>
      <c r="C285" s="10" t="inlineStr">
        <is>
          <t>GATE</t>
        </is>
      </c>
    </row>
    <row r="286">
      <c r="A286" s="9" t="inlineStr">
        <is>
          <t>Q122_ZBB_INFORMED</t>
        </is>
      </c>
      <c r="B286" s="10" t="inlineStr">
        <is>
          <t>Required when enabled, ∈ {1, 2}</t>
        </is>
      </c>
      <c r="C286" s="10" t="inlineStr">
        <is>
          <t>HARD</t>
        </is>
      </c>
    </row>
    <row r="287">
      <c r="A287" s="9" t="inlineStr">
        <is>
          <t>Q123 enabled</t>
        </is>
      </c>
      <c r="B287" s="10" t="inlineStr">
        <is>
          <t>`Q119_ZBB_HEARD = Yes` and `PATIENT_TYPE = Inpatient`</t>
        </is>
      </c>
      <c r="C287" s="10" t="inlineStr">
        <is>
          <t>GATE</t>
        </is>
      </c>
    </row>
    <row r="288">
      <c r="A288" s="9" t="inlineStr">
        <is>
          <t>Q123_ZBB_EXTENT</t>
        </is>
      </c>
      <c r="B288" s="10" t="inlineStr">
        <is>
          <t>Required when enabled, ∈ {1–4}</t>
        </is>
      </c>
      <c r="C288" s="10" t="inlineStr">
        <is>
          <t>HARD</t>
        </is>
      </c>
    </row>
    <row r="289">
      <c r="A289" s="9" t="inlineStr">
        <is>
          <t>Q124 auto-set</t>
        </is>
      </c>
      <c r="B289" s="10" t="inlineStr">
        <is>
          <t>If `Q113_PAY_07 = Yes` (MAIFIP already availed), set `Q124_MAIFIP_HEARD = Yes` and skip display</t>
        </is>
      </c>
      <c r="C289" s="10" t="inlineStr">
        <is>
          <t>GATE (auto)</t>
        </is>
      </c>
    </row>
    <row r="290">
      <c r="A290" s="9" t="inlineStr">
        <is>
          <t>Q124_MAIFIP_HEARD</t>
        </is>
      </c>
      <c r="B290" s="10" t="inlineStr">
        <is>
          <t>Required, ∈ {1, 2, 3}</t>
        </is>
      </c>
      <c r="C290" s="10" t="inlineStr">
        <is>
          <t>HARD</t>
        </is>
      </c>
    </row>
    <row r="291">
      <c r="A291" s="9" t="inlineStr">
        <is>
          <t>Q125–Q129 enabled</t>
        </is>
      </c>
      <c r="B291" s="10" t="inlineStr">
        <is>
          <t>`Q124_MAIFIP_HEARD = Yes` or `Q113_PAY_07 = Yes`</t>
        </is>
      </c>
      <c r="C291" s="10" t="inlineStr">
        <is>
          <t>GATE</t>
        </is>
      </c>
    </row>
    <row r="292">
      <c r="A292" s="9" t="inlineStr">
        <is>
          <t>Q125_MAIFIP_SOURCE select-all</t>
        </is>
      </c>
      <c r="B292" s="10" t="inlineStr">
        <is>
          <t>≥ 1 option ticked when enabled</t>
        </is>
      </c>
      <c r="C292" s="10" t="inlineStr">
        <is>
          <t>HARD</t>
        </is>
      </c>
    </row>
    <row r="293">
      <c r="A293" s="9" t="inlineStr">
        <is>
          <t>Q125_MAIFIP_SOURCE "I don't know" (7)</t>
        </is>
      </c>
      <c r="B293" s="10" t="inlineStr">
        <is>
          <t>Cannot be combined with any other option</t>
        </is>
      </c>
      <c r="C293" s="10" t="inlineStr">
        <is>
          <t>HARD</t>
        </is>
      </c>
    </row>
    <row r="294">
      <c r="A294" s="9" t="inlineStr">
        <is>
          <t>Q125_MAIFIP_SOURCE = 8 (Other)</t>
        </is>
      </c>
      <c r="B294" s="10" t="inlineStr">
        <is>
          <t>`Q125_MAIFIP_SOURCE_OTHER_TXT` required</t>
        </is>
      </c>
      <c r="C294" s="10" t="inlineStr">
        <is>
          <t>HARD</t>
        </is>
      </c>
    </row>
    <row r="295">
      <c r="A295" s="9" t="inlineStr">
        <is>
          <t>Q126_MAIFIP_AVAILED</t>
        </is>
      </c>
      <c r="B295" s="10" t="inlineStr">
        <is>
          <t>Required when enabled, ∈ {1, 2}; must = Yes if `Q113_PAY_07 = Yes`</t>
        </is>
      </c>
      <c r="C295" s="10" t="inlineStr">
        <is>
          <t>HARD</t>
        </is>
      </c>
    </row>
    <row r="296">
      <c r="A296" s="9" t="inlineStr">
        <is>
          <t>Q127 enabled</t>
        </is>
      </c>
      <c r="B296" s="10" t="inlineStr">
        <is>
          <t>`Q126_MAIFIP_AVAILED = Yes`</t>
        </is>
      </c>
      <c r="C296" s="10" t="inlineStr">
        <is>
          <t>GATE</t>
        </is>
      </c>
    </row>
    <row r="297">
      <c r="A297" s="9" t="inlineStr">
        <is>
          <t>Q127_MAIFIP_OOP</t>
        </is>
      </c>
      <c r="B297" s="10" t="inlineStr">
        <is>
          <t>Required when enabled, ∈ {1, 2}</t>
        </is>
      </c>
      <c r="C297" s="10" t="inlineStr">
        <is>
          <t>HARD</t>
        </is>
      </c>
    </row>
    <row r="298">
      <c r="A298" s="9" t="inlineStr">
        <is>
          <t>Q128 enabled</t>
        </is>
      </c>
      <c r="B298" s="10" t="inlineStr">
        <is>
          <t>`Q126_MAIFIP_AVAILED = Yes` and `Q127_MAIFIP_OOP = Yes`</t>
        </is>
      </c>
      <c r="C298" s="10" t="inlineStr">
        <is>
          <t>GATE</t>
        </is>
      </c>
    </row>
    <row r="299">
      <c r="A299" s="9" t="inlineStr">
        <is>
          <t>Q128_MAIFIP_OOP_ITEMS select-all</t>
        </is>
      </c>
      <c r="B299" s="10" t="inlineStr">
        <is>
          <t>≥ 1 option ticked when enabled</t>
        </is>
      </c>
      <c r="C299" s="10" t="inlineStr">
        <is>
          <t>HARD</t>
        </is>
      </c>
    </row>
    <row r="300">
      <c r="A300" s="9" t="inlineStr">
        <is>
          <t>Q129 enabled</t>
        </is>
      </c>
      <c r="B300" s="10" t="inlineStr">
        <is>
          <t>`Q126_MAIFIP_AVAILED = No`</t>
        </is>
      </c>
      <c r="C300" s="10" t="inlineStr">
        <is>
          <t>GATE</t>
        </is>
      </c>
    </row>
    <row r="301">
      <c r="A301" s="9" t="inlineStr">
        <is>
          <t>Q129_WHY_NO_MAIFIP select-all</t>
        </is>
      </c>
      <c r="B301" s="10" t="inlineStr">
        <is>
          <t>≥ 1 option ticked when enabled; ∈ {1–4}</t>
        </is>
      </c>
      <c r="C301" s="10" t="inlineStr">
        <is>
          <t>HARD</t>
        </is>
      </c>
    </row>
    <row r="302">
      <c r="A302" s="9" t="inlineStr">
        <is>
          <t>Q130_REDUCED_SPEND</t>
        </is>
      </c>
      <c r="B302" s="10" t="inlineStr">
        <is>
          <t>Required (asked for all patients), ∈ {1–4}</t>
        </is>
      </c>
      <c r="C302" s="10" t="inlineStr">
        <is>
          <t>HARD</t>
        </is>
      </c>
    </row>
    <row r="303">
      <c r="A303" s="9" t="inlineStr">
        <is>
          <t>Q130 = Yes vs. Q98/Q113</t>
        </is>
      </c>
      <c r="B303" s="10" t="inlineStr">
        <is>
          <t>If patient reports reduced-spending but all Q98/Q113 amounts are in free/covered rows (no OOP), warn</t>
        </is>
      </c>
      <c r="C303" s="10" t="inlineStr">
        <is>
          <t>SOFT</t>
        </is>
      </c>
    </row>
    <row r="304">
      <c r="A304" s="9" t="inlineStr">
        <is>
          <t>Q131_AMEN_WAITING, Q132_AMEN_BATHROOMS, Q133_AMEN_CONSULT_ROOMS</t>
        </is>
      </c>
      <c r="B304" s="10" t="inlineStr">
        <is>
          <t>Required, ∈ SATISFACTION_5PT codes</t>
        </is>
      </c>
      <c r="C304" s="10" t="inlineStr">
        <is>
          <t>HARD</t>
        </is>
      </c>
    </row>
    <row r="305">
      <c r="A305" s="9" t="inlineStr">
        <is>
          <t>Q134 enabled (Rooms)</t>
        </is>
      </c>
      <c r="B305" s="10" t="inlineStr">
        <is>
          <t>`FIELD_CONTROL.PATIENT_TYPE = Inpatient`</t>
        </is>
      </c>
      <c r="C305" s="10" t="inlineStr">
        <is>
          <t>GATE</t>
        </is>
      </c>
    </row>
    <row r="306">
      <c r="A306" s="9" t="inlineStr">
        <is>
          <t>Q134_AMEN_ROOMS</t>
        </is>
      </c>
      <c r="B306" s="10" t="inlineStr">
        <is>
          <t>Required when enabled, ∈ SATISFACTION_5PT codes</t>
        </is>
      </c>
      <c r="C306" s="10" t="inlineStr">
        <is>
          <t>HARD</t>
        </is>
      </c>
    </row>
    <row r="307">
      <c r="A307" s="9" t="inlineStr">
        <is>
          <t>Q135 enabled (Overall time)</t>
        </is>
      </c>
      <c r="B307" s="10" t="inlineStr">
        <is>
          <t>`FIELD_CONTROL.PATIENT_TYPE = Inpatient`</t>
        </is>
      </c>
      <c r="C307" s="10" t="inlineStr">
        <is>
          <t>GATE</t>
        </is>
      </c>
    </row>
    <row r="308">
      <c r="A308" s="9" t="inlineStr">
        <is>
          <t>Q135_SAT_OVERALL_TIME</t>
        </is>
      </c>
      <c r="B308" s="10" t="inlineStr">
        <is>
          <t>Required when enabled, ∈ SATISFACTION_5PT codes</t>
        </is>
      </c>
      <c r="C308" s="10" t="inlineStr">
        <is>
          <t>HARD</t>
        </is>
      </c>
    </row>
    <row r="309">
      <c r="A309" s="9" t="inlineStr">
        <is>
          <t>Q136_STAFF_COURTESY, Q137_STAFF_LISTEN, Q138_STAFF_EXPLAIN, Q139_STAFF_DECIDE, Q140_STAFF_CONSENT</t>
        </is>
      </c>
      <c r="B309" s="10" t="inlineStr">
        <is>
          <t>Required, ∈ FREQUENCY_5PT codes</t>
        </is>
      </c>
      <c r="C309" s="10" t="inlineStr">
        <is>
          <t>HARD</t>
        </is>
      </c>
    </row>
    <row r="310">
      <c r="A310" s="9" t="inlineStr">
        <is>
          <t>Q141_CONFIDENTIALITY, Q142_PRIVACY</t>
        </is>
      </c>
      <c r="B310" s="10" t="inlineStr">
        <is>
          <t>Required, ∈ {1, 2, 3} (Yes/No/IDK)</t>
        </is>
      </c>
      <c r="C310" s="10" t="inlineStr">
        <is>
          <t>HARD</t>
        </is>
      </c>
    </row>
    <row r="311">
      <c r="A311" s="9" t="inlineStr">
        <is>
          <t>Q143_RECOMMEND</t>
        </is>
      </c>
      <c r="B311" s="10" t="inlineStr">
        <is>
          <t>Required, ∈ {1, 2}</t>
        </is>
      </c>
      <c r="C311" s="10" t="inlineStr">
        <is>
          <t>HARD</t>
        </is>
      </c>
    </row>
    <row r="312">
      <c r="A312" s="9" t="inlineStr">
        <is>
          <t>Q144_QUALITY</t>
        </is>
      </c>
      <c r="B312" s="10" t="inlineStr">
        <is>
          <t>Required, ∈ SATISFACTION_5PT codes</t>
        </is>
      </c>
      <c r="C312" s="10" t="inlineStr">
        <is>
          <t>HARD</t>
        </is>
      </c>
    </row>
    <row r="313">
      <c r="A313" s="9" t="inlineStr">
        <is>
          <t>Q143 vs. Q144 sanity</t>
        </is>
      </c>
      <c r="B313" s="10" t="inlineStr">
        <is>
          <t>`Q143 = Yes (recommend)` with `Q144 ∈ {Very Dissatisfied, Dissatisfied}` → warn</t>
        </is>
      </c>
      <c r="C313" s="10" t="inlineStr">
        <is>
          <t>SOFT</t>
        </is>
      </c>
    </row>
    <row r="314">
      <c r="A314" s="9" t="inlineStr">
        <is>
          <t>Q143 vs. Q144 sanity</t>
        </is>
      </c>
      <c r="B314" s="10" t="inlineStr">
        <is>
          <t>`Q143 = No (would not recommend)` with `Q144 ∈ {Very Satisfied, Satisfied}` → warn</t>
        </is>
      </c>
      <c r="C314" s="10" t="inlineStr">
        <is>
          <t>SOFT</t>
        </is>
      </c>
    </row>
    <row r="315">
      <c r="A315" s="9" t="inlineStr">
        <is>
          <t>Q145_PURCHASE_FREQ</t>
        </is>
      </c>
      <c r="B315" s="10" t="inlineStr">
        <is>
          <t>Required, ∈ {1–5}</t>
        </is>
      </c>
      <c r="C315" s="10" t="inlineStr">
        <is>
          <t>HARD</t>
        </is>
      </c>
    </row>
    <row r="316">
      <c r="A316" s="9" t="inlineStr">
        <is>
          <t>Q146–Q151 enabled</t>
        </is>
      </c>
      <c r="B316" s="10" t="inlineStr">
        <is>
          <t>`Q145_PURCHASE_FREQ ≠ 5` (Never)</t>
        </is>
      </c>
      <c r="C316" s="10" t="inlineStr">
        <is>
          <t>GATE</t>
        </is>
      </c>
    </row>
    <row r="317">
      <c r="A317" s="9" t="inlineStr">
        <is>
          <t>Q146_RX_OR_OTC</t>
        </is>
      </c>
      <c r="B317" s="10" t="inlineStr">
        <is>
          <t>Required when enabled, ∈ {1–4}</t>
        </is>
      </c>
      <c r="C317" s="10" t="inlineStr">
        <is>
          <t>HARD</t>
        </is>
      </c>
    </row>
    <row r="318">
      <c r="A318" s="9" t="inlineStr">
        <is>
          <t>Q147_MEDS_LIST</t>
        </is>
      </c>
      <c r="B318" s="10" t="inlineStr">
        <is>
          <t>Required when enabled, non-blank; ≤ 240 chars</t>
        </is>
      </c>
      <c r="C318" s="10" t="inlineStr">
        <is>
          <t>HARD</t>
        </is>
      </c>
    </row>
    <row r="319">
      <c r="A319" s="9" t="inlineStr">
        <is>
          <t>Q148_CONDITIONS select-all</t>
        </is>
      </c>
      <c r="B319" s="10" t="inlineStr">
        <is>
          <t>≥ 1 option ticked when enabled</t>
        </is>
      </c>
      <c r="C319" s="10" t="inlineStr">
        <is>
          <t>HARD</t>
        </is>
      </c>
    </row>
    <row r="320">
      <c r="A320" s="9" t="inlineStr">
        <is>
          <t>Q148_CONDITIONS "No condition - Regular check-up only" (19)</t>
        </is>
      </c>
      <c r="B320" s="10" t="inlineStr">
        <is>
          <t>Cannot be combined with any other option</t>
        </is>
      </c>
      <c r="C320" s="10" t="inlineStr">
        <is>
          <t>HARD</t>
        </is>
      </c>
    </row>
    <row r="321">
      <c r="A321" s="9" t="inlineStr">
        <is>
          <t>Q148_CONDITIONS = 20 (Other)</t>
        </is>
      </c>
      <c r="B321" s="10" t="inlineStr">
        <is>
          <t>`Q148_CONDITIONS_OTHER_TXT` required</t>
        </is>
      </c>
      <c r="C321" s="10" t="inlineStr">
        <is>
          <t>HARD</t>
        </is>
      </c>
    </row>
    <row r="322">
      <c r="A322" s="9" t="inlineStr">
        <is>
          <t>Q149_WHERE_BUY select-all</t>
        </is>
      </c>
      <c r="B322" s="10" t="inlineStr">
        <is>
          <t>≥ 1 option ticked when enabled</t>
        </is>
      </c>
      <c r="C322" s="10" t="inlineStr">
        <is>
          <t>HARD</t>
        </is>
      </c>
    </row>
    <row r="323">
      <c r="A323" s="9" t="inlineStr">
        <is>
          <t>Q149_WHERE_BUY = 8 (Other)</t>
        </is>
      </c>
      <c r="B323" s="10" t="inlineStr">
        <is>
          <t>`Q149_WHERE_BUY_OTHER_TXT` required</t>
        </is>
      </c>
      <c r="C323" s="10" t="inlineStr">
        <is>
          <t>HARD</t>
        </is>
      </c>
    </row>
    <row r="324">
      <c r="A324" s="9" t="inlineStr">
        <is>
          <t>Q150_TRAVEL_HH</t>
        </is>
      </c>
      <c r="B324" s="10" t="inlineStr">
        <is>
          <t>`0 ≤ HH ≤ 24`</t>
        </is>
      </c>
      <c r="C324" s="10" t="inlineStr">
        <is>
          <t>HARD</t>
        </is>
      </c>
    </row>
    <row r="325">
      <c r="A325" s="9" t="inlineStr">
        <is>
          <t>Q150_TRAVEL_MM</t>
        </is>
      </c>
      <c r="B325" s="10" t="inlineStr">
        <is>
          <t>`0 ≤ MM ≤ 59`</t>
        </is>
      </c>
      <c r="C325" s="10" t="inlineStr">
        <is>
          <t>HARD</t>
        </is>
      </c>
    </row>
    <row r="326">
      <c r="A326" s="9" t="inlineStr">
        <is>
          <t>Q150 pair sanity</t>
        </is>
      </c>
      <c r="B326" s="10" t="inlineStr">
        <is>
          <t>`Q150_TRAVEL_HH + Q150_TRAVEL_MM = 0` → warn (patient lives at the pharmacy?)</t>
        </is>
      </c>
      <c r="C326" s="10" t="inlineStr">
        <is>
          <t>SOFT</t>
        </is>
      </c>
    </row>
    <row r="327">
      <c r="A327" s="9" t="inlineStr">
        <is>
          <t>Q151_PHARM_EASE</t>
        </is>
      </c>
      <c r="B327" s="10" t="inlineStr">
        <is>
          <t>Required when enabled, ∈ {1–5}</t>
        </is>
      </c>
      <c r="C327" s="10" t="inlineStr">
        <is>
          <t>HARD</t>
        </is>
      </c>
    </row>
    <row r="328">
      <c r="A328" s="9" t="inlineStr">
        <is>
          <t>Q152_GAMOT_HEARD</t>
        </is>
      </c>
      <c r="B328" s="10" t="inlineStr">
        <is>
          <t>Required, ∈ {1, 2}</t>
        </is>
      </c>
      <c r="C328" s="10" t="inlineStr">
        <is>
          <t>HARD</t>
        </is>
      </c>
    </row>
    <row r="329">
      <c r="A329" s="9" t="inlineStr">
        <is>
          <t>Q153–Q157 enabled</t>
        </is>
      </c>
      <c r="B329" s="10" t="inlineStr">
        <is>
          <t>`Q152_GAMOT_HEARD = Yes`</t>
        </is>
      </c>
      <c r="C329" s="10" t="inlineStr">
        <is>
          <t>GATE</t>
        </is>
      </c>
    </row>
    <row r="330">
      <c r="A330" s="9" t="inlineStr">
        <is>
          <t>Q153_GAMOT_SOURCE select-all</t>
        </is>
      </c>
      <c r="B330" s="10" t="inlineStr">
        <is>
          <t>≥ 1 option ticked when enabled</t>
        </is>
      </c>
      <c r="C330" s="10" t="inlineStr">
        <is>
          <t>HARD</t>
        </is>
      </c>
    </row>
    <row r="331">
      <c r="A331" s="9" t="inlineStr">
        <is>
          <t>Q153_GAMOT_SOURCE "I don't know" (7)</t>
        </is>
      </c>
      <c r="B331" s="10" t="inlineStr">
        <is>
          <t>Cannot be combined with any other option</t>
        </is>
      </c>
      <c r="C331" s="10" t="inlineStr">
        <is>
          <t>HARD</t>
        </is>
      </c>
    </row>
    <row r="332">
      <c r="A332" s="9" t="inlineStr">
        <is>
          <t>Q153_GAMOT_SOURCE = 8 (Other)</t>
        </is>
      </c>
      <c r="B332" s="10" t="inlineStr">
        <is>
          <t>`Q153_GAMOT_SOURCE_OTHER_TXT` required</t>
        </is>
      </c>
      <c r="C332" s="10" t="inlineStr">
        <is>
          <t>HARD</t>
        </is>
      </c>
    </row>
    <row r="333">
      <c r="A333" s="9" t="inlineStr">
        <is>
          <t>Q154_GAMOT_UNDERSTAND select-all</t>
        </is>
      </c>
      <c r="B333" s="10" t="inlineStr">
        <is>
          <t>≥ 1 option ticked when enabled</t>
        </is>
      </c>
      <c r="C333" s="10" t="inlineStr">
        <is>
          <t>HARD</t>
        </is>
      </c>
    </row>
    <row r="334">
      <c r="A334" s="9" t="inlineStr">
        <is>
          <t>Q154_GAMOT_UNDERSTAND "I don't know" (5)</t>
        </is>
      </c>
      <c r="B334" s="10" t="inlineStr">
        <is>
          <t>Cannot be combined with any other option</t>
        </is>
      </c>
      <c r="C334" s="10" t="inlineStr">
        <is>
          <t>HARD</t>
        </is>
      </c>
    </row>
    <row r="335">
      <c r="A335" s="9" t="inlineStr">
        <is>
          <t>Q154_GAMOT_UNDERSTAND = 6 (Other)</t>
        </is>
      </c>
      <c r="B335" s="10" t="inlineStr">
        <is>
          <t>`Q154_GAMOT_UNDERSTAND_OTHER_TXT` required</t>
        </is>
      </c>
      <c r="C335" s="10" t="inlineStr">
        <is>
          <t>HARD</t>
        </is>
      </c>
    </row>
    <row r="336">
      <c r="A336" s="9" t="inlineStr">
        <is>
          <t>Q155_GAMOT_GOT_MEDS</t>
        </is>
      </c>
      <c r="B336" s="10" t="inlineStr">
        <is>
          <t>Required when enabled, ∈ {1, 2}</t>
        </is>
      </c>
      <c r="C336" s="10" t="inlineStr">
        <is>
          <t>HARD</t>
        </is>
      </c>
    </row>
    <row r="337">
      <c r="A337" s="9" t="inlineStr">
        <is>
          <t>Q156 enabled</t>
        </is>
      </c>
      <c r="B337" s="10" t="inlineStr">
        <is>
          <t>`Q155_GAMOT_GOT_MEDS = Yes`</t>
        </is>
      </c>
      <c r="C337" s="10" t="inlineStr">
        <is>
          <t>GATE</t>
        </is>
      </c>
    </row>
    <row r="338">
      <c r="A338" s="9" t="inlineStr">
        <is>
          <t>Q156_GAMOT_MEDS_LIST</t>
        </is>
      </c>
      <c r="B338" s="10" t="inlineStr">
        <is>
          <t>Required when enabled, non-blank; ≤ 240 chars</t>
        </is>
      </c>
      <c r="C338" s="10" t="inlineStr">
        <is>
          <t>HARD</t>
        </is>
      </c>
    </row>
    <row r="339">
      <c r="A339" s="9" t="inlineStr">
        <is>
          <t>Q157 enabled</t>
        </is>
      </c>
      <c r="B339" s="10" t="inlineStr">
        <is>
          <t>`Q155_GAMOT_GOT_MEDS = Yes`</t>
        </is>
      </c>
      <c r="C339" s="10" t="inlineStr">
        <is>
          <t>GATE</t>
        </is>
      </c>
    </row>
    <row r="340">
      <c r="A340" s="9" t="inlineStr">
        <is>
          <t>Q157_WHERE_REST select-all</t>
        </is>
      </c>
      <c r="B340" s="10" t="inlineStr">
        <is>
          <t>≥ 1 option ticked when enabled</t>
        </is>
      </c>
      <c r="C340" s="10" t="inlineStr">
        <is>
          <t>HARD</t>
        </is>
      </c>
    </row>
    <row r="341">
      <c r="A341" s="9" t="inlineStr">
        <is>
          <t>Q157_WHERE_REST = 9 (Other)</t>
        </is>
      </c>
      <c r="B341" s="10" t="inlineStr">
        <is>
          <t>`Q157_WHERE_REST_OTHER_TXT` required</t>
        </is>
      </c>
      <c r="C341" s="10" t="inlineStr">
        <is>
          <t>HARD</t>
        </is>
      </c>
    </row>
    <row r="342">
      <c r="A342" s="9" t="inlineStr">
        <is>
          <t>Q158_BRAND_GEN_KNOW</t>
        </is>
      </c>
      <c r="B342" s="10" t="inlineStr">
        <is>
          <t>Required, ∈ {1, 2}</t>
        </is>
      </c>
      <c r="C342" s="10" t="inlineStr">
        <is>
          <t>HARD</t>
        </is>
      </c>
    </row>
    <row r="343">
      <c r="A343" s="9" t="inlineStr">
        <is>
          <t>Q159 enabled</t>
        </is>
      </c>
      <c r="B343" s="10" t="inlineStr">
        <is>
          <t>`Q158_BRAND_GEN_KNOW = Yes`</t>
        </is>
      </c>
      <c r="C343" s="10" t="inlineStr">
        <is>
          <t>GATE</t>
        </is>
      </c>
    </row>
    <row r="344">
      <c r="A344" s="9" t="inlineStr">
        <is>
          <t>Q159_BRAND_GEN_BOUGHT</t>
        </is>
      </c>
      <c r="B344" s="10" t="inlineStr">
        <is>
          <t>Required when enabled, ∈ {1–5}</t>
        </is>
      </c>
      <c r="C344" s="10" t="inlineStr">
        <is>
          <t>HARD</t>
        </is>
      </c>
    </row>
    <row r="345">
      <c r="A345" s="9" t="inlineStr">
        <is>
          <t>Q160 enabled</t>
        </is>
      </c>
      <c r="B345" s="10" t="inlineStr">
        <is>
          <t>`Q159_BRAND_GEN_BOUGHT ∈ {2, 3}` (Generic, or Both)</t>
        </is>
      </c>
      <c r="C345" s="10" t="inlineStr">
        <is>
          <t>GATE</t>
        </is>
      </c>
    </row>
    <row r="346">
      <c r="A346" s="9" t="inlineStr">
        <is>
          <t>Q160_WHY_GENERIC select-all</t>
        </is>
      </c>
      <c r="B346" s="10" t="inlineStr">
        <is>
          <t>≥ 1 option ticked when enabled</t>
        </is>
      </c>
      <c r="C346" s="10" t="inlineStr">
        <is>
          <t>HARD</t>
        </is>
      </c>
    </row>
    <row r="347">
      <c r="A347" s="9" t="inlineStr">
        <is>
          <t>Q160_WHY_GENERIC "I don't know" (6)</t>
        </is>
      </c>
      <c r="B347" s="10" t="inlineStr">
        <is>
          <t>Cannot be combined with any other option</t>
        </is>
      </c>
      <c r="C347" s="10" t="inlineStr">
        <is>
          <t>HARD</t>
        </is>
      </c>
    </row>
    <row r="348">
      <c r="A348" s="9" t="inlineStr">
        <is>
          <t>Q160_WHY_GENERIC = 7 (Other)</t>
        </is>
      </c>
      <c r="B348" s="10" t="inlineStr">
        <is>
          <t>`Q160_WHY_GENERIC_OTHER_TXT` required</t>
        </is>
      </c>
      <c r="C348" s="10" t="inlineStr">
        <is>
          <t>HARD</t>
        </is>
      </c>
    </row>
    <row r="349">
      <c r="A349" s="9" t="inlineStr">
        <is>
          <t>Q161 enabled</t>
        </is>
      </c>
      <c r="B349" s="10" t="inlineStr">
        <is>
          <t>`Q159_BRAND_GEN_BOUGHT ∈ {1, 3}` (Branded, or Both)</t>
        </is>
      </c>
      <c r="C349" s="10" t="inlineStr">
        <is>
          <t>GATE</t>
        </is>
      </c>
    </row>
    <row r="350">
      <c r="A350" s="9" t="inlineStr">
        <is>
          <t>Q161_WHY_BRANDED select-all</t>
        </is>
      </c>
      <c r="B350" s="10" t="inlineStr">
        <is>
          <t>≥ 1 option ticked when enabled</t>
        </is>
      </c>
      <c r="C350" s="10" t="inlineStr">
        <is>
          <t>HARD</t>
        </is>
      </c>
    </row>
    <row r="351">
      <c r="A351" s="9" t="inlineStr">
        <is>
          <t>Q161_WHY_BRANDED "I don't know" (6)</t>
        </is>
      </c>
      <c r="B351" s="10" t="inlineStr">
        <is>
          <t>Cannot be combined with any other option</t>
        </is>
      </c>
      <c r="C351" s="10" t="inlineStr">
        <is>
          <t>HARD</t>
        </is>
      </c>
    </row>
    <row r="352">
      <c r="A352" s="9" t="inlineStr">
        <is>
          <t>Q161_WHY_BRANDED = 7 (Other)</t>
        </is>
      </c>
      <c r="B352" s="10" t="inlineStr">
        <is>
          <t>`Q161_WHY_BRANDED_OTHER_TXT` required</t>
        </is>
      </c>
      <c r="C352" s="10" t="inlineStr">
        <is>
          <t>HARD</t>
        </is>
      </c>
    </row>
    <row r="353">
      <c r="A353" s="9" t="inlineStr">
        <is>
          <t>Q162_REFERRED</t>
        </is>
      </c>
      <c r="B353" s="10" t="inlineStr">
        <is>
          <t>Required, ∈ {1, 2}; if = No → terminate with `ENUM_RESULT = Completed`</t>
        </is>
      </c>
      <c r="C353" s="10" t="inlineStr">
        <is>
          <t>HARD</t>
        </is>
      </c>
    </row>
    <row r="354">
      <c r="A354" s="9" t="inlineStr">
        <is>
          <t>Q163–Q168 enabled</t>
        </is>
      </c>
      <c r="B354" s="10" t="inlineStr">
        <is>
          <t>`Q162_REFERRED = Yes`</t>
        </is>
      </c>
      <c r="C354" s="10" t="inlineStr">
        <is>
          <t>GATE</t>
        </is>
      </c>
    </row>
    <row r="355">
      <c r="A355" s="9" t="inlineStr">
        <is>
          <t>Q163_CARE_TYPE select-all</t>
        </is>
      </c>
      <c r="B355" s="10" t="inlineStr">
        <is>
          <t>≥ 1 option ticked when enabled</t>
        </is>
      </c>
      <c r="C355" s="10" t="inlineStr">
        <is>
          <t>HARD</t>
        </is>
      </c>
    </row>
    <row r="356">
      <c r="A356" s="9" t="inlineStr">
        <is>
          <t>Q163_CARE_TYPE "None of the above" (11)</t>
        </is>
      </c>
      <c r="B356" s="10" t="inlineStr">
        <is>
          <t>Cannot be combined with any other option</t>
        </is>
      </c>
      <c r="C356" s="10" t="inlineStr">
        <is>
          <t>HARD</t>
        </is>
      </c>
    </row>
    <row r="357">
      <c r="A357" s="9" t="inlineStr">
        <is>
          <t>Q163_CARE_TYPE = 12 (Other)</t>
        </is>
      </c>
      <c r="B357" s="10" t="inlineStr">
        <is>
          <t>`Q163_CARE_TYPE_OTHER_TXT` required</t>
        </is>
      </c>
      <c r="C357" s="10" t="inlineStr">
        <is>
          <t>HARD</t>
        </is>
      </c>
    </row>
    <row r="358">
      <c r="A358" s="9" t="inlineStr">
        <is>
          <t>Q164_SPECIALIST</t>
        </is>
      </c>
      <c r="B358" s="10" t="inlineStr">
        <is>
          <t>Required when enabled, ∈ {01–23}</t>
        </is>
      </c>
      <c r="C358" s="10" t="inlineStr">
        <is>
          <t>HARD</t>
        </is>
      </c>
    </row>
    <row r="359">
      <c r="A359" s="9" t="inlineStr">
        <is>
          <t>Q164_SPECIALIST = 23 (Other)</t>
        </is>
      </c>
      <c r="B359" s="10" t="inlineStr">
        <is>
          <t>`Q164_SPECIALIST_OTHER_TXT` required</t>
        </is>
      </c>
      <c r="C359" s="10" t="inlineStr">
        <is>
          <t>HARD</t>
        </is>
      </c>
    </row>
    <row r="360">
      <c r="A360" s="9" t="inlineStr">
        <is>
          <t>Q165_HOW_REFERRED</t>
        </is>
      </c>
      <c r="B360" s="10" t="inlineStr">
        <is>
          <t>Required when enabled, ∈ {1–5}</t>
        </is>
      </c>
      <c r="C360" s="10" t="inlineStr">
        <is>
          <t>HARD</t>
        </is>
      </c>
    </row>
    <row r="361">
      <c r="A361" s="9" t="inlineStr">
        <is>
          <t>Q165_HOW_REFERRED = 5 (Other)</t>
        </is>
      </c>
      <c r="B361" s="10" t="inlineStr">
        <is>
          <t>`Q165_HOW_REFERRED_OTHER_TXT` required</t>
        </is>
      </c>
      <c r="C361" s="10" t="inlineStr">
        <is>
          <t>HARD</t>
        </is>
      </c>
    </row>
    <row r="362">
      <c r="A362" s="9" t="inlineStr">
        <is>
          <t>Q166_DISCUSSED_OPTIONS, Q167_HELPED_APPT, Q168_WROTE_INFO</t>
        </is>
      </c>
      <c r="B362" s="10" t="inlineStr">
        <is>
          <t>Required when enabled, ∈ {1, 2}</t>
        </is>
      </c>
      <c r="C362" s="10" t="inlineStr">
        <is>
          <t>HARD</t>
        </is>
      </c>
    </row>
    <row r="363">
      <c r="A363" s="9" t="inlineStr">
        <is>
          <t>Q169_VISITED</t>
        </is>
      </c>
      <c r="B363" s="10" t="inlineStr">
        <is>
          <t>Required when enabled, ∈ {1, 2, 3}</t>
        </is>
      </c>
      <c r="C363" s="10" t="inlineStr">
        <is>
          <t>HARD</t>
        </is>
      </c>
    </row>
    <row r="364">
      <c r="A364" s="9" t="inlineStr">
        <is>
          <t>Q170 enabled</t>
        </is>
      </c>
      <c r="B364" s="10" t="inlineStr">
        <is>
          <t>`Q169_VISITED = Yes` (1)</t>
        </is>
      </c>
      <c r="C364" s="10" t="inlineStr">
        <is>
          <t>GATE</t>
        </is>
      </c>
    </row>
    <row r="365">
      <c r="A365" s="9" t="inlineStr">
        <is>
          <t>Q170_FOLLOWUP</t>
        </is>
      </c>
      <c r="B365" s="10" t="inlineStr">
        <is>
          <t>Required when enabled, ∈ {1, 2}</t>
        </is>
      </c>
      <c r="C365" s="10" t="inlineStr">
        <is>
          <t>HARD</t>
        </is>
      </c>
    </row>
    <row r="366">
      <c r="A366" s="9" t="inlineStr">
        <is>
          <t>Q171 enabled</t>
        </is>
      </c>
      <c r="B366" s="10" t="inlineStr">
        <is>
          <t>`Q169_VISITED ∈ {2, 3}` (not planning / not yet)</t>
        </is>
      </c>
      <c r="C366" s="10" t="inlineStr">
        <is>
          <t>GATE</t>
        </is>
      </c>
    </row>
    <row r="367">
      <c r="A367" s="9" t="inlineStr">
        <is>
          <t>Q171_WHY_NOT select-all</t>
        </is>
      </c>
      <c r="B367" s="10" t="inlineStr">
        <is>
          <t>≥ 1 option ticked when enabled</t>
        </is>
      </c>
      <c r="C367" s="10" t="inlineStr">
        <is>
          <t>HARD</t>
        </is>
      </c>
    </row>
    <row r="368">
      <c r="A368" s="9" t="inlineStr">
        <is>
          <t>Q171_WHY_NOT = 7 (Other)</t>
        </is>
      </c>
      <c r="B368" s="10" t="inlineStr">
        <is>
          <t>`Q171_WHY_NOT_OTHER_TXT` required</t>
        </is>
      </c>
      <c r="C368" s="10" t="inlineStr">
        <is>
          <t>HARD</t>
        </is>
      </c>
    </row>
    <row r="369">
      <c r="A369" s="9" t="inlineStr">
        <is>
          <t>Q172_PCP_REFERRAL</t>
        </is>
      </c>
      <c r="B369" s="10" t="inlineStr">
        <is>
          <t>Required when enabled (i.e., Q162 = Yes), ∈ {1, 2}</t>
        </is>
      </c>
      <c r="C369" s="10" t="inlineStr">
        <is>
          <t>HARD</t>
        </is>
      </c>
    </row>
    <row r="370">
      <c r="A370" s="9" t="inlineStr">
        <is>
          <t>Q173–Q176 enabled</t>
        </is>
      </c>
      <c r="B370" s="10" t="inlineStr">
        <is>
          <t>`Q172_PCP_REFERRAL = Yes`</t>
        </is>
      </c>
      <c r="C370" s="10" t="inlineStr">
        <is>
          <t>GATE</t>
        </is>
      </c>
    </row>
    <row r="371">
      <c r="A371" s="9" t="inlineStr">
        <is>
          <t>Q173_PCP_KNOWS</t>
        </is>
      </c>
      <c r="B371" s="10" t="inlineStr">
        <is>
          <t>Required when enabled, ∈ {1, 2, 3}</t>
        </is>
      </c>
      <c r="C371" s="10" t="inlineStr">
        <is>
          <t>HARD</t>
        </is>
      </c>
    </row>
    <row r="372">
      <c r="A372" s="9" t="inlineStr">
        <is>
          <t>Q174_PCP_DISCUSSED, Q175_PCP_HELPED_APPT, Q176_PCP_WROTE_INFO</t>
        </is>
      </c>
      <c r="B372" s="10" t="inlineStr">
        <is>
          <t>Required when enabled, ∈ {1, 2}</t>
        </is>
      </c>
      <c r="C372" s="10" t="inlineStr">
        <is>
          <t>HARD</t>
        </is>
      </c>
    </row>
    <row r="373">
      <c r="A373" s="9" t="inlineStr">
        <is>
          <t>Q177 enabled</t>
        </is>
      </c>
      <c r="B373" s="10" t="inlineStr">
        <is>
          <t>`Q172_PCP_REFERRAL = No`</t>
        </is>
      </c>
      <c r="C373" s="10" t="inlineStr">
        <is>
          <t>GATE</t>
        </is>
      </c>
    </row>
    <row r="374">
      <c r="A374" s="9" t="inlineStr">
        <is>
          <t>Q177_WHY_HOSPITAL select-all</t>
        </is>
      </c>
      <c r="B374" s="10" t="inlineStr">
        <is>
          <t>≥ 1 option ticked when enabled</t>
        </is>
      </c>
      <c r="C374" s="10" t="inlineStr">
        <is>
          <t>HARD</t>
        </is>
      </c>
    </row>
    <row r="375">
      <c r="A375" s="9" t="inlineStr">
        <is>
          <t>Q177_WHY_HOSPITAL "I don't know" (09)</t>
        </is>
      </c>
      <c r="B375" s="10" t="inlineStr">
        <is>
          <t>Cannot be combined with any other option</t>
        </is>
      </c>
      <c r="C375" s="10" t="inlineStr">
        <is>
          <t>HARD</t>
        </is>
      </c>
    </row>
    <row r="376">
      <c r="A376" s="9" t="inlineStr">
        <is>
          <t>Q177_WHY_HOSPITAL = 10 (Other)</t>
        </is>
      </c>
      <c r="B376" s="10" t="inlineStr">
        <is>
          <t>`Q177_WHY_HOSPITAL_OTHER_TXT` required</t>
        </is>
      </c>
      <c r="C376" s="10" t="inlineStr">
        <is>
          <t>HARD</t>
        </is>
      </c>
    </row>
    <row r="377">
      <c r="A377" s="9" t="inlineStr">
        <is>
          <t>Q178_SAT_REFERRAL</t>
        </is>
      </c>
      <c r="B377" s="10" t="inlineStr">
        <is>
          <t>Required (asked for all Q162 = Yes respondents), ∈ {1–6}</t>
        </is>
      </c>
      <c r="C377" s="10" t="inlineStr">
        <is>
          <t>HARD</t>
        </is>
      </c>
    </row>
    <row r="378">
      <c r="A378" s="9" t="inlineStr">
        <is>
          <t>Q178 = 6 (Not applicable) consistency</t>
        </is>
      </c>
      <c r="B378" s="10" t="inlineStr">
        <is>
          <t>If `Q169 = Yes` (did visit), Q178 ≠ 6 — warn</t>
        </is>
      </c>
      <c r="C378" s="10" t="inlineStr">
        <is>
          <t>SOFT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2026-07-22T01:19:48Z</dcterms:created>
  <dcterms:modified xmlns:dcterms="http://purl.org/dc/terms/" xmlns:xsi="http://www.w3.org/2001/XMLSchema-instance" xsi:type="dcterms:W3CDTF">2026-07-22T01:19:48Z</dcterms:modified>
</cp:coreProperties>
</file>