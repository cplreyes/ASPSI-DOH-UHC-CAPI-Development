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ariables" sheetId="2" state="visible" r:id="rId2"/>
    <sheet xmlns:r="http://schemas.openxmlformats.org/officeDocument/2006/relationships" name="Validation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04D2C"/>
      <sz val="16"/>
    </font>
    <font>
      <b val="1"/>
      <color rgb="00006B3F"/>
      <sz val="14"/>
    </font>
    <font>
      <color rgb="001C2B25"/>
      <sz val="10"/>
    </font>
    <font>
      <b val="1"/>
      <color rgb="001C2B25"/>
      <sz val="11"/>
    </font>
    <font>
      <b val="1"/>
      <color rgb="00006B3F"/>
      <sz val="12"/>
    </font>
    <font>
      <b val="1"/>
      <color rgb="00FFFFFF"/>
      <sz val="10"/>
    </font>
    <font>
      <name val="Consolas"/>
      <sz val="9"/>
    </font>
    <font>
      <name val="Calibri"/>
      <sz val="9"/>
    </font>
  </fonts>
  <fills count="4">
    <fill>
      <patternFill/>
    </fill>
    <fill>
      <patternFill patternType="gray125"/>
    </fill>
    <fill>
      <patternFill patternType="solid">
        <fgColor rgb="00006B3F"/>
      </patternFill>
    </fill>
    <fill>
      <patternFill patternType="solid">
        <fgColor rgb="00EEF3F0"/>
      </patternFill>
    </fill>
  </fills>
  <borders count="2">
    <border>
      <left/>
      <right/>
      <top/>
      <bottom/>
      <diagonal/>
    </border>
    <border>
      <left style="thin">
        <color rgb="00B7C4BD"/>
      </left>
      <right style="thin">
        <color rgb="00B7C4BD"/>
      </right>
      <top style="thin">
        <color rgb="00B7C4BD"/>
      </top>
      <bottom style="thin">
        <color rgb="00B7C4B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3" borderId="1" applyAlignment="1" pivotButton="0" quotePrefix="0" xfId="0">
      <alignment vertical="top"/>
    </xf>
    <xf numFmtId="0" fontId="8" fillId="3"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c r="A1" s="1" t="inlineStr">
        <is>
          <t>UHC Survey Year 2 — Official Codebook</t>
        </is>
      </c>
    </row>
    <row r="2">
      <c r="A2" s="2" t="inlineStr">
        <is>
          <t>F1 — Facility Head Survey</t>
        </is>
      </c>
    </row>
    <row r="3">
      <c r="A3" s="3" t="inlineStr"/>
    </row>
    <row r="4">
      <c r="A4" s="4" t="inlineStr">
        <is>
          <t>Version: v1.1.4 (2026-07-19)</t>
        </is>
      </c>
    </row>
    <row r="5">
      <c r="A5" s="3" t="inlineStr">
        <is>
          <t>Generated: 2026-07-22 01:19 UTC — regenerated from the build artifacts every release; never hand-edited.</t>
        </is>
      </c>
    </row>
    <row r="6">
      <c r="A6" s="3" t="inlineStr">
        <is>
          <t>Sources: FacilityHeadSurvey.dcf · FacilityHeadSurvey.ent.qsf (EN) · F1-Skip-Logic-and-Validations.md · versions.json</t>
        </is>
      </c>
    </row>
    <row r="7">
      <c r="A7" s="3" t="inlineStr"/>
    </row>
    <row r="8">
      <c r="A8" s="4" t="inlineStr">
        <is>
          <t>Variables documented: 316</t>
        </is>
      </c>
    </row>
    <row r="9">
      <c r="A9" s="3" t="inlineStr"/>
    </row>
    <row r="10">
      <c r="A10" s="5" t="inlineStr">
        <is>
          <t>Conventions</t>
        </is>
      </c>
    </row>
    <row r="11">
      <c r="A11" s="3" t="inlineStr">
        <is>
          <t>Values in the datasets are RAW stored codes; this codebook is the labeling truth.</t>
        </is>
      </c>
    </row>
    <row r="12">
      <c r="A12" s="3" t="inlineStr">
        <is>
          <t>Missing-value conventions (Shared Codebook v0.8 / tracker #743):</t>
        </is>
      </c>
    </row>
    <row r="13">
      <c r="A13" s="3" t="inlineStr">
        <is>
          <t xml:space="preserve">  categorical items: 8 / 98 = Don't know · 9 / 99 = Refused (per value set)</t>
        </is>
      </c>
    </row>
    <row r="14">
      <c r="A14" s="3" t="inlineStr">
        <is>
          <t xml:space="preserve">  amount/continuous items: -98 = Don't know · -99 = Refused (negative sentinels)</t>
        </is>
      </c>
    </row>
    <row r="15">
      <c r="A15" s="3" t="inlineStr">
        <is>
          <t xml:space="preserve">  harmonized Stata output maps these to .c (DK), .b (Refused), .a (skip-logic NOTAPPL)</t>
        </is>
      </c>
    </row>
    <row r="16">
      <c r="A16" s="3" t="inlineStr">
        <is>
          <t>questionnaire_number is a 12-digit string key (RR-PP-MMM-FF-CCC); breakout exports</t>
        </is>
      </c>
    </row>
    <row r="17">
      <c r="A17" s="3" t="inlineStr">
        <is>
          <t xml:space="preserve">  may drop a leading region zero — restore by zero-filling to 12.</t>
        </is>
      </c>
    </row>
    <row r="18">
      <c r="A18" s="3" t="inlineStr">
        <is>
          <t>Skip logic: 'Universe / applicability' = who is asked (derived from the Skip-Logic</t>
        </is>
      </c>
    </row>
    <row r="19">
      <c r="A19" s="3" t="inlineStr">
        <is>
          <t xml:space="preserve">  spec); outbound routing shown on the variable that triggers it. Executable truth</t>
        </is>
      </c>
    </row>
    <row r="20">
      <c r="A20" s="3" t="inlineStr">
        <is>
          <t xml:space="preserve">  stays in the instrument logic (.apc).</t>
        </is>
      </c>
    </row>
    <row r="21">
      <c r="A21" s="3" t="inlineStr">
        <is>
          <t>Validation &amp; editing: per-variable rules in 'Validation rules' + the Validations</t>
        </is>
      </c>
    </row>
    <row r="22">
      <c r="A22" s="3" t="inlineStr">
        <is>
          <t xml:space="preserve">  sheet (HARD = block save, SOFT = warn-and-confirm, GATE = display-only) — maps to</t>
        </is>
      </c>
    </row>
    <row r="23">
      <c r="A23" s="3" t="inlineStr">
        <is>
          <t xml:space="preserve">  DDI's data-editing/cleanOps element at dissemination.</t>
        </is>
      </c>
    </row>
    <row r="24">
      <c r="A24" s="3" t="inlineStr">
        <is>
          <t>DDI mapping: Variable→var/@name · Label→var/labl · Question→var/qstn ·</t>
        </is>
      </c>
    </row>
    <row r="25">
      <c r="A25" s="3" t="inlineStr">
        <is>
          <t xml:space="preserve">  Universe→var/universe · Values→var/catgry · Special codes→missing ·</t>
        </is>
      </c>
    </row>
    <row r="26">
      <c r="A26" s="3" t="inlineStr">
        <is>
          <t xml:space="preserve">  packaged as DDI 2.5 at dissemination.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7"/>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46" customWidth="1" min="3" max="3"/>
    <col width="36" customWidth="1" min="4" max="4"/>
    <col width="36" customWidth="1" min="5" max="5"/>
    <col width="20" customWidth="1" min="6" max="6"/>
    <col width="11" customWidth="1" min="7" max="7"/>
    <col width="40" customWidth="1" min="8" max="8"/>
    <col width="24" customWidth="1" min="9" max="9"/>
    <col width="42" customWidth="1" min="10" max="10"/>
  </cols>
  <sheetData>
    <row r="1">
      <c r="A1" s="6" t="inlineStr">
        <is>
          <t>Variable</t>
        </is>
      </c>
      <c r="B1" s="6" t="inlineStr">
        <is>
          <t>Label</t>
        </is>
      </c>
      <c r="C1" s="6" t="inlineStr">
        <is>
          <t>Question (EN, literal)</t>
        </is>
      </c>
      <c r="D1" s="6" t="inlineStr">
        <is>
          <t>Universe / applicability</t>
        </is>
      </c>
      <c r="E1" s="6" t="inlineStr">
        <is>
          <t>Skip / routing (outbound)</t>
        </is>
      </c>
      <c r="F1" s="6" t="inlineStr">
        <is>
          <t>Record / Roster</t>
        </is>
      </c>
      <c r="G1" s="6" t="inlineStr">
        <is>
          <t>Type</t>
        </is>
      </c>
      <c r="H1" s="6" t="inlineStr">
        <is>
          <t>Values &amp; categories</t>
        </is>
      </c>
      <c r="I1" s="6" t="inlineStr">
        <is>
          <t>Special codes (DK/Refused)</t>
        </is>
      </c>
      <c r="J1" s="6" t="inlineStr">
        <is>
          <t>Validation rules (CAPI-enforced)</t>
        </is>
      </c>
    </row>
    <row r="2">
      <c r="A2" s="7" t="inlineStr">
        <is>
          <t>questionnaire_number</t>
        </is>
      </c>
      <c r="B2" s="8" t="inlineStr">
        <is>
          <t>Questionnaire Number (12-digit: RR-PP-MMM-FF-CCC)</t>
        </is>
      </c>
      <c r="C2" s="8" t="inlineStr">
        <is>
          <t>Build: F1 v1.1.4 (2026-07-19)</t>
        </is>
      </c>
      <c r="D2" s="8" t="inlineStr"/>
      <c r="E2" s="8" t="inlineStr"/>
      <c r="F2" s="8" t="inlineStr">
        <is>
          <t>Case identifiers</t>
        </is>
      </c>
      <c r="G2" s="8" t="inlineStr">
        <is>
          <t>numeric 12</t>
        </is>
      </c>
      <c r="H2" s="8" t="inlineStr"/>
      <c r="I2" s="8" t="inlineStr"/>
      <c r="J2" s="8" t="inlineStr"/>
    </row>
    <row r="3">
      <c r="A3" s="9" t="inlineStr">
        <is>
          <t>survey_team_leader_s_name</t>
        </is>
      </c>
      <c r="B3" s="10" t="inlineStr">
        <is>
          <t>Survey Team Leader's Name</t>
        </is>
      </c>
      <c r="C3" s="10" t="inlineStr">
        <is>
          <t>Survey Team Leader's Name</t>
        </is>
      </c>
      <c r="D3" s="10" t="inlineStr"/>
      <c r="E3" s="10" t="inlineStr"/>
      <c r="F3" s="10" t="inlineStr">
        <is>
          <t>Field Control</t>
        </is>
      </c>
      <c r="G3" s="10" t="inlineStr">
        <is>
          <t>alpha 50</t>
        </is>
      </c>
      <c r="H3" s="10" t="inlineStr"/>
      <c r="I3" s="10" t="inlineStr"/>
      <c r="J3" s="10" t="inlineStr"/>
    </row>
    <row r="4">
      <c r="A4" s="7" t="inlineStr">
        <is>
          <t>enumerator_s_name</t>
        </is>
      </c>
      <c r="B4" s="8" t="inlineStr">
        <is>
          <t>Enumerator's Name</t>
        </is>
      </c>
      <c r="C4" s="8" t="inlineStr">
        <is>
          <t>Enumerator's Name</t>
        </is>
      </c>
      <c r="D4" s="8" t="inlineStr"/>
      <c r="E4" s="8" t="inlineStr"/>
      <c r="F4" s="8" t="inlineStr">
        <is>
          <t>Field Control</t>
        </is>
      </c>
      <c r="G4" s="8" t="inlineStr">
        <is>
          <t>alpha 50</t>
        </is>
      </c>
      <c r="H4" s="8" t="inlineStr"/>
      <c r="I4" s="8" t="inlineStr"/>
      <c r="J4" s="8" t="inlineStr"/>
    </row>
    <row r="5">
      <c r="A5" s="9" t="inlineStr">
        <is>
          <t>field_validated_by</t>
        </is>
      </c>
      <c r="B5" s="10" t="inlineStr">
        <is>
          <t>Field Validated by</t>
        </is>
      </c>
      <c r="C5" s="10" t="inlineStr">
        <is>
          <t>Field Validated by</t>
        </is>
      </c>
      <c r="D5" s="10" t="inlineStr"/>
      <c r="E5" s="10" t="inlineStr"/>
      <c r="F5" s="10" t="inlineStr">
        <is>
          <t>Field Control</t>
        </is>
      </c>
      <c r="G5" s="10" t="inlineStr">
        <is>
          <t>alpha 50</t>
        </is>
      </c>
      <c r="H5" s="10" t="inlineStr"/>
      <c r="I5" s="10" t="inlineStr"/>
      <c r="J5" s="10" t="inlineStr"/>
    </row>
    <row r="6">
      <c r="A6" s="7" t="inlineStr">
        <is>
          <t>field_edited_by</t>
        </is>
      </c>
      <c r="B6" s="8" t="inlineStr">
        <is>
          <t>Field Edited by</t>
        </is>
      </c>
      <c r="C6" s="8" t="inlineStr">
        <is>
          <t>Field Edited by</t>
        </is>
      </c>
      <c r="D6" s="8" t="inlineStr"/>
      <c r="E6" s="8" t="inlineStr"/>
      <c r="F6" s="8" t="inlineStr">
        <is>
          <t>Field Control</t>
        </is>
      </c>
      <c r="G6" s="8" t="inlineStr">
        <is>
          <t>alpha 50</t>
        </is>
      </c>
      <c r="H6" s="8" t="inlineStr"/>
      <c r="I6" s="8" t="inlineStr"/>
      <c r="J6" s="8" t="inlineStr"/>
    </row>
    <row r="7">
      <c r="A7" s="9" t="inlineStr">
        <is>
          <t>date_first_visited_the_facility</t>
        </is>
      </c>
      <c r="B7" s="10" t="inlineStr">
        <is>
          <t>Date First Visited the Facility (YYYYMMDD)</t>
        </is>
      </c>
      <c r="C7" s="10" t="inlineStr">
        <is>
          <t>Date First Visited the Facility (YYYYMMDD)</t>
        </is>
      </c>
      <c r="D7" s="10" t="inlineStr"/>
      <c r="E7" s="10" t="inlineStr"/>
      <c r="F7" s="10" t="inlineStr">
        <is>
          <t>Field Control</t>
        </is>
      </c>
      <c r="G7" s="10" t="inlineStr">
        <is>
          <t>numeric 8</t>
        </is>
      </c>
      <c r="H7" s="10" t="inlineStr"/>
      <c r="I7" s="10" t="inlineStr"/>
      <c r="J7" s="10" t="inlineStr">
        <is>
          <t>[HARD] Valid date (YYYYMMDD); `20260101 ≤ d ≤ today + 1`</t>
        </is>
      </c>
    </row>
    <row r="8">
      <c r="A8" s="7" t="inlineStr">
        <is>
          <t>date_of_final_visit_to_the_facility</t>
        </is>
      </c>
      <c r="B8" s="8" t="inlineStr">
        <is>
          <t>Date of Final Visit to the Facility (YYYYMMDD)</t>
        </is>
      </c>
      <c r="C8" s="8" t="inlineStr">
        <is>
          <t>Date of Final Visit to the Facility (YYYYMMDD)</t>
        </is>
      </c>
      <c r="D8" s="8" t="inlineStr"/>
      <c r="E8" s="8" t="inlineStr"/>
      <c r="F8" s="8" t="inlineStr">
        <is>
          <t>Field Control</t>
        </is>
      </c>
      <c r="G8" s="8" t="inlineStr">
        <is>
          <t>numeric 8</t>
        </is>
      </c>
      <c r="H8" s="8" t="inlineStr"/>
      <c r="I8" s="8" t="inlineStr"/>
      <c r="J8" s="8" t="inlineStr">
        <is>
          <t>[HARD] Valid date; `≥ DATE_FIRST_VISITED_THE_FACILITY`; `≤ today + 1`</t>
        </is>
      </c>
    </row>
    <row r="9">
      <c r="A9" s="9" t="inlineStr">
        <is>
          <t>total_number_of_visits</t>
        </is>
      </c>
      <c r="B9" s="10" t="inlineStr">
        <is>
          <t>Total Number of Visits</t>
        </is>
      </c>
      <c r="C9" s="10" t="inlineStr">
        <is>
          <t>Total Number of Visits</t>
        </is>
      </c>
      <c r="D9" s="10" t="inlineStr"/>
      <c r="E9" s="10" t="inlineStr"/>
      <c r="F9" s="10" t="inlineStr">
        <is>
          <t>Field Control</t>
        </is>
      </c>
      <c r="G9" s="10" t="inlineStr">
        <is>
          <t>numeric 3</t>
        </is>
      </c>
      <c r="H9" s="10" t="inlineStr"/>
      <c r="I9" s="10" t="inlineStr"/>
      <c r="J9" s="10" t="inlineStr">
        <is>
          <t>[HARD] `≥ 1` when `ENUM_RESULT_FIRST_VISIT` or `ENUM_RESULT_FINAL_VISIT = Completed`</t>
        </is>
      </c>
    </row>
    <row r="10">
      <c r="A10" s="7" t="inlineStr">
        <is>
          <t>enum_result_first_visit</t>
        </is>
      </c>
      <c r="B10" s="8" t="inlineStr">
        <is>
          <t>Result of First Visit</t>
        </is>
      </c>
      <c r="C10" s="8" t="inlineStr">
        <is>
          <t>Result of First Visit</t>
        </is>
      </c>
      <c r="D10" s="8" t="inlineStr"/>
      <c r="E10" s="8" t="inlineStr"/>
      <c r="F10" s="8" t="inlineStr">
        <is>
          <t>Field Control</t>
        </is>
      </c>
      <c r="G10" s="8" t="inlineStr">
        <is>
          <t>numeric 1</t>
        </is>
      </c>
      <c r="H10" s="8" t="inlineStr">
        <is>
          <t>1 = Completed
2 = Postponed
4 = Incomplete
5 = Replaced</t>
        </is>
      </c>
      <c r="I10" s="8" t="inlineStr">
        <is>
          <t>3 = Refused</t>
        </is>
      </c>
      <c r="J10" s="8" t="inlineStr"/>
    </row>
    <row r="11">
      <c r="A11" s="9" t="inlineStr">
        <is>
          <t>enum_result_final_visit</t>
        </is>
      </c>
      <c r="B11" s="10" t="inlineStr">
        <is>
          <t>Result of Final Visit</t>
        </is>
      </c>
      <c r="C11" s="10" t="inlineStr">
        <is>
          <t>Result of Final Visit</t>
        </is>
      </c>
      <c r="D11" s="10" t="inlineStr"/>
      <c r="E11" s="10" t="inlineStr"/>
      <c r="F11" s="10" t="inlineStr">
        <is>
          <t>Field Control</t>
        </is>
      </c>
      <c r="G11" s="10" t="inlineStr">
        <is>
          <t>numeric 1</t>
        </is>
      </c>
      <c r="H11" s="10" t="inlineStr">
        <is>
          <t>1 = Completed
2 = Postponed
4 = Incomplete
5 = Replaced</t>
        </is>
      </c>
      <c r="I11" s="10" t="inlineStr">
        <is>
          <t>3 = Refused</t>
        </is>
      </c>
      <c r="J11" s="10" t="inlineStr"/>
    </row>
    <row r="12">
      <c r="A12" s="7" t="inlineStr">
        <is>
          <t>breakoff</t>
        </is>
      </c>
      <c r="B12" s="8" t="inlineStr">
        <is>
          <t>Interview status (leave as Continue unless ending the interview early)</t>
        </is>
      </c>
      <c r="C12" s="8" t="inlineStr">
        <is>
          <t>Interview status (leave as Continue unless ending the interview early)</t>
        </is>
      </c>
      <c r="D12" s="8" t="inlineStr"/>
      <c r="E12" s="8" t="inlineStr"/>
      <c r="F12" s="8" t="inlineStr">
        <is>
          <t>Field Control</t>
        </is>
      </c>
      <c r="G12" s="8" t="inlineStr">
        <is>
          <t>numeric 1</t>
        </is>
      </c>
      <c r="H12" s="8" t="inlineStr">
        <is>
          <t>1 = Continue interview
2 = Respondent withdrew
3 = Postponed / reschedule
4 = Stop — other (incomplete)
6 = Not interviewed — not found
7 = Not interviewed — ineligible</t>
        </is>
      </c>
      <c r="I12" s="8" t="inlineStr">
        <is>
          <t>5 = Not interviewed — refused</t>
        </is>
      </c>
      <c r="J12" s="8" t="inlineStr">
        <is>
          <t>[HARD] Required; defaults to `1 — Continue interview`. If ≠ Continue → terminate; sets `ENUM_RESULT_FINAL_VISIT` (2 Withdrew → 3 Refused; 3 Postponed → 2 Postponed; 4 Stop-other → 4 Incomplete) and `CASE_DISPOSITION = 2`</t>
        </is>
      </c>
    </row>
    <row r="13">
      <c r="A13" s="9" t="inlineStr">
        <is>
          <t>case_disposition</t>
        </is>
      </c>
      <c r="B13" s="10" t="inlineStr">
        <is>
          <t>Case disposition (auto)</t>
        </is>
      </c>
      <c r="C13" s="10" t="inlineStr">
        <is>
          <t>Case disposition (auto)</t>
        </is>
      </c>
      <c r="D13" s="10" t="inlineStr"/>
      <c r="E13" s="10" t="inlineStr"/>
      <c r="F13" s="10" t="inlineStr">
        <is>
          <t>Field Control</t>
        </is>
      </c>
      <c r="G13" s="10" t="inlineStr">
        <is>
          <t>numeric 1</t>
        </is>
      </c>
      <c r="H13" s="10" t="inlineStr">
        <is>
          <t>0 = In progress
1 = Completed
2 = Partial / not completed</t>
        </is>
      </c>
      <c r="I13" s="10" t="inlineStr"/>
      <c r="J13" s="10" t="inlineStr">
        <is>
          <t>[—] Auto-written by logic, never typed: 0 In progress / 1 Completed / 2 Partial / not completed</t>
        </is>
      </c>
    </row>
    <row r="14">
      <c r="A14" s="7" t="inlineStr">
        <is>
          <t>language_used</t>
        </is>
      </c>
      <c r="B14" s="8" t="inlineStr">
        <is>
          <t>Language used for the interview</t>
        </is>
      </c>
      <c r="C14" s="8" t="inlineStr">
        <is>
          <t>Language used for the interview</t>
        </is>
      </c>
      <c r="D14" s="8" t="inlineStr"/>
      <c r="E14" s="8" t="inlineStr"/>
      <c r="F14" s="8" t="inlineStr">
        <is>
          <t>Field Control</t>
        </is>
      </c>
      <c r="G14" s="8" t="inlineStr">
        <is>
          <t>alpha 20</t>
        </is>
      </c>
      <c r="H14" s="8" t="inlineStr"/>
      <c r="I14" s="8" t="inlineStr"/>
      <c r="J14" s="8" t="inlineStr"/>
    </row>
    <row r="15">
      <c r="A15" s="9" t="inlineStr">
        <is>
          <t>region_code</t>
        </is>
      </c>
      <c r="B15" s="10" t="inlineStr">
        <is>
          <t>Region Code (PSGC)</t>
        </is>
      </c>
      <c r="C15" s="10" t="inlineStr">
        <is>
          <t>Region Code (PSGC)</t>
        </is>
      </c>
      <c r="D15" s="10" t="inlineStr"/>
      <c r="E15" s="10" t="inlineStr"/>
      <c r="F15" s="10" t="inlineStr">
        <is>
          <t>Field Control</t>
        </is>
      </c>
      <c r="G15" s="10" t="inlineStr">
        <is>
          <t>numeric 2</t>
        </is>
      </c>
      <c r="H15" s="10" t="inlineStr"/>
      <c r="I15" s="10" t="inlineStr"/>
      <c r="J15" s="10" t="inlineStr"/>
    </row>
    <row r="16">
      <c r="A16" s="7" t="inlineStr">
        <is>
          <t>province_huc_code</t>
        </is>
      </c>
      <c r="B16" s="8" t="inlineStr">
        <is>
          <t>Province / HUC Code (PSGC)</t>
        </is>
      </c>
      <c r="C16" s="8" t="inlineStr">
        <is>
          <t>Province / HUC Code (PSGC)</t>
        </is>
      </c>
      <c r="D16" s="8" t="inlineStr"/>
      <c r="E16" s="8" t="inlineStr"/>
      <c r="F16" s="8" t="inlineStr">
        <is>
          <t>Field Control</t>
        </is>
      </c>
      <c r="G16" s="8" t="inlineStr">
        <is>
          <t>numeric 2</t>
        </is>
      </c>
      <c r="H16" s="8" t="inlineStr"/>
      <c r="I16" s="8" t="inlineStr"/>
      <c r="J16" s="8" t="inlineStr"/>
    </row>
    <row r="17">
      <c r="A17" s="9" t="inlineStr">
        <is>
          <t>city_municipality_code</t>
        </is>
      </c>
      <c r="B17" s="10" t="inlineStr">
        <is>
          <t>City / Municipality Code (PSGC)</t>
        </is>
      </c>
      <c r="C17" s="10" t="inlineStr">
        <is>
          <t>City / Municipality Code (PSGC)</t>
        </is>
      </c>
      <c r="D17" s="10" t="inlineStr"/>
      <c r="E17" s="10" t="inlineStr"/>
      <c r="F17" s="10" t="inlineStr">
        <is>
          <t>Field Control</t>
        </is>
      </c>
      <c r="G17" s="10" t="inlineStr">
        <is>
          <t>numeric 3</t>
        </is>
      </c>
      <c r="H17" s="10" t="inlineStr"/>
      <c r="I17" s="10" t="inlineStr"/>
      <c r="J17" s="10" t="inlineStr"/>
    </row>
    <row r="18">
      <c r="A18" s="7" t="inlineStr">
        <is>
          <t>facility_no</t>
        </is>
      </c>
      <c r="B18" s="8" t="inlineStr">
        <is>
          <t>Facility Number (within municipality)</t>
        </is>
      </c>
      <c r="C18" s="8" t="inlineStr">
        <is>
          <t>Facility Number (within municipality)</t>
        </is>
      </c>
      <c r="D18" s="8" t="inlineStr"/>
      <c r="E18" s="8" t="inlineStr"/>
      <c r="F18" s="8" t="inlineStr">
        <is>
          <t>Field Control</t>
        </is>
      </c>
      <c r="G18" s="8" t="inlineStr">
        <is>
          <t>numeric 2</t>
        </is>
      </c>
      <c r="H18" s="8" t="inlineStr"/>
      <c r="I18" s="8" t="inlineStr"/>
      <c r="J18" s="8" t="inlineStr"/>
    </row>
    <row r="19">
      <c r="A19" s="9" t="inlineStr">
        <is>
          <t>case_seq</t>
        </is>
      </c>
      <c r="B19" s="10" t="inlineStr">
        <is>
          <t>Case Sequence (per-facility, per-instrument)</t>
        </is>
      </c>
      <c r="C19" s="10" t="inlineStr">
        <is>
          <t>Case Sequence (per-facility, per-instrument)</t>
        </is>
      </c>
      <c r="D19" s="10" t="inlineStr"/>
      <c r="E19" s="10" t="inlineStr"/>
      <c r="F19" s="10" t="inlineStr">
        <is>
          <t>Field Control</t>
        </is>
      </c>
      <c r="G19" s="10" t="inlineStr">
        <is>
          <t>numeric 3</t>
        </is>
      </c>
      <c r="H19" s="10" t="inlineStr"/>
      <c r="I19" s="10" t="inlineStr"/>
      <c r="J19" s="10" t="inlineStr"/>
    </row>
    <row r="20">
      <c r="A20" s="7" t="inlineStr">
        <is>
          <t>region_name</t>
        </is>
      </c>
      <c r="B20" s="8" t="inlineStr">
        <is>
          <t>Region (from PSGC)</t>
        </is>
      </c>
      <c r="C20" s="8" t="inlineStr">
        <is>
          <t>Region (from PSGC)</t>
        </is>
      </c>
      <c r="D20" s="8" t="inlineStr"/>
      <c r="E20" s="8" t="inlineStr"/>
      <c r="F20" s="8" t="inlineStr">
        <is>
          <t>Field Control</t>
        </is>
      </c>
      <c r="G20" s="8" t="inlineStr">
        <is>
          <t>alpha 80</t>
        </is>
      </c>
      <c r="H20" s="8" t="inlineStr"/>
      <c r="I20" s="8" t="inlineStr"/>
      <c r="J20" s="8" t="inlineStr"/>
    </row>
    <row r="21">
      <c r="A21" s="9" t="inlineStr">
        <is>
          <t>province_name</t>
        </is>
      </c>
      <c r="B21" s="10" t="inlineStr">
        <is>
          <t>Province / HUC (from PSGC)</t>
        </is>
      </c>
      <c r="C21" s="10" t="inlineStr">
        <is>
          <t>Province / HUC (from PSGC)</t>
        </is>
      </c>
      <c r="D21" s="10" t="inlineStr"/>
      <c r="E21" s="10" t="inlineStr"/>
      <c r="F21" s="10" t="inlineStr">
        <is>
          <t>Field Control</t>
        </is>
      </c>
      <c r="G21" s="10" t="inlineStr">
        <is>
          <t>alpha 80</t>
        </is>
      </c>
      <c r="H21" s="10" t="inlineStr"/>
      <c r="I21" s="10" t="inlineStr"/>
      <c r="J21" s="10" t="inlineStr"/>
    </row>
    <row r="22">
      <c r="A22" s="7" t="inlineStr">
        <is>
          <t>city_name</t>
        </is>
      </c>
      <c r="B22" s="8" t="inlineStr">
        <is>
          <t>City / Municipality (from PSGC)</t>
        </is>
      </c>
      <c r="C22" s="8" t="inlineStr">
        <is>
          <t>City / Municipality (from PSGC)</t>
        </is>
      </c>
      <c r="D22" s="8" t="inlineStr"/>
      <c r="E22" s="8" t="inlineStr"/>
      <c r="F22" s="8" t="inlineStr">
        <is>
          <t>Field Control</t>
        </is>
      </c>
      <c r="G22" s="8" t="inlineStr">
        <is>
          <t>alpha 80</t>
        </is>
      </c>
      <c r="H22" s="8" t="inlineStr"/>
      <c r="I22" s="8" t="inlineStr"/>
      <c r="J22" s="8" t="inlineStr"/>
    </row>
    <row r="23">
      <c r="A23" s="9" t="inlineStr">
        <is>
          <t>classification</t>
        </is>
      </c>
      <c r="B23" s="10" t="inlineStr">
        <is>
          <t>Classification</t>
        </is>
      </c>
      <c r="C23" s="10" t="inlineStr">
        <is>
          <t>Classification</t>
        </is>
      </c>
      <c r="D23" s="10" t="inlineStr"/>
      <c r="E23" s="10" t="inlineStr"/>
      <c r="F23" s="10" t="inlineStr">
        <is>
          <t>Health Facility and Geographic Identification</t>
        </is>
      </c>
      <c r="G23" s="10" t="inlineStr">
        <is>
          <t>numeric 1</t>
        </is>
      </c>
      <c r="H23" s="10" t="inlineStr">
        <is>
          <t>1 = UHC IS
2 = Non-UHC IS</t>
        </is>
      </c>
      <c r="I23" s="10" t="inlineStr"/>
      <c r="J23" s="10" t="inlineStr">
        <is>
          <t>[HARD] Required, non-blank; must exist in the loaded PSGC external lookup dictionaries (`shared/psgc_*.dcf`)</t>
        </is>
      </c>
    </row>
    <row r="24">
      <c r="A24" s="7" t="inlineStr">
        <is>
          <t>region</t>
        </is>
      </c>
      <c r="B24" s="8" t="inlineStr">
        <is>
          <t>Region</t>
        </is>
      </c>
      <c r="C24" s="8" t="inlineStr">
        <is>
          <t>Region</t>
        </is>
      </c>
      <c r="D24" s="8" t="inlineStr"/>
      <c r="E24" s="8" t="inlineStr"/>
      <c r="F24" s="8" t="inlineStr">
        <is>
          <t>Health Facility and Geographic Identification</t>
        </is>
      </c>
      <c r="G24" s="8" t="inlineStr">
        <is>
          <t>numeric 10</t>
        </is>
      </c>
      <c r="H24" s="8" t="inlineStr">
        <is>
          <t>0000000000 = (set at runtime)</t>
        </is>
      </c>
      <c r="I24" s="8" t="inlineStr"/>
      <c r="J24" s="8" t="inlineStr">
        <is>
          <t>[HARD] Required, non-blank; must exist in the loaded PSGC external lookup dictionaries (`shared/psgc_*.dcf`)</t>
        </is>
      </c>
    </row>
    <row r="25">
      <c r="A25" s="9" t="inlineStr">
        <is>
          <t>province_huc</t>
        </is>
      </c>
      <c r="B25" s="10" t="inlineStr">
        <is>
          <t>Province / HUC</t>
        </is>
      </c>
      <c r="C25" s="10" t="inlineStr">
        <is>
          <t>Province / HUC</t>
        </is>
      </c>
      <c r="D25" s="10" t="inlineStr"/>
      <c r="E25" s="10" t="inlineStr"/>
      <c r="F25" s="10" t="inlineStr">
        <is>
          <t>Health Facility and Geographic Identification</t>
        </is>
      </c>
      <c r="G25" s="10" t="inlineStr">
        <is>
          <t>numeric 10</t>
        </is>
      </c>
      <c r="H25" s="10" t="inlineStr">
        <is>
          <t>0000000000 = (set at runtime)</t>
        </is>
      </c>
      <c r="I25" s="10" t="inlineStr"/>
      <c r="J25" s="10" t="inlineStr">
        <is>
          <t>[HARD] Required, non-blank; must exist in the loaded PSGC external lookup dictionaries (`shared/psgc_*.dcf`)</t>
        </is>
      </c>
    </row>
    <row r="26">
      <c r="A26" s="7" t="inlineStr">
        <is>
          <t>city_municipality</t>
        </is>
      </c>
      <c r="B26" s="8" t="inlineStr">
        <is>
          <t>City / Municipality</t>
        </is>
      </c>
      <c r="C26" s="8" t="inlineStr">
        <is>
          <t>City / Municipality</t>
        </is>
      </c>
      <c r="D26" s="8" t="inlineStr"/>
      <c r="E26" s="8" t="inlineStr"/>
      <c r="F26" s="8" t="inlineStr">
        <is>
          <t>Health Facility and Geographic Identification</t>
        </is>
      </c>
      <c r="G26" s="8" t="inlineStr">
        <is>
          <t>numeric 10</t>
        </is>
      </c>
      <c r="H26" s="8" t="inlineStr">
        <is>
          <t>0000000000 = (set at runtime)</t>
        </is>
      </c>
      <c r="I26" s="8" t="inlineStr"/>
      <c r="J26" s="8" t="inlineStr">
        <is>
          <t>[HARD] Required, non-blank; must exist in the loaded PSGC external lookup dictionaries (`shared/psgc_*.dcf`)</t>
        </is>
      </c>
    </row>
    <row r="27">
      <c r="A27" s="9" t="inlineStr">
        <is>
          <t>barangay</t>
        </is>
      </c>
      <c r="B27" s="10" t="inlineStr">
        <is>
          <t>Barangay</t>
        </is>
      </c>
      <c r="C27" s="10" t="inlineStr">
        <is>
          <t>Barangay</t>
        </is>
      </c>
      <c r="D27" s="10" t="inlineStr"/>
      <c r="E27" s="10" t="inlineStr"/>
      <c r="F27" s="10" t="inlineStr">
        <is>
          <t>Health Facility and Geographic Identification</t>
        </is>
      </c>
      <c r="G27" s="10" t="inlineStr">
        <is>
          <t>numeric 10</t>
        </is>
      </c>
      <c r="H27" s="10" t="inlineStr">
        <is>
          <t>0000000000 = (set at runtime)</t>
        </is>
      </c>
      <c r="I27" s="10" t="inlineStr"/>
      <c r="J27" s="10" t="inlineStr">
        <is>
          <t>[HARD] Required, non-blank; must exist in the loaded PSGC external lookup dictionaries (`shared/psgc_*.dcf`)</t>
        </is>
      </c>
    </row>
    <row r="28">
      <c r="A28" s="7" t="inlineStr">
        <is>
          <t>facility_name</t>
        </is>
      </c>
      <c r="B28" s="8" t="inlineStr">
        <is>
          <t>Facility Name</t>
        </is>
      </c>
      <c r="C28" s="8" t="inlineStr">
        <is>
          <t>Facility Name</t>
        </is>
      </c>
      <c r="D28" s="8" t="inlineStr"/>
      <c r="E28" s="8" t="inlineStr"/>
      <c r="F28" s="8" t="inlineStr">
        <is>
          <t>Health Facility and Geographic Identification</t>
        </is>
      </c>
      <c r="G28" s="8" t="inlineStr">
        <is>
          <t>alpha 100</t>
        </is>
      </c>
      <c r="H28" s="8" t="inlineStr"/>
      <c r="I28" s="8" t="inlineStr"/>
      <c r="J28" s="8" t="inlineStr"/>
    </row>
    <row r="29">
      <c r="A29" s="9" t="inlineStr">
        <is>
          <t>facility_address</t>
        </is>
      </c>
      <c r="B29" s="10" t="inlineStr">
        <is>
          <t>Facility Address</t>
        </is>
      </c>
      <c r="C29" s="10" t="inlineStr">
        <is>
          <t>Facility Address</t>
        </is>
      </c>
      <c r="D29" s="10" t="inlineStr"/>
      <c r="E29" s="10" t="inlineStr"/>
      <c r="F29" s="10" t="inlineStr">
        <is>
          <t>Health Facility and Geographic Identification</t>
        </is>
      </c>
      <c r="G29" s="10" t="inlineStr">
        <is>
          <t>alpha 200</t>
        </is>
      </c>
      <c r="H29" s="10" t="inlineStr"/>
      <c r="I29" s="10" t="inlineStr"/>
      <c r="J29" s="10" t="inlineStr"/>
    </row>
    <row r="30">
      <c r="A30" s="7" t="inlineStr">
        <is>
          <t>facility_gps_latitude</t>
        </is>
      </c>
      <c r="B30" s="8" t="inlineStr">
        <is>
          <t>GPS Latitude</t>
        </is>
      </c>
      <c r="C30" s="8" t="inlineStr">
        <is>
          <t>GPS Latitude</t>
        </is>
      </c>
      <c r="D30" s="8" t="inlineStr"/>
      <c r="E30" s="8" t="inlineStr"/>
      <c r="F30" s="8" t="inlineStr">
        <is>
          <t>Facility GPS and Verification Photo</t>
        </is>
      </c>
      <c r="G30" s="8" t="inlineStr">
        <is>
          <t>alpha 12</t>
        </is>
      </c>
      <c r="H30" s="8" t="inlineStr"/>
      <c r="I30" s="8" t="inlineStr"/>
      <c r="J30" s="8" t="inlineStr">
        <is>
          <t>[HARD] Alpha; after capture, `tonumber()` must be in `[4.5, 21.5]` (Philippine bounding box)</t>
        </is>
      </c>
    </row>
    <row r="31">
      <c r="A31" s="9" t="inlineStr">
        <is>
          <t>facility_gps_longitude</t>
        </is>
      </c>
      <c r="B31" s="10" t="inlineStr">
        <is>
          <t>GPS Longitude</t>
        </is>
      </c>
      <c r="C31" s="10" t="inlineStr">
        <is>
          <t>GPS Longitude</t>
        </is>
      </c>
      <c r="D31" s="10" t="inlineStr"/>
      <c r="E31" s="10" t="inlineStr"/>
      <c r="F31" s="10" t="inlineStr">
        <is>
          <t>Facility GPS and Verification Photo</t>
        </is>
      </c>
      <c r="G31" s="10" t="inlineStr">
        <is>
          <t>alpha 12</t>
        </is>
      </c>
      <c r="H31" s="10" t="inlineStr"/>
      <c r="I31" s="10" t="inlineStr"/>
      <c r="J31" s="10" t="inlineStr">
        <is>
          <t>[HARD] After capture, `tonumber()` in `[116.5, 127.0]`</t>
        </is>
      </c>
    </row>
    <row r="32">
      <c r="A32" s="7" t="inlineStr">
        <is>
          <t>facility_gps_altitude</t>
        </is>
      </c>
      <c r="B32" s="8" t="inlineStr">
        <is>
          <t>GPS Altitude (m)</t>
        </is>
      </c>
      <c r="C32" s="8" t="inlineStr">
        <is>
          <t>GPS Altitude (m)</t>
        </is>
      </c>
      <c r="D32" s="8" t="inlineStr"/>
      <c r="E32" s="8" t="inlineStr"/>
      <c r="F32" s="8" t="inlineStr">
        <is>
          <t>Facility GPS and Verification Photo</t>
        </is>
      </c>
      <c r="G32" s="8" t="inlineStr">
        <is>
          <t>alpha 10</t>
        </is>
      </c>
      <c r="H32" s="8" t="inlineStr"/>
      <c r="I32" s="8" t="inlineStr"/>
      <c r="J32" s="8" t="inlineStr">
        <is>
          <t>[—] Alpha; captured from `gps(altitude)`; no bounds enforced</t>
        </is>
      </c>
    </row>
    <row r="33">
      <c r="A33" s="9" t="inlineStr">
        <is>
          <t>facility_gps_accuracy</t>
        </is>
      </c>
      <c r="B33" s="10" t="inlineStr">
        <is>
          <t>GPS Accuracy (m)</t>
        </is>
      </c>
      <c r="C33" s="10" t="inlineStr">
        <is>
          <t>GPS Accuracy (m)</t>
        </is>
      </c>
      <c r="D33" s="10" t="inlineStr"/>
      <c r="E33" s="10" t="inlineStr"/>
      <c r="F33" s="10" t="inlineStr">
        <is>
          <t>Facility GPS and Verification Photo</t>
        </is>
      </c>
      <c r="G33" s="10" t="inlineStr">
        <is>
          <t>numeric 3</t>
        </is>
      </c>
      <c r="H33" s="10" t="inlineStr"/>
      <c r="I33" s="10" t="inlineStr"/>
      <c r="J33" s="10" t="inlineStr">
        <is>
          <t>[SOFT] Numeric, metres. Warn if `&gt; 30` — re-read outdoors recommended</t>
        </is>
      </c>
    </row>
    <row r="34">
      <c r="A34" s="7" t="inlineStr">
        <is>
          <t>facility_gps_satellites</t>
        </is>
      </c>
      <c r="B34" s="8" t="inlineStr">
        <is>
          <t>GPS Satellites</t>
        </is>
      </c>
      <c r="C34" s="8" t="inlineStr">
        <is>
          <t>GPS Satellites</t>
        </is>
      </c>
      <c r="D34" s="8" t="inlineStr"/>
      <c r="E34" s="8" t="inlineStr"/>
      <c r="F34" s="8" t="inlineStr">
        <is>
          <t>Facility GPS and Verification Photo</t>
        </is>
      </c>
      <c r="G34" s="8" t="inlineStr">
        <is>
          <t>numeric 2</t>
        </is>
      </c>
      <c r="H34" s="8" t="inlineStr"/>
      <c r="I34" s="8" t="inlineStr"/>
      <c r="J34" s="8" t="inlineStr">
        <is>
          <t>[SOFT] Numeric. Warn if `&lt; 4` (fix is below minimum for reliable lat/lon)</t>
        </is>
      </c>
    </row>
    <row r="35">
      <c r="A35" s="9" t="inlineStr">
        <is>
          <t>facility_gps_readtime</t>
        </is>
      </c>
      <c r="B35" s="10" t="inlineStr">
        <is>
          <t>GPS Read Time (UTC)</t>
        </is>
      </c>
      <c r="C35" s="10" t="inlineStr">
        <is>
          <t>GPS Read Time (UTC)</t>
        </is>
      </c>
      <c r="D35" s="10" t="inlineStr"/>
      <c r="E35" s="10" t="inlineStr"/>
      <c r="F35" s="10" t="inlineStr">
        <is>
          <t>Facility GPS and Verification Photo</t>
        </is>
      </c>
      <c r="G35" s="10" t="inlineStr">
        <is>
          <t>alpha 19</t>
        </is>
      </c>
      <c r="H35" s="10" t="inlineStr"/>
      <c r="I35" s="10" t="inlineStr"/>
      <c r="J35" s="10" t="inlineStr">
        <is>
          <t>[SOFT] Alpha UTC timestamp; must parse and be within `±24 h` of `DATE_OF_FINAL_VISIT_TO_THE_FACILITY`</t>
        </is>
      </c>
    </row>
    <row r="36">
      <c r="A36" s="7" t="inlineStr">
        <is>
          <t>verification_photo_image</t>
        </is>
      </c>
      <c r="B36" s="8" t="inlineStr">
        <is>
          <t>Verification Photo (binary; syncs to CSWeb)</t>
        </is>
      </c>
      <c r="C36" s="8" t="inlineStr"/>
      <c r="D36" s="8" t="inlineStr"/>
      <c r="E36" s="8" t="inlineStr"/>
      <c r="F36" s="8" t="inlineStr">
        <is>
          <t>Facility GPS and Verification Photo</t>
        </is>
      </c>
      <c r="G36" s="8" t="inlineStr">
        <is>
          <t>image</t>
        </is>
      </c>
      <c r="H36" s="8" t="inlineStr"/>
      <c r="I36" s="8" t="inlineStr"/>
      <c r="J36" s="8" t="inlineStr"/>
    </row>
    <row r="37">
      <c r="A37" s="9" t="inlineStr">
        <is>
          <t>verification_photo_filename</t>
        </is>
      </c>
      <c r="B37" s="10" t="inlineStr">
        <is>
          <t>Verification Photo Filename</t>
        </is>
      </c>
      <c r="C37" s="10" t="inlineStr">
        <is>
          <t>Verification Photo Filename</t>
        </is>
      </c>
      <c r="D37" s="10" t="inlineStr"/>
      <c r="E37" s="10" t="inlineStr"/>
      <c r="F37" s="10" t="inlineStr">
        <is>
          <t>Facility GPS and Verification Photo</t>
        </is>
      </c>
      <c r="G37" s="10" t="inlineStr">
        <is>
          <t>alpha 120</t>
        </is>
      </c>
      <c r="H37" s="10" t="inlineStr"/>
      <c r="I37" s="10" t="inlineStr"/>
      <c r="J37" s="10" t="inlineStr">
        <is>
          <t>[HARD] Non-blank when `ENUM_RESULT_FINAL_VISIT = Completed`; 120-char alpha populated by `TakeVerificationPhoto()`</t>
        </is>
      </c>
    </row>
    <row r="38">
      <c r="A38" s="7" t="inlineStr">
        <is>
          <t>capture_verification_photo</t>
        </is>
      </c>
      <c r="B38" s="8" t="inlineStr">
        <is>
          <t>Take Verification Photo</t>
        </is>
      </c>
      <c r="C38" s="8" t="inlineStr">
        <is>
          <t>Take Verification Photo</t>
        </is>
      </c>
      <c r="D38" s="8" t="inlineStr"/>
      <c r="E38" s="8" t="inlineStr"/>
      <c r="F38" s="8" t="inlineStr">
        <is>
          <t>Facility GPS and Verification Photo</t>
        </is>
      </c>
      <c r="G38" s="8" t="inlineStr">
        <is>
          <t>numeric 1</t>
        </is>
      </c>
      <c r="H38" s="8" t="inlineStr">
        <is>
          <t>1 = Take verification photo</t>
        </is>
      </c>
      <c r="I38" s="8" t="inlineStr"/>
      <c r="J38" s="8" t="inlineStr">
        <is>
          <t>[—] Trigger; auto-resets to blank after each successful capture</t>
        </is>
      </c>
    </row>
    <row r="39">
      <c r="A39" s="9" t="inlineStr">
        <is>
          <t>resp_name</t>
        </is>
      </c>
      <c r="B39" s="10" t="inlineStr">
        <is>
          <t>Respondent name and signature</t>
        </is>
      </c>
      <c r="C39" s="10" t="inlineStr">
        <is>
          <t>Respondent name and signature</t>
        </is>
      </c>
      <c r="D39" s="10" t="inlineStr"/>
      <c r="E39" s="10" t="inlineStr"/>
      <c r="F39" s="10" t="inlineStr">
        <is>
          <t>A. Facility Head Profile</t>
        </is>
      </c>
      <c r="G39" s="10" t="inlineStr">
        <is>
          <t>alpha 80</t>
        </is>
      </c>
      <c r="H39" s="10" t="inlineStr"/>
      <c r="I39" s="10" t="inlineStr"/>
      <c r="J39" s="10" t="inlineStr"/>
    </row>
    <row r="40">
      <c r="A40" s="7" t="inlineStr">
        <is>
          <t>resp_position</t>
        </is>
      </c>
      <c r="B40" s="8" t="inlineStr">
        <is>
          <t>Respondent position / office</t>
        </is>
      </c>
      <c r="C40" s="8" t="inlineStr">
        <is>
          <t>Respondent position / office</t>
        </is>
      </c>
      <c r="D40" s="8" t="inlineStr"/>
      <c r="E40" s="8" t="inlineStr"/>
      <c r="F40" s="8" t="inlineStr">
        <is>
          <t>A. Facility Head Profile</t>
        </is>
      </c>
      <c r="G40" s="8" t="inlineStr">
        <is>
          <t>alpha 80</t>
        </is>
      </c>
      <c r="H40" s="8" t="inlineStr"/>
      <c r="I40" s="8" t="inlineStr"/>
      <c r="J40" s="8" t="inlineStr"/>
    </row>
    <row r="41">
      <c r="A41" s="9" t="inlineStr">
        <is>
          <t>resp_email</t>
        </is>
      </c>
      <c r="B41" s="10" t="inlineStr">
        <is>
          <t>Respondent email address</t>
        </is>
      </c>
      <c r="C41" s="10" t="inlineStr">
        <is>
          <t>Respondent email address</t>
        </is>
      </c>
      <c r="D41" s="10" t="inlineStr"/>
      <c r="E41" s="10" t="inlineStr"/>
      <c r="F41" s="10" t="inlineStr">
        <is>
          <t>A. Facility Head Profile</t>
        </is>
      </c>
      <c r="G41" s="10" t="inlineStr">
        <is>
          <t>alpha 60</t>
        </is>
      </c>
      <c r="H41" s="10" t="inlineStr"/>
      <c r="I41" s="10" t="inlineStr"/>
      <c r="J41" s="10" t="inlineStr"/>
    </row>
    <row r="42">
      <c r="A42" s="7" t="inlineStr">
        <is>
          <t>resp_mobile</t>
        </is>
      </c>
      <c r="B42" s="8" t="inlineStr">
        <is>
          <t>Respondent mobile number</t>
        </is>
      </c>
      <c r="C42" s="8" t="inlineStr">
        <is>
          <t>Respondent mobile number</t>
        </is>
      </c>
      <c r="D42" s="8" t="inlineStr"/>
      <c r="E42" s="8" t="inlineStr"/>
      <c r="F42" s="8" t="inlineStr">
        <is>
          <t>A. Facility Head Profile</t>
        </is>
      </c>
      <c r="G42" s="8" t="inlineStr">
        <is>
          <t>alpha 20</t>
        </is>
      </c>
      <c r="H42" s="8" t="inlineStr"/>
      <c r="I42" s="8" t="inlineStr"/>
      <c r="J42" s="8" t="inlineStr"/>
    </row>
    <row r="43">
      <c r="A43" s="9" t="inlineStr">
        <is>
          <t>q1_name</t>
        </is>
      </c>
      <c r="B43" s="10" t="inlineStr">
        <is>
          <t>1. What is your name? (Last Name, First Name, Middle Initial, Ext)</t>
        </is>
      </c>
      <c r="C43" s="10" t="inlineStr">
        <is>
          <t>We would like to ask some of your personal information relevant to the survey. 1. What is your name? (Last Name, First Name, Middle Initial, Ext)</t>
        </is>
      </c>
      <c r="D43" s="10" t="inlineStr"/>
      <c r="E43" s="10" t="inlineStr"/>
      <c r="F43" s="10" t="inlineStr">
        <is>
          <t>A. Facility Head Profile</t>
        </is>
      </c>
      <c r="G43" s="10" t="inlineStr">
        <is>
          <t>alpha 80</t>
        </is>
      </c>
      <c r="H43" s="10" t="inlineStr"/>
      <c r="I43" s="10" t="inlineStr"/>
      <c r="J43" s="10" t="inlineStr"/>
    </row>
    <row r="44">
      <c r="A44" s="7" t="inlineStr">
        <is>
          <t>q2_facility_role</t>
        </is>
      </c>
      <c r="B44" s="8" t="inlineStr">
        <is>
          <t>2. What is your official designation at this health facility?</t>
        </is>
      </c>
      <c r="C44" s="8" t="inlineStr">
        <is>
          <t>2. What is your official designation at this health facility?</t>
        </is>
      </c>
      <c r="D44" s="8" t="inlineStr"/>
      <c r="E44" s="8" t="inlineStr"/>
      <c r="F44" s="8" t="inlineStr">
        <is>
          <t>A. Facility Head Profile</t>
        </is>
      </c>
      <c r="G44" s="8" t="inlineStr">
        <is>
          <t>numeric 2</t>
        </is>
      </c>
      <c r="H44" s="8" t="inlineStr">
        <is>
          <t>1 = Rural / Urban Health Unit Head
2 = Physician
3 = Chief of Hospital
4 = Medical Director
5 = Hospital Administrator
6 = Nurse
7 = Municipal / City Health Officer
8 = Medical Officer
9 = Administrative Officer / Assistant
10 = Midwife
11 = Health Promotion / Nutrition Officer</t>
        </is>
      </c>
      <c r="I44" s="8" t="inlineStr"/>
      <c r="J44" s="8" t="inlineStr"/>
    </row>
    <row r="45">
      <c r="A45" s="9" t="inlineStr">
        <is>
          <t>q3_age</t>
        </is>
      </c>
      <c r="B45" s="10" t="inlineStr">
        <is>
          <t>3. How old are you (in years), as of your last birthday?</t>
        </is>
      </c>
      <c r="C45" s="10" t="inlineStr">
        <is>
          <t>3. How old are you (in years), as of your last birthday?</t>
        </is>
      </c>
      <c r="D45" s="10" t="inlineStr"/>
      <c r="E45" s="10" t="inlineStr"/>
      <c r="F45" s="10" t="inlineStr">
        <is>
          <t>A. Facility Head Profile</t>
        </is>
      </c>
      <c r="G45" s="10" t="inlineStr">
        <is>
          <t>numeric 2</t>
        </is>
      </c>
      <c r="H45" s="10" t="inlineStr"/>
      <c r="I45" s="10" t="inlineStr"/>
      <c r="J45" s="10" t="inlineStr">
        <is>
          <t>[HARD] `18 ≤ age ≤ 90`</t>
        </is>
      </c>
    </row>
    <row r="46">
      <c r="A46" s="7" t="inlineStr">
        <is>
          <t>q4_sex</t>
        </is>
      </c>
      <c r="B46" s="8" t="inlineStr">
        <is>
          <t>4. What is your sex assigned at birth?</t>
        </is>
      </c>
      <c r="C46" s="8" t="inlineStr">
        <is>
          <t>4. What is your sex assigned at birth?</t>
        </is>
      </c>
      <c r="D46" s="8" t="inlineStr"/>
      <c r="E46" s="8" t="inlineStr"/>
      <c r="F46" s="8" t="inlineStr">
        <is>
          <t>A. Facility Head Profile</t>
        </is>
      </c>
      <c r="G46" s="8" t="inlineStr">
        <is>
          <t>numeric 1</t>
        </is>
      </c>
      <c r="H46" s="8" t="inlineStr">
        <is>
          <t>1 = Male
2 = Female</t>
        </is>
      </c>
      <c r="I46" s="8" t="inlineStr"/>
      <c r="J46" s="8" t="inlineStr">
        <is>
          <t>[HARD] Required, ∈ {1, 2}</t>
        </is>
      </c>
    </row>
    <row r="47">
      <c r="A47" s="9" t="inlineStr">
        <is>
          <t>q5_years_at_facility</t>
        </is>
      </c>
      <c r="B47" s="10" t="inlineStr">
        <is>
          <t>5. In your current position, how many months/years have you worked at this health facility? Number of Years</t>
        </is>
      </c>
      <c r="C47" s="10" t="inlineStr">
        <is>
          <t>5. In your current position, how many months/years have you worked at this health facility? Number of Years</t>
        </is>
      </c>
      <c r="D47" s="10" t="inlineStr"/>
      <c r="E47" s="10" t="inlineStr"/>
      <c r="F47" s="10" t="inlineStr">
        <is>
          <t>A. Facility Head Profile</t>
        </is>
      </c>
      <c r="G47" s="10" t="inlineStr">
        <is>
          <t>numeric 2</t>
        </is>
      </c>
      <c r="H47" s="10" t="inlineStr"/>
      <c r="I47" s="10" t="inlineStr"/>
      <c r="J47" s="10" t="inlineStr">
        <is>
          <t>[HARD] `0 ≤ y ≤ 60`</t>
        </is>
      </c>
    </row>
    <row r="48">
      <c r="A48" s="7" t="inlineStr">
        <is>
          <t>q5_months_at_facility</t>
        </is>
      </c>
      <c r="B48" s="8" t="inlineStr">
        <is>
          <t>5. In your current position, how many months/years have you worked at this health facility? Number of Months</t>
        </is>
      </c>
      <c r="C48" s="8" t="inlineStr">
        <is>
          <t>5. In your current position, how many months/years have you worked at this health facility? Number of Months</t>
        </is>
      </c>
      <c r="D48" s="8" t="inlineStr"/>
      <c r="E48" s="8" t="inlineStr"/>
      <c r="F48" s="8" t="inlineStr">
        <is>
          <t>A. Facility Head Profile</t>
        </is>
      </c>
      <c r="G48" s="8" t="inlineStr">
        <is>
          <t>numeric 2</t>
        </is>
      </c>
      <c r="H48" s="8" t="inlineStr"/>
      <c r="I48" s="8" t="inlineStr"/>
      <c r="J48" s="8" t="inlineStr">
        <is>
          <t>[HARD] `0 ≤ m ≤ 11`</t>
        </is>
      </c>
    </row>
    <row r="49">
      <c r="A49" s="9" t="inlineStr">
        <is>
          <t>q6_years_health</t>
        </is>
      </c>
      <c r="B49" s="10" t="inlineStr">
        <is>
          <t>6. How many years have you worked in health-related position? Number of Years</t>
        </is>
      </c>
      <c r="C49" s="10" t="inlineStr">
        <is>
          <t>6. How many years have you worked in health-related position? Number of Years</t>
        </is>
      </c>
      <c r="D49" s="10" t="inlineStr"/>
      <c r="E49" s="10" t="inlineStr"/>
      <c r="F49" s="10" t="inlineStr">
        <is>
          <t>A. Facility Head Profile</t>
        </is>
      </c>
      <c r="G49" s="10" t="inlineStr">
        <is>
          <t>numeric 2</t>
        </is>
      </c>
      <c r="H49" s="10" t="inlineStr"/>
      <c r="I49" s="10" t="inlineStr"/>
      <c r="J49" s="10" t="inlineStr">
        <is>
          <t>[HARD] `0 ≤ y ≤ 70`</t>
        </is>
      </c>
    </row>
    <row r="50">
      <c r="A50" s="7" t="inlineStr">
        <is>
          <t>q6_months_health</t>
        </is>
      </c>
      <c r="B50" s="8" t="inlineStr">
        <is>
          <t>6. How many years have you worked in health-related position? Number of Months</t>
        </is>
      </c>
      <c r="C50" s="8" t="inlineStr">
        <is>
          <t>6. How many years have you worked in health-related position? Number of Months</t>
        </is>
      </c>
      <c r="D50" s="8" t="inlineStr"/>
      <c r="E50" s="8" t="inlineStr"/>
      <c r="F50" s="8" t="inlineStr">
        <is>
          <t>A. Facility Head Profile</t>
        </is>
      </c>
      <c r="G50" s="8" t="inlineStr">
        <is>
          <t>numeric 2</t>
        </is>
      </c>
      <c r="H50" s="8" t="inlineStr"/>
      <c r="I50" s="8" t="inlineStr"/>
      <c r="J50" s="8" t="inlineStr"/>
    </row>
    <row r="51">
      <c r="A51" s="9" t="inlineStr">
        <is>
          <t>q7_ownership</t>
        </is>
      </c>
      <c r="B51" s="10" t="inlineStr">
        <is>
          <t>7. What type of ownership is this hospital?</t>
        </is>
      </c>
      <c r="C51" s="10" t="inlineStr">
        <is>
          <t>Next, we will be asking questions about this health facility. 7. What type of ownership is this hospital?</t>
        </is>
      </c>
      <c r="D51" s="10" t="inlineStr"/>
      <c r="E51" s="10" t="inlineStr"/>
      <c r="F51" s="10" t="inlineStr">
        <is>
          <t>B. Facility Profile</t>
        </is>
      </c>
      <c r="G51" s="10" t="inlineStr">
        <is>
          <t>numeric 1</t>
        </is>
      </c>
      <c r="H51" s="10" t="inlineStr">
        <is>
          <t>1 = Public
2 = Private</t>
        </is>
      </c>
      <c r="I51" s="10" t="inlineStr"/>
      <c r="J51" s="10" t="inlineStr">
        <is>
          <t>[HARD] Required</t>
        </is>
      </c>
    </row>
    <row r="52">
      <c r="A52" s="7" t="inlineStr">
        <is>
          <t>q8_service_level</t>
        </is>
      </c>
      <c r="B52" s="8" t="inlineStr">
        <is>
          <t>8. What is the facility's service capacity level?</t>
        </is>
      </c>
      <c r="C52" s="8" t="inlineStr">
        <is>
          <t>8. What is the facility's service capacity level?</t>
        </is>
      </c>
      <c r="D52" s="8" t="inlineStr"/>
      <c r="E52" s="8" t="inlineStr"/>
      <c r="F52" s="8" t="inlineStr">
        <is>
          <t>B. Facility Profile</t>
        </is>
      </c>
      <c r="G52" s="8" t="inlineStr">
        <is>
          <t>numeric 1</t>
        </is>
      </c>
      <c r="H52" s="8" t="inlineStr">
        <is>
          <t>1 = Primary Care Facility
2 = Level 1 Hospital
3 = Level 2 Hospital
4 = Level 3 Hospital</t>
        </is>
      </c>
      <c r="I52" s="8" t="inlineStr"/>
      <c r="J52" s="8" t="inlineStr">
        <is>
          <t>[HARD] Required; drives Q121 / Q130 / Q132–134 gates</t>
        </is>
      </c>
    </row>
    <row r="53">
      <c r="A53" s="9" t="inlineStr">
        <is>
          <t>q9_uhc_heard</t>
        </is>
      </c>
      <c r="B53" s="10" t="inlineStr">
        <is>
          <t>9. Have you heard about Universal Health Care (UHC) prior to this survey?</t>
        </is>
      </c>
      <c r="C53" s="10" t="inlineStr">
        <is>
          <t>We will now ask about your awareness of UHC, the changes that have been implemented in this facility since the UHC Act was passed in 2019 and if these changes were a result of the UHC Act. 9. Have you heard about Universal Health Care (UHC) prior to this survey?</t>
        </is>
      </c>
      <c r="D53" s="10" t="inlineStr"/>
      <c r="E53" s="10" t="inlineStr"/>
      <c r="F53" s="10" t="inlineStr">
        <is>
          <t>C. Universal Health Care (UHC) Implementation</t>
        </is>
      </c>
      <c r="G53" s="10" t="inlineStr">
        <is>
          <t>numeric 1</t>
        </is>
      </c>
      <c r="H53" s="10" t="inlineStr">
        <is>
          <t>1 = Yes
2 = No</t>
        </is>
      </c>
      <c r="I53" s="10" t="inlineStr"/>
      <c r="J53" s="10" t="inlineStr"/>
    </row>
    <row r="54">
      <c r="A54" s="7" t="inlineStr">
        <is>
          <t>q10_has_primary_pkg</t>
        </is>
      </c>
      <c r="B54" s="8" t="inlineStr">
        <is>
          <t>10. Does the facility have primary care packages?</t>
        </is>
      </c>
      <c r="C54" s="8" t="inlineStr">
        <is>
          <t>10. Does the facility have primary care packages?</t>
        </is>
      </c>
      <c r="D54" s="8" t="inlineStr"/>
      <c r="E54" s="8">
        <f> No (2) → Q12 (skip Q11)</f>
        <v/>
      </c>
      <c r="F54" s="8" t="inlineStr">
        <is>
          <t>C. Universal Health Care (UHC) Implementation</t>
        </is>
      </c>
      <c r="G54" s="8" t="inlineStr">
        <is>
          <t>numeric 1</t>
        </is>
      </c>
      <c r="H54" s="8" t="inlineStr">
        <is>
          <t>1 = Yes
2 = No</t>
        </is>
      </c>
      <c r="I54" s="8" t="inlineStr"/>
      <c r="J54" s="8" t="inlineStr"/>
    </row>
    <row r="55">
      <c r="A55" s="9" t="inlineStr">
        <is>
          <t>q11_primary_pkg_status</t>
        </is>
      </c>
      <c r="B55" s="10" t="inlineStr">
        <is>
          <t>11. If yes, specify its implementation status relative to the UHC Act.</t>
        </is>
      </c>
      <c r="C55" s="10" t="inlineStr">
        <is>
          <t>11. If yes, specify its implementation status relative to the UHC Act.</t>
        </is>
      </c>
      <c r="D55" s="10" t="inlineStr">
        <is>
          <t>not asked when Q10 HAS_PRIMARY_PKG = No (2)</t>
        </is>
      </c>
      <c r="E55" s="10" t="inlineStr"/>
      <c r="F55" s="10" t="inlineStr">
        <is>
          <t>C. Universal Health Care (UHC) Implementation</t>
        </is>
      </c>
      <c r="G55" s="10" t="inlineStr">
        <is>
          <t>numeric 2</t>
        </is>
      </c>
      <c r="H55" s="10" t="inlineStr">
        <is>
          <t>1 = Implemented as a direct result of the UHC Act (i.e. YAKAP/Konsulta)
2 = Pre-existing prior to UHC but subsequently enhanced or expanded due to UHC Act
3 = Newly implemented or improved independent of UHC Act
4 = Not yet implemented but planned within the next 1-2 years
5 = Other (specify)</t>
        </is>
      </c>
      <c r="I55" s="10" t="inlineStr">
        <is>
          <t>8 = I don't know
9 = Not applicable</t>
        </is>
      </c>
      <c r="J55" s="10" t="inlineStr"/>
    </row>
    <row r="56">
      <c r="A56" s="7" t="inlineStr">
        <is>
          <t>q11_other_txt</t>
        </is>
      </c>
      <c r="B56" s="8" t="inlineStr">
        <is>
          <t>11. If yes, specify its implementation status relative to the UHC Act. — Other (specify) text</t>
        </is>
      </c>
      <c r="C56" s="8" t="inlineStr">
        <is>
          <t>11. If yes, specify its implementation status relative to the UHC Act. — Other (specify) text</t>
        </is>
      </c>
      <c r="D56" s="8" t="inlineStr">
        <is>
          <t>not asked when Q10 HAS_PRIMARY_PKG = No (2)</t>
        </is>
      </c>
      <c r="E56" s="8" t="inlineStr"/>
      <c r="F56" s="8" t="inlineStr">
        <is>
          <t>C. Universal Health Care (UHC) Implementation</t>
        </is>
      </c>
      <c r="G56" s="8" t="inlineStr">
        <is>
          <t>alpha 120</t>
        </is>
      </c>
      <c r="H56" s="8" t="inlineStr"/>
      <c r="I56" s="8" t="inlineStr"/>
      <c r="J56" s="8" t="inlineStr"/>
    </row>
    <row r="57">
      <c r="A57" s="9" t="inlineStr">
        <is>
          <t>q12_pcb_licensing</t>
        </is>
      </c>
      <c r="B57" s="10" t="inlineStr">
        <is>
          <t>12. Has the facility applied for DOH primary care licensing since the UHC Act was passed in 2019 and was it a result of the UHC Act?</t>
        </is>
      </c>
      <c r="C57" s="10" t="inlineStr">
        <is>
          <t>12. Has the facility applied for DOH primary care licensing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57" s="10" t="inlineStr"/>
      <c r="E57" s="10" t="inlineStr"/>
      <c r="F57" s="10" t="inlineStr">
        <is>
          <t>C. Universal Health Care (UHC) Implementation</t>
        </is>
      </c>
      <c r="G57" s="10" t="inlineStr">
        <is>
          <t>numeric 1</t>
        </is>
      </c>
      <c r="H57"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57" s="10" t="inlineStr">
        <is>
          <t>8 = I don't know
9 = Not applicable</t>
        </is>
      </c>
      <c r="J57" s="10" t="inlineStr"/>
    </row>
    <row r="58">
      <c r="A58" s="7" t="inlineStr">
        <is>
          <t>q12_pcb_licensing_yes_other_txt</t>
        </is>
      </c>
      <c r="B58" s="8" t="inlineStr">
        <is>
          <t>12. Has the facility applied for DOH primary care licensing since the UHC Act was passed in 2019 and was it a result of the UHC Act? — Yes, other (specify) text</t>
        </is>
      </c>
      <c r="C58" s="8" t="inlineStr">
        <is>
          <t>12. Has the facility applied for DOH primary care licensing since the UHC Act was passed in 2019 and was it a result of the UHC Act? — Yes, other (specify) text</t>
        </is>
      </c>
      <c r="D58" s="8" t="inlineStr"/>
      <c r="E58" s="8" t="inlineStr"/>
      <c r="F58" s="8" t="inlineStr">
        <is>
          <t>C. Universal Health Care (UHC) Implementation</t>
        </is>
      </c>
      <c r="G58" s="8" t="inlineStr">
        <is>
          <t>alpha 120</t>
        </is>
      </c>
      <c r="H58" s="8" t="inlineStr"/>
      <c r="I58" s="8" t="inlineStr"/>
      <c r="J58" s="8" t="inlineStr"/>
    </row>
    <row r="59">
      <c r="A59" s="9" t="inlineStr">
        <is>
          <t>q12_pcb_licensing_no_other_txt</t>
        </is>
      </c>
      <c r="B59" s="10" t="inlineStr">
        <is>
          <t>12. Has the facility applied for DOH primary care licensing since the UHC Act was passed in 2019 and was it a result of the UHC Act? — No, other (specify) text</t>
        </is>
      </c>
      <c r="C59" s="10" t="inlineStr">
        <is>
          <t>12. Has the facility applied for DOH primary care licensing since the UHC Act was passed in 2019 and was it a result of the UHC Act? — No, other (specify) text</t>
        </is>
      </c>
      <c r="D59" s="10" t="inlineStr"/>
      <c r="E59" s="10" t="inlineStr"/>
      <c r="F59" s="10" t="inlineStr">
        <is>
          <t>C. Universal Health Care (UHC) Implementation</t>
        </is>
      </c>
      <c r="G59" s="10" t="inlineStr">
        <is>
          <t>alpha 120</t>
        </is>
      </c>
      <c r="H59" s="10" t="inlineStr"/>
      <c r="I59" s="10" t="inlineStr"/>
      <c r="J59" s="10" t="inlineStr"/>
    </row>
    <row r="60">
      <c r="A60" s="7" t="inlineStr">
        <is>
          <t>q13_public_health_unit</t>
        </is>
      </c>
      <c r="B60" s="8" t="inlineStr">
        <is>
          <t>13. Do you have a public health unit at this facility?</t>
        </is>
      </c>
      <c r="C60" s="8" t="inlineStr">
        <is>
          <t>13. Do you have a public health unit at this facility?</t>
        </is>
      </c>
      <c r="D60" s="8" t="inlineStr"/>
      <c r="E60" s="8">
        <f> No (2) or NA → Q16 (skip Q14, Q15)</f>
        <v/>
      </c>
      <c r="F60" s="8" t="inlineStr">
        <is>
          <t>C. Universal Health Care (UHC) Implementation</t>
        </is>
      </c>
      <c r="G60" s="8" t="inlineStr">
        <is>
          <t>numeric 1</t>
        </is>
      </c>
      <c r="H60" s="8" t="inlineStr">
        <is>
          <t>1 = Yes
2 = No</t>
        </is>
      </c>
      <c r="I60" s="8" t="inlineStr">
        <is>
          <t>9 = Not applicable</t>
        </is>
      </c>
      <c r="J60" s="8" t="inlineStr"/>
    </row>
    <row r="61">
      <c r="A61" s="9" t="inlineStr">
        <is>
          <t>q14_phu_created</t>
        </is>
      </c>
      <c r="B61" s="10" t="inlineStr">
        <is>
          <t>14. If yes, has the creation of a public health unit at this facility been implemented since the UHC Act was passed in 2019 and was it a result of the UHC Act?</t>
        </is>
      </c>
      <c r="C61" s="10" t="inlineStr">
        <is>
          <t>14. If yes, has the creation of a public health unit at this facility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61" s="10" t="inlineStr">
        <is>
          <t>not asked when Q13 PUBLIC_HEALTH_UNIT = No (2) or NA</t>
        </is>
      </c>
      <c r="E61" s="10" t="inlineStr">
        <is>
          <t>∈ {No-planned, No-no-plans, No-other, IDK, NA} (5–9) → Q16 (skip Q15)</t>
        </is>
      </c>
      <c r="F61" s="10" t="inlineStr">
        <is>
          <t>C. Universal Health Care (UHC) Implementation</t>
        </is>
      </c>
      <c r="G61" s="10" t="inlineStr">
        <is>
          <t>numeric 1</t>
        </is>
      </c>
      <c r="H61"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61" s="10" t="inlineStr">
        <is>
          <t>8 = I don't know
9 = Not applicable</t>
        </is>
      </c>
      <c r="J61" s="10" t="inlineStr"/>
    </row>
    <row r="62">
      <c r="A62" s="7" t="inlineStr">
        <is>
          <t>q14_phu_created_yes_other_txt</t>
        </is>
      </c>
      <c r="B62" s="8" t="inlineStr">
        <is>
          <t>14. If yes, has the creation of a public health unit at this facility been implemented since the UHC Act was passed in 2019 and was it a result of the UHC Act? — Yes, other (specify) text</t>
        </is>
      </c>
      <c r="C62" s="8" t="inlineStr">
        <is>
          <t>14. If yes, has the creation of a public health unit at this facility been implemented since the UHC Act was passed in 2019 and was it a result of the UHC Act? — Yes, other (specify) text</t>
        </is>
      </c>
      <c r="D62" s="8" t="inlineStr">
        <is>
          <t>not asked when Q13 PUBLIC_HEALTH_UNIT = No (2) or NA</t>
        </is>
      </c>
      <c r="E62" s="8" t="inlineStr"/>
      <c r="F62" s="8" t="inlineStr">
        <is>
          <t>C. Universal Health Care (UHC) Implementation</t>
        </is>
      </c>
      <c r="G62" s="8" t="inlineStr">
        <is>
          <t>alpha 120</t>
        </is>
      </c>
      <c r="H62" s="8" t="inlineStr"/>
      <c r="I62" s="8" t="inlineStr"/>
      <c r="J62" s="8" t="inlineStr"/>
    </row>
    <row r="63">
      <c r="A63" s="9" t="inlineStr">
        <is>
          <t>q14_phu_created_no_other_txt</t>
        </is>
      </c>
      <c r="B63" s="10" t="inlineStr">
        <is>
          <t>14. If yes, has the creation of a public health unit at this facility been implemented since the UHC Act was passed in 2019 and was it a result of the UHC Act? — No, other (specify) text</t>
        </is>
      </c>
      <c r="C63" s="10" t="inlineStr">
        <is>
          <t>14. If yes, has the creation of a public health unit at this facility been implemented since the UHC Act was passed in 2019 and was it a result of the UHC Act? — No, other (specify) text</t>
        </is>
      </c>
      <c r="D63" s="10" t="inlineStr">
        <is>
          <t>not asked when Q13 PUBLIC_HEALTH_UNIT = No (2) or NA</t>
        </is>
      </c>
      <c r="E63" s="10" t="inlineStr"/>
      <c r="F63" s="10" t="inlineStr">
        <is>
          <t>C. Universal Health Care (UHC) Implementation</t>
        </is>
      </c>
      <c r="G63" s="10" t="inlineStr">
        <is>
          <t>alpha 120</t>
        </is>
      </c>
      <c r="H63" s="10" t="inlineStr"/>
      <c r="I63" s="10" t="inlineStr"/>
      <c r="J63" s="10" t="inlineStr"/>
    </row>
    <row r="64">
      <c r="A64" s="7" t="inlineStr">
        <is>
          <t>q15_phu_role</t>
        </is>
      </c>
      <c r="B64" s="8" t="inlineStr">
        <is>
          <t>15. What is the main role of the public health unit?</t>
        </is>
      </c>
      <c r="C64" s="8" t="inlineStr">
        <is>
          <t>15. What is the main role of the public health unit? READ OPTIONS OUT LOUD. SELECT ONE ANSWER ONLY.</t>
        </is>
      </c>
      <c r="D64" s="8" t="inlineStr">
        <is>
          <t>not asked when Q13 PUBLIC_HEALTH_UNIT = No (2) or NA
not asked when Q14 PHU_CREATED ∈ {No-planned, No-no-plans, No-other, IDK, NA} (5–9)</t>
        </is>
      </c>
      <c r="E64" s="8" t="inlineStr"/>
      <c r="F64" s="8" t="inlineStr">
        <is>
          <t>C. Universal Health Care (UHC) Implementation</t>
        </is>
      </c>
      <c r="G64" s="8" t="inlineStr">
        <is>
          <t>numeric 2</t>
        </is>
      </c>
      <c r="H64" s="8" t="inlineStr">
        <is>
          <t>1 = Health promotion and education
2 = Disease surveillance report
3 = Referral and patient navigation
4 = Alignment with national public health programs
5 = Other (specify)</t>
        </is>
      </c>
      <c r="I64" s="8" t="inlineStr">
        <is>
          <t>8 = I don't know
9 = Not applicable</t>
        </is>
      </c>
      <c r="J64" s="8" t="inlineStr"/>
    </row>
    <row r="65">
      <c r="A65" s="9" t="inlineStr">
        <is>
          <t>q15_other_txt</t>
        </is>
      </c>
      <c r="B65" s="10" t="inlineStr">
        <is>
          <t>15. What is the main role of the public health unit? — Other (specify) text</t>
        </is>
      </c>
      <c r="C65" s="10" t="inlineStr">
        <is>
          <t>15. What is the main role of the public health unit? — Other (specify) text</t>
        </is>
      </c>
      <c r="D65" s="10" t="inlineStr">
        <is>
          <t>not asked when Q13 PUBLIC_HEALTH_UNIT = No (2) or NA
not asked when Q14 PHU_CREATED ∈ {No-planned, No-no-plans, No-other, IDK, NA} (5–9)</t>
        </is>
      </c>
      <c r="E65" s="10" t="inlineStr"/>
      <c r="F65" s="10" t="inlineStr">
        <is>
          <t>C. Universal Health Care (UHC) Implementation</t>
        </is>
      </c>
      <c r="G65" s="10" t="inlineStr">
        <is>
          <t>alpha 120</t>
        </is>
      </c>
      <c r="H65" s="10" t="inlineStr"/>
      <c r="I65" s="10" t="inlineStr"/>
      <c r="J65" s="10" t="inlineStr"/>
    </row>
    <row r="66">
      <c r="A66" s="7" t="inlineStr">
        <is>
          <t>q16_health_promo_unit</t>
        </is>
      </c>
      <c r="B66" s="8" t="inlineStr">
        <is>
          <t>16. Do you have a health promotion unit at this facility?</t>
        </is>
      </c>
      <c r="C66" s="8" t="inlineStr">
        <is>
          <t>16. Do you have a health promotion unit at this facility?</t>
        </is>
      </c>
      <c r="D66" s="8" t="inlineStr"/>
      <c r="E66" s="8">
        <f> No or NA → Q19 (skip Q17, Q18)</f>
        <v/>
      </c>
      <c r="F66" s="8" t="inlineStr">
        <is>
          <t>C. Universal Health Care (UHC) Implementation</t>
        </is>
      </c>
      <c r="G66" s="8" t="inlineStr">
        <is>
          <t>numeric 1</t>
        </is>
      </c>
      <c r="H66" s="8" t="inlineStr">
        <is>
          <t>1 = Yes
2 = No</t>
        </is>
      </c>
      <c r="I66" s="8" t="inlineStr">
        <is>
          <t>9 = Not applicable</t>
        </is>
      </c>
      <c r="J66" s="8" t="inlineStr"/>
    </row>
    <row r="67">
      <c r="A67" s="9" t="inlineStr">
        <is>
          <t>q17_hpu_created</t>
        </is>
      </c>
      <c r="B67" s="10" t="inlineStr">
        <is>
          <t>17. If yes, has the creation of a health promotion unit at this facility been implemented since the UHC Act was passed in 2019 and was it a result of the UHC Act?</t>
        </is>
      </c>
      <c r="C67" s="10" t="inlineStr">
        <is>
          <t>17. If yes, has the creation of a health promotion unit at this facility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67" s="10" t="inlineStr">
        <is>
          <t>not asked when Q16 HEALTH_PROMO_UNIT = No or NA</t>
        </is>
      </c>
      <c r="E67" s="10" t="inlineStr">
        <is>
          <t>∈ {5–9} → Q19 (skip Q18)</t>
        </is>
      </c>
      <c r="F67" s="10" t="inlineStr">
        <is>
          <t>C. Universal Health Care (UHC) Implementation</t>
        </is>
      </c>
      <c r="G67" s="10" t="inlineStr">
        <is>
          <t>numeric 1</t>
        </is>
      </c>
      <c r="H67"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67" s="10" t="inlineStr">
        <is>
          <t>8 = I don't know
9 = Not applicable</t>
        </is>
      </c>
      <c r="J67" s="10" t="inlineStr"/>
    </row>
    <row r="68">
      <c r="A68" s="7" t="inlineStr">
        <is>
          <t>q17_hpu_created_yes_other_txt</t>
        </is>
      </c>
      <c r="B68" s="8" t="inlineStr">
        <is>
          <t>17. If yes, has the creation of a health promotion unit at this facility been implemented since the UHC Act was passed in 2019 and was it a result of the UHC Act? — Yes, other (specify) text</t>
        </is>
      </c>
      <c r="C68" s="8" t="inlineStr">
        <is>
          <t>17. If yes, has the creation of a health promotion unit at this facility been implemented since the UHC Act was passed in 2019 and was it a result of the UHC Act? — Yes, other (specify) text</t>
        </is>
      </c>
      <c r="D68" s="8" t="inlineStr">
        <is>
          <t>not asked when Q16 HEALTH_PROMO_UNIT = No or NA</t>
        </is>
      </c>
      <c r="E68" s="8" t="inlineStr"/>
      <c r="F68" s="8" t="inlineStr">
        <is>
          <t>C. Universal Health Care (UHC) Implementation</t>
        </is>
      </c>
      <c r="G68" s="8" t="inlineStr">
        <is>
          <t>alpha 120</t>
        </is>
      </c>
      <c r="H68" s="8" t="inlineStr"/>
      <c r="I68" s="8" t="inlineStr"/>
      <c r="J68" s="8" t="inlineStr"/>
    </row>
    <row r="69">
      <c r="A69" s="9" t="inlineStr">
        <is>
          <t>q17_hpu_created_no_other_txt</t>
        </is>
      </c>
      <c r="B69" s="10" t="inlineStr">
        <is>
          <t>17. If yes, has the creation of a health promotion unit at this facility been implemented since the UHC Act was passed in 2019 and was it a result of the UHC Act? — No, other (specify) text</t>
        </is>
      </c>
      <c r="C69" s="10" t="inlineStr">
        <is>
          <t>17. If yes, has the creation of a health promotion unit at this facility been implemented since the UHC Act was passed in 2019 and was it a result of the UHC Act? — No, other (specify) text</t>
        </is>
      </c>
      <c r="D69" s="10" t="inlineStr">
        <is>
          <t>not asked when Q16 HEALTH_PROMO_UNIT = No or NA</t>
        </is>
      </c>
      <c r="E69" s="10" t="inlineStr"/>
      <c r="F69" s="10" t="inlineStr">
        <is>
          <t>C. Universal Health Care (UHC) Implementation</t>
        </is>
      </c>
      <c r="G69" s="10" t="inlineStr">
        <is>
          <t>alpha 120</t>
        </is>
      </c>
      <c r="H69" s="10" t="inlineStr"/>
      <c r="I69" s="10" t="inlineStr"/>
      <c r="J69" s="10" t="inlineStr"/>
    </row>
    <row r="70">
      <c r="A70" s="7" t="inlineStr">
        <is>
          <t>q18_hpu_role</t>
        </is>
      </c>
      <c r="B70" s="8" t="inlineStr">
        <is>
          <t>18. What is the main role of the health promotion unit?</t>
        </is>
      </c>
      <c r="C70" s="8" t="inlineStr">
        <is>
          <t>18. What is the main role of the health promotion unit? READ OPTIONS OUT LOUD. SELECT ONE ANSWER ONLY.</t>
        </is>
      </c>
      <c r="D70" s="8" t="inlineStr">
        <is>
          <t>not asked when Q16 HEALTH_PROMO_UNIT = No or NA
not asked when Q17 HPU_CREATED ∈ {5–9}</t>
        </is>
      </c>
      <c r="E70" s="8" t="inlineStr"/>
      <c r="F70" s="8" t="inlineStr">
        <is>
          <t>C. Universal Health Care (UHC) Implementation</t>
        </is>
      </c>
      <c r="G70" s="8" t="inlineStr">
        <is>
          <t>numeric 2</t>
        </is>
      </c>
      <c r="H70" s="8" t="inlineStr">
        <is>
          <t>1 = Leading health education and awareness campaigns
2 = Conducting and coordinating health screening and promotion
3 = Advocacy and policy formation
4 = Resource mobilization and fundraising
5 = Other (specify)</t>
        </is>
      </c>
      <c r="I70" s="8" t="inlineStr">
        <is>
          <t>8 = I don't know</t>
        </is>
      </c>
      <c r="J70" s="8" t="inlineStr"/>
    </row>
    <row r="71">
      <c r="A71" s="9" t="inlineStr">
        <is>
          <t>q18_other_txt</t>
        </is>
      </c>
      <c r="B71" s="10" t="inlineStr">
        <is>
          <t>18. What is the main role of the health promotion unit? — Other (specify) text</t>
        </is>
      </c>
      <c r="C71" s="10" t="inlineStr">
        <is>
          <t>18. What is the main role of the health promotion unit? — Other (specify) text</t>
        </is>
      </c>
      <c r="D71" s="10" t="inlineStr">
        <is>
          <t>not asked when Q16 HEALTH_PROMO_UNIT = No or NA
not asked when Q17 HPU_CREATED ∈ {5–9}</t>
        </is>
      </c>
      <c r="E71" s="10" t="inlineStr"/>
      <c r="F71" s="10" t="inlineStr">
        <is>
          <t>C. Universal Health Care (UHC) Implementation</t>
        </is>
      </c>
      <c r="G71" s="10" t="inlineStr">
        <is>
          <t>alpha 120</t>
        </is>
      </c>
      <c r="H71" s="10" t="inlineStr"/>
      <c r="I71" s="10" t="inlineStr"/>
      <c r="J71" s="10" t="inlineStr"/>
    </row>
    <row r="72">
      <c r="A72" s="7" t="inlineStr">
        <is>
          <t>q19_new_roles</t>
        </is>
      </c>
      <c r="B72" s="8" t="inlineStr">
        <is>
          <t>19. Has the establishment of new roles in the facility been implemented since the UHC Act was passed in 2019 and was it a result of the UHC Act?</t>
        </is>
      </c>
      <c r="C72" s="8" t="inlineStr">
        <is>
          <t>19. Has the establishment of new roles in the facility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72" s="8" t="inlineStr"/>
      <c r="E72" s="8" t="inlineStr">
        <is>
          <t>∈ {5–9} → Q21 (skip Q20)</t>
        </is>
      </c>
      <c r="F72" s="8" t="inlineStr">
        <is>
          <t>C. Universal Health Care (UHC) Implementation</t>
        </is>
      </c>
      <c r="G72" s="8" t="inlineStr">
        <is>
          <t>numeric 1</t>
        </is>
      </c>
      <c r="H72"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72" s="8" t="inlineStr">
        <is>
          <t>8 = I don't know
9 = Not applicable</t>
        </is>
      </c>
      <c r="J72" s="8" t="inlineStr"/>
    </row>
    <row r="73">
      <c r="A73" s="9" t="inlineStr">
        <is>
          <t>q19_new_roles_yes_other_txt</t>
        </is>
      </c>
      <c r="B73" s="10" t="inlineStr">
        <is>
          <t>19. Has the establishment of new roles in the facility been implemented since the UHC Act was passed in 2019 and was it a result of the UHC Act? — Yes, other (specify) text</t>
        </is>
      </c>
      <c r="C73" s="10" t="inlineStr">
        <is>
          <t>19. Has the establishment of new roles in the facility been implemented since the UHC Act was passed in 2019 and was it a result of the UHC Act? — Yes, other (specify) text</t>
        </is>
      </c>
      <c r="D73" s="10" t="inlineStr"/>
      <c r="E73" s="10" t="inlineStr"/>
      <c r="F73" s="10" t="inlineStr">
        <is>
          <t>C. Universal Health Care (UHC) Implementation</t>
        </is>
      </c>
      <c r="G73" s="10" t="inlineStr">
        <is>
          <t>alpha 120</t>
        </is>
      </c>
      <c r="H73" s="10" t="inlineStr"/>
      <c r="I73" s="10" t="inlineStr"/>
      <c r="J73" s="10" t="inlineStr"/>
    </row>
    <row r="74">
      <c r="A74" s="7" t="inlineStr">
        <is>
          <t>q19_new_roles_no_other_txt</t>
        </is>
      </c>
      <c r="B74" s="8" t="inlineStr">
        <is>
          <t>19. Has the establishment of new roles in the facility been implemented since the UHC Act was passed in 2019 and was it a result of the UHC Act? — No, other (specify) text</t>
        </is>
      </c>
      <c r="C74" s="8" t="inlineStr">
        <is>
          <t>19. Has the establishment of new roles in the facility been implemented since the UHC Act was passed in 2019 and was it a result of the UHC Act? — No, other (specify) text</t>
        </is>
      </c>
      <c r="D74" s="8" t="inlineStr"/>
      <c r="E74" s="8" t="inlineStr"/>
      <c r="F74" s="8" t="inlineStr">
        <is>
          <t>C. Universal Health Care (UHC) Implementation</t>
        </is>
      </c>
      <c r="G74" s="8" t="inlineStr">
        <is>
          <t>alpha 120</t>
        </is>
      </c>
      <c r="H74" s="8" t="inlineStr"/>
      <c r="I74" s="8" t="inlineStr"/>
      <c r="J74" s="8" t="inlineStr"/>
    </row>
    <row r="75">
      <c r="A75" s="9" t="inlineStr">
        <is>
          <t>q20_new_roles_list</t>
        </is>
      </c>
      <c r="B75" s="10" t="inlineStr">
        <is>
          <t>20. What is/are the new role/s established in this facility?</t>
        </is>
      </c>
      <c r="C75" s="10" t="inlineStr">
        <is>
          <t>20. What is/are the new role/s established in this facility?</t>
        </is>
      </c>
      <c r="D75" s="10" t="inlineStr">
        <is>
          <t>not asked when Q19 NEW_ROLES ∈ {5–9}</t>
        </is>
      </c>
      <c r="E75" s="10" t="inlineStr"/>
      <c r="F75" s="10" t="inlineStr">
        <is>
          <t>C. Universal Health Care (UHC) Implementation</t>
        </is>
      </c>
      <c r="G75" s="10" t="inlineStr">
        <is>
          <t>alpha 240</t>
        </is>
      </c>
      <c r="H75" s="10" t="inlineStr"/>
      <c r="I75" s="10" t="inlineStr"/>
      <c r="J75" s="10" t="inlineStr"/>
    </row>
    <row r="76">
      <c r="A76" s="7" t="inlineStr">
        <is>
          <t>q21_new_depts</t>
        </is>
      </c>
      <c r="B76" s="8" t="inlineStr">
        <is>
          <t>21. Has the establishment of new departments in the facility been implemented since the UHC Act was passed in 2019 and was it a result of the UHC Act?</t>
        </is>
      </c>
      <c r="C76" s="8" t="inlineStr">
        <is>
          <t>21. Has the establishment of new departments in the facility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76" s="8" t="inlineStr"/>
      <c r="E76" s="8" t="inlineStr">
        <is>
          <t>∈ {5–9} → Q23 (skip Q22)</t>
        </is>
      </c>
      <c r="F76" s="8" t="inlineStr">
        <is>
          <t>C. Universal Health Care (UHC) Implementation</t>
        </is>
      </c>
      <c r="G76" s="8" t="inlineStr">
        <is>
          <t>numeric 1</t>
        </is>
      </c>
      <c r="H76"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76" s="8" t="inlineStr">
        <is>
          <t>8 = I don't know
9 = Not applicable</t>
        </is>
      </c>
      <c r="J76" s="8" t="inlineStr"/>
    </row>
    <row r="77">
      <c r="A77" s="9" t="inlineStr">
        <is>
          <t>q21_new_depts_yes_other_txt</t>
        </is>
      </c>
      <c r="B77" s="10" t="inlineStr">
        <is>
          <t>21. Has the establishment of new departments in the facility been implemented since the UHC Act was passed in 2019 and was it a result of the UHC Act? — Yes, other (specify) text</t>
        </is>
      </c>
      <c r="C77" s="10" t="inlineStr">
        <is>
          <t>21. Has the establishment of new departments in the facility been implemented since the UHC Act was passed in 2019 and was it a result of the UHC Act? — Yes, other (specify) text</t>
        </is>
      </c>
      <c r="D77" s="10" t="inlineStr"/>
      <c r="E77" s="10" t="inlineStr"/>
      <c r="F77" s="10" t="inlineStr">
        <is>
          <t>C. Universal Health Care (UHC) Implementation</t>
        </is>
      </c>
      <c r="G77" s="10" t="inlineStr">
        <is>
          <t>alpha 120</t>
        </is>
      </c>
      <c r="H77" s="10" t="inlineStr"/>
      <c r="I77" s="10" t="inlineStr"/>
      <c r="J77" s="10" t="inlineStr"/>
    </row>
    <row r="78">
      <c r="A78" s="7" t="inlineStr">
        <is>
          <t>q21_new_depts_no_other_txt</t>
        </is>
      </c>
      <c r="B78" s="8" t="inlineStr">
        <is>
          <t>21. Has the establishment of new departments in the facility been implemented since the UHC Act was passed in 2019 and was it a result of the UHC Act? — No, other (specify) text</t>
        </is>
      </c>
      <c r="C78" s="8" t="inlineStr">
        <is>
          <t>21. Has the establishment of new departments in the facility been implemented since the UHC Act was passed in 2019 and was it a result of the UHC Act? — No, other (specify) text</t>
        </is>
      </c>
      <c r="D78" s="8" t="inlineStr"/>
      <c r="E78" s="8" t="inlineStr"/>
      <c r="F78" s="8" t="inlineStr">
        <is>
          <t>C. Universal Health Care (UHC) Implementation</t>
        </is>
      </c>
      <c r="G78" s="8" t="inlineStr">
        <is>
          <t>alpha 120</t>
        </is>
      </c>
      <c r="H78" s="8" t="inlineStr"/>
      <c r="I78" s="8" t="inlineStr"/>
      <c r="J78" s="8" t="inlineStr"/>
    </row>
    <row r="79">
      <c r="A79" s="9" t="inlineStr">
        <is>
          <t>q22_new_depts_list</t>
        </is>
      </c>
      <c r="B79" s="10" t="inlineStr">
        <is>
          <t>22. What is/are the new department/s established in this facility?</t>
        </is>
      </c>
      <c r="C79" s="10" t="inlineStr">
        <is>
          <t>22. What is/are the new department/s established in this facility?</t>
        </is>
      </c>
      <c r="D79" s="10" t="inlineStr">
        <is>
          <t>not asked when Q21 NEW_DEPTS ∈ {5–9}</t>
        </is>
      </c>
      <c r="E79" s="10" t="inlineStr"/>
      <c r="F79" s="10" t="inlineStr">
        <is>
          <t>C. Universal Health Care (UHC) Implementation</t>
        </is>
      </c>
      <c r="G79" s="10" t="inlineStr">
        <is>
          <t>alpha 240</t>
        </is>
      </c>
      <c r="H79" s="10" t="inlineStr"/>
      <c r="I79" s="10" t="inlineStr"/>
      <c r="J79" s="10" t="inlineStr"/>
    </row>
    <row r="80">
      <c r="A80" s="7" t="inlineStr">
        <is>
          <t>q23_new_buildings</t>
        </is>
      </c>
      <c r="B80" s="8" t="inlineStr">
        <is>
          <t>23. Has the construction of new building/s in this health facility been implemented since the UHC Act was passed in 2019 and was it a result of the UHC Act?</t>
        </is>
      </c>
      <c r="C80" s="8" t="inlineStr">
        <is>
          <t>23. Has the construction of new building/s in this health facility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80" s="8" t="inlineStr"/>
      <c r="E80" s="8" t="inlineStr">
        <is>
          <t>∈ {5–9} → Q25 (skip Q24)</t>
        </is>
      </c>
      <c r="F80" s="8" t="inlineStr">
        <is>
          <t>C. Universal Health Care (UHC) Implementation</t>
        </is>
      </c>
      <c r="G80" s="8" t="inlineStr">
        <is>
          <t>numeric 1</t>
        </is>
      </c>
      <c r="H80"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80" s="8" t="inlineStr">
        <is>
          <t>8 = I don't know
9 = Not applicable</t>
        </is>
      </c>
      <c r="J80" s="8" t="inlineStr"/>
    </row>
    <row r="81">
      <c r="A81" s="9" t="inlineStr">
        <is>
          <t>q23_new_buildings_yes_other_txt</t>
        </is>
      </c>
      <c r="B81" s="10" t="inlineStr">
        <is>
          <t>23. Has the construction of new building/s in this health facility been implemented since the UHC Act was passed in 2019 and was it a result of the UHC Act? — Yes, other (specify) text</t>
        </is>
      </c>
      <c r="C81" s="10" t="inlineStr">
        <is>
          <t>23. Has the construction of new building/s in this health facility been implemented since the UHC Act was passed in 2019 and was it a result of the UHC Act? — Yes, other (specify) text</t>
        </is>
      </c>
      <c r="D81" s="10" t="inlineStr"/>
      <c r="E81" s="10" t="inlineStr"/>
      <c r="F81" s="10" t="inlineStr">
        <is>
          <t>C. Universal Health Care (UHC) Implementation</t>
        </is>
      </c>
      <c r="G81" s="10" t="inlineStr">
        <is>
          <t>alpha 120</t>
        </is>
      </c>
      <c r="H81" s="10" t="inlineStr"/>
      <c r="I81" s="10" t="inlineStr"/>
      <c r="J81" s="10" t="inlineStr"/>
    </row>
    <row r="82">
      <c r="A82" s="7" t="inlineStr">
        <is>
          <t>q23_new_buildings_no_other_txt</t>
        </is>
      </c>
      <c r="B82" s="8" t="inlineStr">
        <is>
          <t>23. Has the construction of new building/s in this health facility been implemented since the UHC Act was passed in 2019 and was it a result of the UHC Act? — No, other (specify) text</t>
        </is>
      </c>
      <c r="C82" s="8" t="inlineStr">
        <is>
          <t>23. Has the construction of new building/s in this health facility been implemented since the UHC Act was passed in 2019 and was it a result of the UHC Act? — No, other (specify) text</t>
        </is>
      </c>
      <c r="D82" s="8" t="inlineStr"/>
      <c r="E82" s="8" t="inlineStr"/>
      <c r="F82" s="8" t="inlineStr">
        <is>
          <t>C. Universal Health Care (UHC) Implementation</t>
        </is>
      </c>
      <c r="G82" s="8" t="inlineStr">
        <is>
          <t>alpha 120</t>
        </is>
      </c>
      <c r="H82" s="8" t="inlineStr"/>
      <c r="I82" s="8" t="inlineStr"/>
      <c r="J82" s="8" t="inlineStr"/>
    </row>
    <row r="83">
      <c r="A83" s="9" t="inlineStr">
        <is>
          <t>q24_new_buildings_purpose</t>
        </is>
      </c>
      <c r="B83" s="10" t="inlineStr">
        <is>
          <t>24. What is/are the building/s being used for?</t>
        </is>
      </c>
      <c r="C83" s="10" t="inlineStr">
        <is>
          <t>24. What is/are the building/s being used for?</t>
        </is>
      </c>
      <c r="D83" s="10" t="inlineStr">
        <is>
          <t>not asked when Q23 NEW_BUILDINGS ∈ {5–9}</t>
        </is>
      </c>
      <c r="E83" s="10" t="inlineStr"/>
      <c r="F83" s="10" t="inlineStr">
        <is>
          <t>C. Universal Health Care (UHC) Implementation</t>
        </is>
      </c>
      <c r="G83" s="10" t="inlineStr">
        <is>
          <t>alpha 240</t>
        </is>
      </c>
      <c r="H83" s="10" t="inlineStr"/>
      <c r="I83" s="10" t="inlineStr"/>
      <c r="J83" s="10" t="inlineStr"/>
    </row>
    <row r="84">
      <c r="A84" s="7" t="inlineStr">
        <is>
          <t>q25_new_rooms</t>
        </is>
      </c>
      <c r="B84" s="8" t="inlineStr">
        <is>
          <t>25. Has the construction of new rooms in this health facility been implemented since the UHC Act was passed in 2019 and was it a result of the UHC Act?</t>
        </is>
      </c>
      <c r="C84" s="8" t="inlineStr">
        <is>
          <t>25. Has the construction of new rooms in this health facility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84" s="8" t="inlineStr"/>
      <c r="E84" s="8" t="inlineStr">
        <is>
          <t>∈ {5–9} → Q27 (skip Q26)</t>
        </is>
      </c>
      <c r="F84" s="8" t="inlineStr">
        <is>
          <t>C. Universal Health Care (UHC) Implementation</t>
        </is>
      </c>
      <c r="G84" s="8" t="inlineStr">
        <is>
          <t>numeric 1</t>
        </is>
      </c>
      <c r="H84"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84" s="8" t="inlineStr">
        <is>
          <t>8 = I don't know
9 = Not applicable</t>
        </is>
      </c>
      <c r="J84" s="8" t="inlineStr"/>
    </row>
    <row r="85">
      <c r="A85" s="9" t="inlineStr">
        <is>
          <t>q25_new_rooms_yes_other_txt</t>
        </is>
      </c>
      <c r="B85" s="10" t="inlineStr">
        <is>
          <t>25. Has the construction of new rooms in this health facility been implemented since the UHC Act was passed in 2019 and was it a result of the UHC Act? — Yes, other (specify) text</t>
        </is>
      </c>
      <c r="C85" s="10" t="inlineStr">
        <is>
          <t>25. Has the construction of new rooms in this health facility been implemented since the UHC Act was passed in 2019 and was it a result of the UHC Act? — Yes, other (specify) text</t>
        </is>
      </c>
      <c r="D85" s="10" t="inlineStr"/>
      <c r="E85" s="10" t="inlineStr"/>
      <c r="F85" s="10" t="inlineStr">
        <is>
          <t>C. Universal Health Care (UHC) Implementation</t>
        </is>
      </c>
      <c r="G85" s="10" t="inlineStr">
        <is>
          <t>alpha 120</t>
        </is>
      </c>
      <c r="H85" s="10" t="inlineStr"/>
      <c r="I85" s="10" t="inlineStr"/>
      <c r="J85" s="10" t="inlineStr"/>
    </row>
    <row r="86">
      <c r="A86" s="7" t="inlineStr">
        <is>
          <t>q25_new_rooms_no_other_txt</t>
        </is>
      </c>
      <c r="B86" s="8" t="inlineStr">
        <is>
          <t>25. Has the construction of new rooms in this health facility been implemented since the UHC Act was passed in 2019 and was it a result of the UHC Act? — No, other (specify) text</t>
        </is>
      </c>
      <c r="C86" s="8" t="inlineStr">
        <is>
          <t>25. Has the construction of new rooms in this health facility been implemented since the UHC Act was passed in 2019 and was it a result of the UHC Act? — No, other (specify) text</t>
        </is>
      </c>
      <c r="D86" s="8" t="inlineStr"/>
      <c r="E86" s="8" t="inlineStr"/>
      <c r="F86" s="8" t="inlineStr">
        <is>
          <t>C. Universal Health Care (UHC) Implementation</t>
        </is>
      </c>
      <c r="G86" s="8" t="inlineStr">
        <is>
          <t>alpha 120</t>
        </is>
      </c>
      <c r="H86" s="8" t="inlineStr"/>
      <c r="I86" s="8" t="inlineStr"/>
      <c r="J86" s="8" t="inlineStr"/>
    </row>
    <row r="87">
      <c r="A87" s="9" t="inlineStr">
        <is>
          <t>q26_new_rooms_purpose</t>
        </is>
      </c>
      <c r="B87" s="10" t="inlineStr">
        <is>
          <t>26. What are the rooms being used for?</t>
        </is>
      </c>
      <c r="C87" s="10" t="inlineStr">
        <is>
          <t>26. What are the rooms being used for?</t>
        </is>
      </c>
      <c r="D87" s="10" t="inlineStr">
        <is>
          <t>not asked when Q25 NEW_ROOMS ∈ {5–9}</t>
        </is>
      </c>
      <c r="E87" s="10" t="inlineStr"/>
      <c r="F87" s="10" t="inlineStr">
        <is>
          <t>C. Universal Health Care (UHC) Implementation</t>
        </is>
      </c>
      <c r="G87" s="10" t="inlineStr">
        <is>
          <t>alpha 240</t>
        </is>
      </c>
      <c r="H87" s="10" t="inlineStr"/>
      <c r="I87" s="10" t="inlineStr"/>
      <c r="J87" s="10" t="inlineStr"/>
    </row>
    <row r="88">
      <c r="A88" s="7" t="inlineStr">
        <is>
          <t>q27_inc_equipment</t>
        </is>
      </c>
      <c r="B88" s="8" t="inlineStr">
        <is>
          <t>27. Has the increase in equipment been implemented since the UHC Act was passed in 2019 and was it a result of the UHC Act?</t>
        </is>
      </c>
      <c r="C88" s="8" t="inlineStr">
        <is>
          <t>27. Has the increase in equipment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88" s="8" t="inlineStr"/>
      <c r="E88" s="8" t="inlineStr">
        <is>
          <t>∈ {5–9} → Q29 (skip Q28)</t>
        </is>
      </c>
      <c r="F88" s="8" t="inlineStr">
        <is>
          <t>C. Universal Health Care (UHC) Implementation</t>
        </is>
      </c>
      <c r="G88" s="8" t="inlineStr">
        <is>
          <t>numeric 1</t>
        </is>
      </c>
      <c r="H88"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88" s="8" t="inlineStr">
        <is>
          <t>8 = I don't know
9 = Not applicable</t>
        </is>
      </c>
      <c r="J88" s="8" t="inlineStr"/>
    </row>
    <row r="89">
      <c r="A89" s="9" t="inlineStr">
        <is>
          <t>q27_inc_equipment_yes_other_txt</t>
        </is>
      </c>
      <c r="B89" s="10" t="inlineStr">
        <is>
          <t>27. Has the increase in equipment been implemented since the UHC Act was passed in 2019 and was it a result of the UHC Act? — Yes, other (specify) text</t>
        </is>
      </c>
      <c r="C89" s="10" t="inlineStr">
        <is>
          <t>27. Has the increase in equipment been implemented since the UHC Act was passed in 2019 and was it a result of the UHC Act? — Yes, other (specify) text</t>
        </is>
      </c>
      <c r="D89" s="10" t="inlineStr"/>
      <c r="E89" s="10" t="inlineStr"/>
      <c r="F89" s="10" t="inlineStr">
        <is>
          <t>C. Universal Health Care (UHC) Implementation</t>
        </is>
      </c>
      <c r="G89" s="10" t="inlineStr">
        <is>
          <t>alpha 120</t>
        </is>
      </c>
      <c r="H89" s="10" t="inlineStr"/>
      <c r="I89" s="10" t="inlineStr"/>
      <c r="J89" s="10" t="inlineStr"/>
    </row>
    <row r="90">
      <c r="A90" s="7" t="inlineStr">
        <is>
          <t>q27_inc_equipment_no_other_txt</t>
        </is>
      </c>
      <c r="B90" s="8" t="inlineStr">
        <is>
          <t>27. Has the increase in equipment been implemented since the UHC Act was passed in 2019 and was it a result of the UHC Act? — No, other (specify) text</t>
        </is>
      </c>
      <c r="C90" s="8" t="inlineStr">
        <is>
          <t>27. Has the increase in equipment been implemented since the UHC Act was passed in 2019 and was it a result of the UHC Act? — No, other (specify) text</t>
        </is>
      </c>
      <c r="D90" s="8" t="inlineStr"/>
      <c r="E90" s="8" t="inlineStr"/>
      <c r="F90" s="8" t="inlineStr">
        <is>
          <t>C. Universal Health Care (UHC) Implementation</t>
        </is>
      </c>
      <c r="G90" s="8" t="inlineStr">
        <is>
          <t>alpha 120</t>
        </is>
      </c>
      <c r="H90" s="8" t="inlineStr"/>
      <c r="I90" s="8" t="inlineStr"/>
      <c r="J90" s="8" t="inlineStr"/>
    </row>
    <row r="91">
      <c r="A91" s="9" t="inlineStr">
        <is>
          <t>q28_inc_equipment_list</t>
        </is>
      </c>
      <c r="B91" s="10" t="inlineStr">
        <is>
          <t>28. If there was an increase in equipment, what are these pieces of equipment?</t>
        </is>
      </c>
      <c r="C91" s="10" t="inlineStr">
        <is>
          <t>28. If there was an increase in equipment, what are these pieces of equipment?</t>
        </is>
      </c>
      <c r="D91" s="10" t="inlineStr">
        <is>
          <t>not asked when Q27 INC_EQUIPMENT ∈ {5–9}</t>
        </is>
      </c>
      <c r="E91" s="10" t="inlineStr"/>
      <c r="F91" s="10" t="inlineStr">
        <is>
          <t>C. Universal Health Care (UHC) Implementation</t>
        </is>
      </c>
      <c r="G91" s="10" t="inlineStr">
        <is>
          <t>alpha 240</t>
        </is>
      </c>
      <c r="H91" s="10" t="inlineStr"/>
      <c r="I91" s="10" t="inlineStr"/>
      <c r="J91" s="10" t="inlineStr"/>
    </row>
    <row r="92">
      <c r="A92" s="7" t="inlineStr">
        <is>
          <t>q29_inc_supplies</t>
        </is>
      </c>
      <c r="B92" s="8" t="inlineStr">
        <is>
          <t>29. Has the increase in supplies been implemented since the UHC Act was passed in 2019 and was it a result of the UHC Act?</t>
        </is>
      </c>
      <c r="C92" s="8" t="inlineStr">
        <is>
          <t>29. Has the increase in supplies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92" s="8" t="inlineStr"/>
      <c r="E92" s="8" t="inlineStr">
        <is>
          <t>∈ {5–9} → Q31 (skip Q30)</t>
        </is>
      </c>
      <c r="F92" s="8" t="inlineStr">
        <is>
          <t>C. Universal Health Care (UHC) Implementation</t>
        </is>
      </c>
      <c r="G92" s="8" t="inlineStr">
        <is>
          <t>numeric 1</t>
        </is>
      </c>
      <c r="H92"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92" s="8" t="inlineStr">
        <is>
          <t>8 = I don't know
9 = Not applicable</t>
        </is>
      </c>
      <c r="J92" s="8" t="inlineStr"/>
    </row>
    <row r="93">
      <c r="A93" s="9" t="inlineStr">
        <is>
          <t>q29_inc_supplies_yes_other_txt</t>
        </is>
      </c>
      <c r="B93" s="10" t="inlineStr">
        <is>
          <t>29. Has the increase in supplies been implemented since the UHC Act was passed in 2019 and was it a result of the UHC Act? — Yes, other (specify) text</t>
        </is>
      </c>
      <c r="C93" s="10" t="inlineStr">
        <is>
          <t>29. Has the increase in supplies been implemented since the UHC Act was passed in 2019 and was it a result of the UHC Act? — Yes, other (specify) text</t>
        </is>
      </c>
      <c r="D93" s="10" t="inlineStr"/>
      <c r="E93" s="10" t="inlineStr"/>
      <c r="F93" s="10" t="inlineStr">
        <is>
          <t>C. Universal Health Care (UHC) Implementation</t>
        </is>
      </c>
      <c r="G93" s="10" t="inlineStr">
        <is>
          <t>alpha 120</t>
        </is>
      </c>
      <c r="H93" s="10" t="inlineStr"/>
      <c r="I93" s="10" t="inlineStr"/>
      <c r="J93" s="10" t="inlineStr"/>
    </row>
    <row r="94">
      <c r="A94" s="7" t="inlineStr">
        <is>
          <t>q29_inc_supplies_no_other_txt</t>
        </is>
      </c>
      <c r="B94" s="8" t="inlineStr">
        <is>
          <t>29. Has the increase in supplies been implemented since the UHC Act was passed in 2019 and was it a result of the UHC Act? — No, other (specify) text</t>
        </is>
      </c>
      <c r="C94" s="8" t="inlineStr">
        <is>
          <t>29. Has the increase in supplies been implemented since the UHC Act was passed in 2019 and was it a result of the UHC Act? — No, other (specify) text</t>
        </is>
      </c>
      <c r="D94" s="8" t="inlineStr"/>
      <c r="E94" s="8" t="inlineStr"/>
      <c r="F94" s="8" t="inlineStr">
        <is>
          <t>C. Universal Health Care (UHC) Implementation</t>
        </is>
      </c>
      <c r="G94" s="8" t="inlineStr">
        <is>
          <t>alpha 120</t>
        </is>
      </c>
      <c r="H94" s="8" t="inlineStr"/>
      <c r="I94" s="8" t="inlineStr"/>
      <c r="J94" s="8" t="inlineStr"/>
    </row>
    <row r="95">
      <c r="A95" s="9" t="inlineStr">
        <is>
          <t>q30_inc_supplies_list</t>
        </is>
      </c>
      <c r="B95" s="10" t="inlineStr">
        <is>
          <t>30. If there was an increase in supplies, what are these?</t>
        </is>
      </c>
      <c r="C95" s="10" t="inlineStr">
        <is>
          <t>30. If there was an increase in supplies, what are these?</t>
        </is>
      </c>
      <c r="D95" s="10" t="inlineStr">
        <is>
          <t>not asked when Q29 INC_SUPPLIES ∈ {5–9}</t>
        </is>
      </c>
      <c r="E95" s="10" t="inlineStr"/>
      <c r="F95" s="10" t="inlineStr">
        <is>
          <t>C. Universal Health Care (UHC) Implementation</t>
        </is>
      </c>
      <c r="G95" s="10" t="inlineStr">
        <is>
          <t>alpha 240</t>
        </is>
      </c>
      <c r="H95" s="10" t="inlineStr"/>
      <c r="I95" s="10" t="inlineStr"/>
      <c r="J95" s="10" t="inlineStr"/>
    </row>
    <row r="96">
      <c r="A96" s="7" t="inlineStr">
        <is>
          <t>q31_emr_use</t>
        </is>
      </c>
      <c r="B96" s="8" t="inlineStr">
        <is>
          <t>31. Has the use of electronic medical records at the facility been implemented since the UHC Act was passed in 2019 and was it a result of the UHC Act?</t>
        </is>
      </c>
      <c r="C96" s="8" t="inlineStr">
        <is>
          <t>31. Has the use of electronic medical records at the facility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96" s="8" t="inlineStr"/>
      <c r="E96" s="8" t="inlineStr">
        <is>
          <t>∈ {5–8} (and NA per Bug #4) → Q35 (skip Q32, Q33, Q34)</t>
        </is>
      </c>
      <c r="F96" s="8" t="inlineStr">
        <is>
          <t>C. Universal Health Care (UHC) Implementation</t>
        </is>
      </c>
      <c r="G96" s="8" t="inlineStr">
        <is>
          <t>numeric 1</t>
        </is>
      </c>
      <c r="H96"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96" s="8" t="inlineStr">
        <is>
          <t>8 = I don't know
9 = Not applicable</t>
        </is>
      </c>
      <c r="J96" s="8" t="inlineStr"/>
    </row>
    <row r="97">
      <c r="A97" s="9" t="inlineStr">
        <is>
          <t>q31_emr_use_yes_other_txt</t>
        </is>
      </c>
      <c r="B97" s="10" t="inlineStr">
        <is>
          <t>31. Has the use of electronic medical records at the facility been implemented since the UHC Act was passed in 2019 and was it a result of the UHC Act? — Yes, other (specify) text</t>
        </is>
      </c>
      <c r="C97" s="10" t="inlineStr">
        <is>
          <t>31. Has the use of electronic medical records at the facility been implemented since the UHC Act was passed in 2019 and was it a result of the UHC Act? — Yes, other (specify) text</t>
        </is>
      </c>
      <c r="D97" s="10" t="inlineStr"/>
      <c r="E97" s="10" t="inlineStr"/>
      <c r="F97" s="10" t="inlineStr">
        <is>
          <t>C. Universal Health Care (UHC) Implementation</t>
        </is>
      </c>
      <c r="G97" s="10" t="inlineStr">
        <is>
          <t>alpha 120</t>
        </is>
      </c>
      <c r="H97" s="10" t="inlineStr"/>
      <c r="I97" s="10" t="inlineStr"/>
      <c r="J97" s="10" t="inlineStr"/>
    </row>
    <row r="98">
      <c r="A98" s="7" t="inlineStr">
        <is>
          <t>q31_emr_use_no_other_txt</t>
        </is>
      </c>
      <c r="B98" s="8" t="inlineStr">
        <is>
          <t>31. Has the use of electronic medical records at the facility been implemented since the UHC Act was passed in 2019 and was it a result of the UHC Act? — No, other (specify) text</t>
        </is>
      </c>
      <c r="C98" s="8" t="inlineStr">
        <is>
          <t>31. Has the use of electronic medical records at the facility been implemented since the UHC Act was passed in 2019 and was it a result of the UHC Act? — No, other (specify) text</t>
        </is>
      </c>
      <c r="D98" s="8" t="inlineStr"/>
      <c r="E98" s="8" t="inlineStr"/>
      <c r="F98" s="8" t="inlineStr">
        <is>
          <t>C. Universal Health Care (UHC) Implementation</t>
        </is>
      </c>
      <c r="G98" s="8" t="inlineStr">
        <is>
          <t>alpha 120</t>
        </is>
      </c>
      <c r="H98" s="8" t="inlineStr"/>
      <c r="I98" s="8" t="inlineStr"/>
      <c r="J98" s="8" t="inlineStr"/>
    </row>
    <row r="99">
      <c r="A99" s="9" t="inlineStr">
        <is>
          <t>q32_data_submit</t>
        </is>
      </c>
      <c r="B99" s="10" t="inlineStr">
        <is>
          <t>32. Does your facility currently submit health and financial data to the DOH Information System and/or the PhilHealth Dashboard?</t>
        </is>
      </c>
      <c r="C99" s="10" t="inlineStr">
        <is>
          <t>32. Does your facility currently submit health and financial data to the DOH Information System and/or the PhilHealth Dashboard? READ OPTIONS OUT LOUD. SELECT ONE ANSWER ONLY.</t>
        </is>
      </c>
      <c r="D99" s="10" t="inlineStr">
        <is>
          <t>not asked when Q31 EMR_USE ∈ {5–8} (and NA per Bug #4)</t>
        </is>
      </c>
      <c r="E99" s="10">
        <f> "No, not submitting" (4) → Q35 (skip Q33, Q34)</f>
        <v/>
      </c>
      <c r="F99" s="10" t="inlineStr">
        <is>
          <t>C. Universal Health Care (UHC) Implementation</t>
        </is>
      </c>
      <c r="G99" s="10" t="inlineStr">
        <is>
          <t>numeric 2</t>
        </is>
      </c>
      <c r="H99" s="10" t="inlineStr">
        <is>
          <t>1 = Yes, to DOH Information System only
2 = Yes, to PhilHealth Dashboard only
3 = Yes, to both DOH Information System and PhilHealth Dashboard
4 = No, we are not submitting these data</t>
        </is>
      </c>
      <c r="I99" s="10" t="inlineStr"/>
      <c r="J99" s="10" t="inlineStr"/>
    </row>
    <row r="100">
      <c r="A100" s="7" t="inlineStr">
        <is>
          <t>q33_data_freq</t>
        </is>
      </c>
      <c r="B100" s="8" t="inlineStr">
        <is>
          <t>33. If yes, how frequent has your facility submit these data?</t>
        </is>
      </c>
      <c r="C100" s="8" t="inlineStr">
        <is>
          <t>33. If yes, how frequent has your facility submit these data?</t>
        </is>
      </c>
      <c r="D100" s="8" t="inlineStr">
        <is>
          <t>not asked when Q31 EMR_USE ∈ {5–8} (and NA per Bug #4)
not asked when Q32 DATA_SUBMIT = "No, not submitting" (4)</t>
        </is>
      </c>
      <c r="E100" s="8" t="inlineStr"/>
      <c r="F100" s="8" t="inlineStr">
        <is>
          <t>C. Universal Health Care (UHC) Implementation</t>
        </is>
      </c>
      <c r="G100" s="8" t="inlineStr">
        <is>
          <t>numeric 2</t>
        </is>
      </c>
      <c r="H100" s="8" t="inlineStr">
        <is>
          <t>1 = Weekly
2 = Monthly
3 = Quarterly
4 = Semi-annually
5 = Annually
6 = Other (specify)</t>
        </is>
      </c>
      <c r="I100" s="8" t="inlineStr"/>
      <c r="J100" s="8" t="inlineStr"/>
    </row>
    <row r="101">
      <c r="A101" s="9" t="inlineStr">
        <is>
          <t>q33_other_txt</t>
        </is>
      </c>
      <c r="B101" s="10" t="inlineStr">
        <is>
          <t>33. If yes, how frequent has your facility submit these data? — Other (specify) text</t>
        </is>
      </c>
      <c r="C101" s="10" t="inlineStr">
        <is>
          <t>33. If yes, how frequent has your facility submit these data? — Other (specify) text</t>
        </is>
      </c>
      <c r="D101" s="10" t="inlineStr">
        <is>
          <t>not asked when Q31 EMR_USE ∈ {5–8} (and NA per Bug #4)
not asked when Q32 DATA_SUBMIT = "No, not submitting" (4)</t>
        </is>
      </c>
      <c r="E101" s="10" t="inlineStr"/>
      <c r="F101" s="10" t="inlineStr">
        <is>
          <t>C. Universal Health Care (UHC) Implementation</t>
        </is>
      </c>
      <c r="G101" s="10" t="inlineStr">
        <is>
          <t>alpha 120</t>
        </is>
      </c>
      <c r="H101" s="10" t="inlineStr"/>
      <c r="I101" s="10" t="inlineStr"/>
      <c r="J101" s="10" t="inlineStr"/>
    </row>
    <row r="102">
      <c r="A102" s="7" t="inlineStr">
        <is>
          <t>q34_data_reports_used</t>
        </is>
      </c>
      <c r="B102" s="8" t="inlineStr">
        <is>
          <t>34. Which of the submitted reports are actually used for decision-making?</t>
        </is>
      </c>
      <c r="C102" s="8" t="inlineStr">
        <is>
          <t>34. Which of the submitted reports are actually used for decision-making? READ OPTIONS OUT LOUD. SELECT ALL THAT APPLY.</t>
        </is>
      </c>
      <c r="D102" s="8" t="inlineStr">
        <is>
          <t>not asked when Q31 EMR_USE ∈ {5–8} (and NA per Bug #4)
not asked when Q32 DATA_SUBMIT = "No, not submitting" (4)</t>
        </is>
      </c>
      <c r="E102" s="8" t="inlineStr"/>
      <c r="F102" s="8" t="inlineStr">
        <is>
          <t>C. Universal Health Care (UHC) Implementation</t>
        </is>
      </c>
      <c r="G102" s="8" t="inlineStr">
        <is>
          <t>alpha 24</t>
        </is>
      </c>
      <c r="H102" s="8" t="inlineStr">
        <is>
          <t>01 = OPD/IPD census and morbidity reports
02 = Maternal, newborn, child, and adolescent health (MNCAH) reports
03 = Notifiable diseases / surveillance reports
04 = Expenditure and budget utilization reports
05 = PhilHealth claims and reimbursement reports
06 = YAKAP/Konsulta utilization reports
07 = NBB compliance reports
08 = ZBB compliance / monitoring reports
09 = HRH staffing and deployment reports
10 = Medicines availability and stock status reports
11 = Facility performance scorecards / quality reports
99 = Other (specify)</t>
        </is>
      </c>
      <c r="I102" s="8" t="inlineStr"/>
      <c r="J102" s="8" t="inlineStr"/>
    </row>
    <row r="103">
      <c r="A103" s="9" t="inlineStr">
        <is>
          <t>q34_data_reports_used_other_txt</t>
        </is>
      </c>
      <c r="B103" s="10" t="inlineStr">
        <is>
          <t>34. Which of the submitted reports are actually used for decision-making? — Other (specify) text</t>
        </is>
      </c>
      <c r="C103" s="10" t="inlineStr">
        <is>
          <t>34. Which of the submitted reports are actually used for decision-making? — Other (specify) text</t>
        </is>
      </c>
      <c r="D103" s="10" t="inlineStr">
        <is>
          <t>not asked when Q31 EMR_USE ∈ {5–8} (and NA per Bug #4)
not asked when Q32 DATA_SUBMIT = "No, not submitting" (4)</t>
        </is>
      </c>
      <c r="E103" s="10" t="inlineStr"/>
      <c r="F103" s="10" t="inlineStr">
        <is>
          <t>C. Universal Health Care (UHC) Implementation</t>
        </is>
      </c>
      <c r="G103" s="10" t="inlineStr">
        <is>
          <t>alpha 120</t>
        </is>
      </c>
      <c r="H103" s="10" t="inlineStr"/>
      <c r="I103" s="10" t="inlineStr"/>
      <c r="J103" s="10" t="inlineStr"/>
    </row>
    <row r="104">
      <c r="A104" s="7" t="inlineStr">
        <is>
          <t>q35_staffing_changed</t>
        </is>
      </c>
      <c r="B104" s="8" t="inlineStr">
        <is>
          <t>35. Have there been changes in the facility staffing since 2019?</t>
        </is>
      </c>
      <c r="C104" s="8" t="inlineStr">
        <is>
          <t>35. Have there been changes in the facility staffing since 2019?</t>
        </is>
      </c>
      <c r="D104" s="8" t="inlineStr"/>
      <c r="E104" s="8">
        <f> No → Q37 (skip Q36)</f>
        <v/>
      </c>
      <c r="F104" s="8" t="inlineStr">
        <is>
          <t>C. Universal Health Care (UHC) Implementation</t>
        </is>
      </c>
      <c r="G104" s="8" t="inlineStr">
        <is>
          <t>numeric 1</t>
        </is>
      </c>
      <c r="H104" s="8" t="inlineStr">
        <is>
          <t>1 = Yes
2 = No</t>
        </is>
      </c>
      <c r="I104" s="8" t="inlineStr"/>
      <c r="J104" s="8" t="inlineStr"/>
    </row>
    <row r="105">
      <c r="A105" s="9" t="inlineStr">
        <is>
          <t>q36_staffing_uhc</t>
        </is>
      </c>
      <c r="B105" s="10" t="inlineStr">
        <is>
          <t>36. Have the changes in staffing been implemented since the UHC Act was passed in 2019 and was it a result of the UHC Act?</t>
        </is>
      </c>
      <c r="C105" s="10" t="inlineStr">
        <is>
          <t>36. Have the changes in staffing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05" s="10" t="inlineStr">
        <is>
          <t>not asked when Q35 STAFFING_CHANGED = No</t>
        </is>
      </c>
      <c r="E105" s="10" t="inlineStr"/>
      <c r="F105" s="10" t="inlineStr">
        <is>
          <t>C. Universal Health Care (UHC) Implementation</t>
        </is>
      </c>
      <c r="G105" s="10" t="inlineStr">
        <is>
          <t>numeric 1</t>
        </is>
      </c>
      <c r="H105"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05" s="10" t="inlineStr">
        <is>
          <t>8 = I don't know
9 = Not applicable</t>
        </is>
      </c>
      <c r="J105" s="10" t="inlineStr"/>
    </row>
    <row r="106">
      <c r="A106" s="7" t="inlineStr">
        <is>
          <t>q36_staffing_uhc_yes_other_txt</t>
        </is>
      </c>
      <c r="B106" s="8" t="inlineStr">
        <is>
          <t>36. Have the changes in staffing been implemented since the UHC Act was passed in 2019 and was it a result of the UHC Act? — Yes, other (specify) text</t>
        </is>
      </c>
      <c r="C106" s="8" t="inlineStr">
        <is>
          <t>36. Have the changes in staffing been implemented since the UHC Act was passed in 2019 and was it a result of the UHC Act? — Yes, other (specify) text</t>
        </is>
      </c>
      <c r="D106" s="8" t="inlineStr">
        <is>
          <t>not asked when Q35 STAFFING_CHANGED = No</t>
        </is>
      </c>
      <c r="E106" s="8" t="inlineStr"/>
      <c r="F106" s="8" t="inlineStr">
        <is>
          <t>C. Universal Health Care (UHC) Implementation</t>
        </is>
      </c>
      <c r="G106" s="8" t="inlineStr">
        <is>
          <t>alpha 120</t>
        </is>
      </c>
      <c r="H106" s="8" t="inlineStr"/>
      <c r="I106" s="8" t="inlineStr"/>
      <c r="J106" s="8" t="inlineStr"/>
    </row>
    <row r="107">
      <c r="A107" s="9" t="inlineStr">
        <is>
          <t>q36_staffing_uhc_no_other_txt</t>
        </is>
      </c>
      <c r="B107" s="10" t="inlineStr">
        <is>
          <t>36. Have the changes in staffing been implemented since the UHC Act was passed in 2019 and was it a result of the UHC Act? — No, other (specify) text</t>
        </is>
      </c>
      <c r="C107" s="10" t="inlineStr">
        <is>
          <t>36. Have the changes in staffing been implemented since the UHC Act was passed in 2019 and was it a result of the UHC Act? — No, other (specify) text</t>
        </is>
      </c>
      <c r="D107" s="10" t="inlineStr">
        <is>
          <t>not asked when Q35 STAFFING_CHANGED = No</t>
        </is>
      </c>
      <c r="E107" s="10" t="inlineStr"/>
      <c r="F107" s="10" t="inlineStr">
        <is>
          <t>C. Universal Health Care (UHC) Implementation</t>
        </is>
      </c>
      <c r="G107" s="10" t="inlineStr">
        <is>
          <t>alpha 120</t>
        </is>
      </c>
      <c r="H107" s="10" t="inlineStr"/>
      <c r="I107" s="10" t="inlineStr"/>
      <c r="J107" s="10" t="inlineStr"/>
    </row>
    <row r="108">
      <c r="A108" s="7" t="inlineStr">
        <is>
          <t>q37_referral_changed</t>
        </is>
      </c>
      <c r="B108" s="8" t="inlineStr">
        <is>
          <t>37. Have there been changes in the referral system since 2019?</t>
        </is>
      </c>
      <c r="C108" s="8" t="inlineStr">
        <is>
          <t>37. Have there been changes in the referral system since 2019?</t>
        </is>
      </c>
      <c r="D108" s="8" t="inlineStr"/>
      <c r="E108" s="8">
        <f> No → Q39 (skip Q38)</f>
        <v/>
      </c>
      <c r="F108" s="8" t="inlineStr">
        <is>
          <t>C. Universal Health Care (UHC) Implementation</t>
        </is>
      </c>
      <c r="G108" s="8" t="inlineStr">
        <is>
          <t>numeric 1</t>
        </is>
      </c>
      <c r="H108" s="8" t="inlineStr">
        <is>
          <t>1 = Yes
2 = No</t>
        </is>
      </c>
      <c r="I108" s="8" t="inlineStr"/>
      <c r="J108" s="8" t="inlineStr"/>
    </row>
    <row r="109">
      <c r="A109" s="9" t="inlineStr">
        <is>
          <t>q38_referral_uhc</t>
        </is>
      </c>
      <c r="B109" s="10" t="inlineStr">
        <is>
          <t>38. Have the changes to the referral system (inbound or outbound) been implemented since the UHC Act was passed in 2019 and was it a result of the UHC Act?</t>
        </is>
      </c>
      <c r="C109" s="10" t="inlineStr">
        <is>
          <t>38. Have the changes to the referral system (inbound or outbound)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09" s="10" t="inlineStr">
        <is>
          <t>not asked when Q37 REFERRAL_CHANGED = No</t>
        </is>
      </c>
      <c r="E109" s="10" t="inlineStr"/>
      <c r="F109" s="10" t="inlineStr">
        <is>
          <t>C. Universal Health Care (UHC) Implementation</t>
        </is>
      </c>
      <c r="G109" s="10" t="inlineStr">
        <is>
          <t>numeric 1</t>
        </is>
      </c>
      <c r="H109"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09" s="10" t="inlineStr">
        <is>
          <t>8 = I don't know
9 = Not applicable</t>
        </is>
      </c>
      <c r="J109" s="10" t="inlineStr"/>
    </row>
    <row r="110">
      <c r="A110" s="7" t="inlineStr">
        <is>
          <t>q38_referral_uhc_yes_other_txt</t>
        </is>
      </c>
      <c r="B110" s="8" t="inlineStr">
        <is>
          <t>38. Have the changes to the referral system (inbound or outbound) been implemented since the UHC Act was passed in 2019 and was it a result of the UHC Act? — Yes, other (specify) text</t>
        </is>
      </c>
      <c r="C110" s="8" t="inlineStr">
        <is>
          <t>38. Have the changes to the referral system (inbound or outbound) been implemented since the UHC Act was passed in 2019 and was it a result of the UHC Act? — Yes, other (specify) text</t>
        </is>
      </c>
      <c r="D110" s="8" t="inlineStr">
        <is>
          <t>not asked when Q37 REFERRAL_CHANGED = No</t>
        </is>
      </c>
      <c r="E110" s="8" t="inlineStr"/>
      <c r="F110" s="8" t="inlineStr">
        <is>
          <t>C. Universal Health Care (UHC) Implementation</t>
        </is>
      </c>
      <c r="G110" s="8" t="inlineStr">
        <is>
          <t>alpha 120</t>
        </is>
      </c>
      <c r="H110" s="8" t="inlineStr"/>
      <c r="I110" s="8" t="inlineStr"/>
      <c r="J110" s="8" t="inlineStr"/>
    </row>
    <row r="111">
      <c r="A111" s="9" t="inlineStr">
        <is>
          <t>q38_referral_uhc_no_other_txt</t>
        </is>
      </c>
      <c r="B111" s="10" t="inlineStr">
        <is>
          <t>38. Have the changes to the referral system (inbound or outbound) been implemented since the UHC Act was passed in 2019 and was it a result of the UHC Act? — No, other (specify) text</t>
        </is>
      </c>
      <c r="C111" s="10" t="inlineStr">
        <is>
          <t>38. Have the changes to the referral system (inbound or outbound) been implemented since the UHC Act was passed in 2019 and was it a result of the UHC Act? — No, other (specify) text</t>
        </is>
      </c>
      <c r="D111" s="10" t="inlineStr">
        <is>
          <t>not asked when Q37 REFERRAL_CHANGED = No</t>
        </is>
      </c>
      <c r="E111" s="10" t="inlineStr"/>
      <c r="F111" s="10" t="inlineStr">
        <is>
          <t>C. Universal Health Care (UHC) Implementation</t>
        </is>
      </c>
      <c r="G111" s="10" t="inlineStr">
        <is>
          <t>alpha 120</t>
        </is>
      </c>
      <c r="H111" s="10" t="inlineStr"/>
      <c r="I111" s="10" t="inlineStr"/>
      <c r="J111" s="10" t="inlineStr"/>
    </row>
    <row r="112">
      <c r="A112" s="7" t="inlineStr">
        <is>
          <t>q39_mou_moa</t>
        </is>
      </c>
      <c r="B112" s="8" t="inlineStr">
        <is>
          <t>39. Has the Memorandum of Understanding (MoU) / Agreement (MoA) with other health facilities as part of the healthcare provider network been implemented since the UHC Act was passed in 2019 and was it a result of the UHC Act?</t>
        </is>
      </c>
      <c r="C112" s="8" t="inlineStr">
        <is>
          <t>39. Has the Memorandum of Understanding (MoU) / Agreement (MoA) with other health facilities as part of the healthcare provider network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12" s="8" t="inlineStr"/>
      <c r="E112" s="8" t="inlineStr"/>
      <c r="F112" s="8" t="inlineStr">
        <is>
          <t>C. Universal Health Care (UHC) Implementation</t>
        </is>
      </c>
      <c r="G112" s="8" t="inlineStr">
        <is>
          <t>numeric 1</t>
        </is>
      </c>
      <c r="H112"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12" s="8" t="inlineStr">
        <is>
          <t>8 = I don't know
9 = Not applicable</t>
        </is>
      </c>
      <c r="J112" s="8" t="inlineStr"/>
    </row>
    <row r="113">
      <c r="A113" s="9" t="inlineStr">
        <is>
          <t>q39_mou_moa_yes_other_txt</t>
        </is>
      </c>
      <c r="B113" s="10" t="inlineStr">
        <is>
          <t>39. Has the Memorandum of Understanding (MoU) / Agreement (MoA) with other health facilities as part of the healthcare provider network been implemented since the UHC Act was passed in 2019 and was it a result of the UHC Act? — Yes, other (specify) text</t>
        </is>
      </c>
      <c r="C113" s="10" t="inlineStr">
        <is>
          <t>39. Has the Memorandum of Understanding (MoU) / Agreement (MoA) with other health facilities as part of the healthcare provider network been implemented since the UHC Act was passed in 2019 and was it a result of the UHC Act? — Yes, other (specify) text</t>
        </is>
      </c>
      <c r="D113" s="10" t="inlineStr"/>
      <c r="E113" s="10" t="inlineStr"/>
      <c r="F113" s="10" t="inlineStr">
        <is>
          <t>C. Universal Health Care (UHC) Implementation</t>
        </is>
      </c>
      <c r="G113" s="10" t="inlineStr">
        <is>
          <t>alpha 120</t>
        </is>
      </c>
      <c r="H113" s="10" t="inlineStr"/>
      <c r="I113" s="10" t="inlineStr"/>
      <c r="J113" s="10" t="inlineStr"/>
    </row>
    <row r="114">
      <c r="A114" s="7" t="inlineStr">
        <is>
          <t>q39_mou_moa_no_other_txt</t>
        </is>
      </c>
      <c r="B114" s="8" t="inlineStr">
        <is>
          <t>39. Has the Memorandum of Understanding (MoU) / Agreement (MoA) with other health facilities as part of the healthcare provider network been implemented since the UHC Act was passed in 2019 and was it a result of the UHC Act? — No, other (specify) text</t>
        </is>
      </c>
      <c r="C114" s="8" t="inlineStr">
        <is>
          <t>39. Has the Memorandum of Understanding (MoU) / Agreement (MoA) with other health facilities as part of the healthcare provider network been implemented since the UHC Act was passed in 2019 and was it a result of the UHC Act? — No, other (specify) text</t>
        </is>
      </c>
      <c r="D114" s="8" t="inlineStr"/>
      <c r="E114" s="8" t="inlineStr"/>
      <c r="F114" s="8" t="inlineStr">
        <is>
          <t>C. Universal Health Care (UHC) Implementation</t>
        </is>
      </c>
      <c r="G114" s="8" t="inlineStr">
        <is>
          <t>alpha 120</t>
        </is>
      </c>
      <c r="H114" s="8" t="inlineStr"/>
      <c r="I114" s="8" t="inlineStr"/>
      <c r="J114" s="8" t="inlineStr"/>
    </row>
    <row r="115">
      <c r="A115" s="9" t="inlineStr">
        <is>
          <t>q40_nbb</t>
        </is>
      </c>
      <c r="B115" s="10" t="inlineStr">
        <is>
          <t>40. Has the no balance billing (NBB) been implemented since the UHC Act was passed in 2019 and was it a result of the UHC Act?</t>
        </is>
      </c>
      <c r="C115" s="10" t="inlineStr">
        <is>
          <t>40. Has the no balance billing (NBB)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15" s="10" t="inlineStr"/>
      <c r="E115" s="10" t="inlineStr"/>
      <c r="F115" s="10" t="inlineStr">
        <is>
          <t>C. Universal Health Care (UHC) Implementation</t>
        </is>
      </c>
      <c r="G115" s="10" t="inlineStr">
        <is>
          <t>numeric 1</t>
        </is>
      </c>
      <c r="H115"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15" s="10" t="inlineStr">
        <is>
          <t>8 = I don't know
9 = Not applicable</t>
        </is>
      </c>
      <c r="J115" s="10" t="inlineStr"/>
    </row>
    <row r="116">
      <c r="A116" s="7" t="inlineStr">
        <is>
          <t>q40_nbb_yes_other_txt</t>
        </is>
      </c>
      <c r="B116" s="8" t="inlineStr">
        <is>
          <t>40. Has the no balance billing (NBB) been implemented since the UHC Act was passed in 2019 and was it a result of the UHC Act? — Yes, other (specify) text</t>
        </is>
      </c>
      <c r="C116" s="8" t="inlineStr">
        <is>
          <t>40. Has the no balance billing (NBB) been implemented since the UHC Act was passed in 2019 and was it a result of the UHC Act? — Yes, other (specify) text</t>
        </is>
      </c>
      <c r="D116" s="8" t="inlineStr"/>
      <c r="E116" s="8" t="inlineStr"/>
      <c r="F116" s="8" t="inlineStr">
        <is>
          <t>C. Universal Health Care (UHC) Implementation</t>
        </is>
      </c>
      <c r="G116" s="8" t="inlineStr">
        <is>
          <t>alpha 120</t>
        </is>
      </c>
      <c r="H116" s="8" t="inlineStr"/>
      <c r="I116" s="8" t="inlineStr"/>
      <c r="J116" s="8" t="inlineStr"/>
    </row>
    <row r="117">
      <c r="A117" s="9" t="inlineStr">
        <is>
          <t>q40_nbb_no_other_txt</t>
        </is>
      </c>
      <c r="B117" s="10" t="inlineStr">
        <is>
          <t>40. Has the no balance billing (NBB) been implemented since the UHC Act was passed in 2019 and was it a result of the UHC Act? — No, other (specify) text</t>
        </is>
      </c>
      <c r="C117" s="10" t="inlineStr">
        <is>
          <t>40. Has the no balance billing (NBB) been implemented since the UHC Act was passed in 2019 and was it a result of the UHC Act? — No, other (specify) text</t>
        </is>
      </c>
      <c r="D117" s="10" t="inlineStr"/>
      <c r="E117" s="10" t="inlineStr"/>
      <c r="F117" s="10" t="inlineStr">
        <is>
          <t>C. Universal Health Care (UHC) Implementation</t>
        </is>
      </c>
      <c r="G117" s="10" t="inlineStr">
        <is>
          <t>alpha 120</t>
        </is>
      </c>
      <c r="H117" s="10" t="inlineStr"/>
      <c r="I117" s="10" t="inlineStr"/>
      <c r="J117" s="10" t="inlineStr"/>
    </row>
    <row r="118">
      <c r="A118" s="7" t="inlineStr">
        <is>
          <t>q41_zbb</t>
        </is>
      </c>
      <c r="B118" s="8" t="inlineStr">
        <is>
          <t>41. Has the zero balance billing (ZBB) been implemented since the UHC Act was passed in 2019 and was it a result of the UHC Act?</t>
        </is>
      </c>
      <c r="C118" s="8" t="inlineStr">
        <is>
          <t>41. Has the zero balance billing (ZBB)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18" s="8" t="inlineStr"/>
      <c r="E118" s="8" t="inlineStr"/>
      <c r="F118" s="8" t="inlineStr">
        <is>
          <t>C. Universal Health Care (UHC) Implementation</t>
        </is>
      </c>
      <c r="G118" s="8" t="inlineStr">
        <is>
          <t>numeric 1</t>
        </is>
      </c>
      <c r="H118"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18" s="8" t="inlineStr">
        <is>
          <t>8 = I don't know
9 = Not applicable</t>
        </is>
      </c>
      <c r="J118" s="8" t="inlineStr"/>
    </row>
    <row r="119">
      <c r="A119" s="9" t="inlineStr">
        <is>
          <t>q41_zbb_yes_other_txt</t>
        </is>
      </c>
      <c r="B119" s="10" t="inlineStr">
        <is>
          <t>41. Has the zero balance billing (ZBB) been implemented since the UHC Act was passed in 2019 and was it a result of the UHC Act? — Yes, other (specify) text</t>
        </is>
      </c>
      <c r="C119" s="10" t="inlineStr">
        <is>
          <t>41. Has the zero balance billing (ZBB) been implemented since the UHC Act was passed in 2019 and was it a result of the UHC Act? — Yes, other (specify) text</t>
        </is>
      </c>
      <c r="D119" s="10" t="inlineStr"/>
      <c r="E119" s="10" t="inlineStr"/>
      <c r="F119" s="10" t="inlineStr">
        <is>
          <t>C. Universal Health Care (UHC) Implementation</t>
        </is>
      </c>
      <c r="G119" s="10" t="inlineStr">
        <is>
          <t>alpha 120</t>
        </is>
      </c>
      <c r="H119" s="10" t="inlineStr"/>
      <c r="I119" s="10" t="inlineStr"/>
      <c r="J119" s="10" t="inlineStr"/>
    </row>
    <row r="120">
      <c r="A120" s="7" t="inlineStr">
        <is>
          <t>q41_zbb_no_other_txt</t>
        </is>
      </c>
      <c r="B120" s="8" t="inlineStr">
        <is>
          <t>41. Has the zero balance billing (ZBB) been implemented since the UHC Act was passed in 2019 and was it a result of the UHC Act? — No, other (specify) text</t>
        </is>
      </c>
      <c r="C120" s="8" t="inlineStr">
        <is>
          <t>41. Has the zero balance billing (ZBB) been implemented since the UHC Act was passed in 2019 and was it a result of the UHC Act? — No, other (specify) text</t>
        </is>
      </c>
      <c r="D120" s="8" t="inlineStr"/>
      <c r="E120" s="8" t="inlineStr"/>
      <c r="F120" s="8" t="inlineStr">
        <is>
          <t>C. Universal Health Care (UHC) Implementation</t>
        </is>
      </c>
      <c r="G120" s="8" t="inlineStr">
        <is>
          <t>alpha 120</t>
        </is>
      </c>
      <c r="H120" s="8" t="inlineStr"/>
      <c r="I120" s="8" t="inlineStr"/>
      <c r="J120" s="8" t="inlineStr"/>
    </row>
    <row r="121">
      <c r="A121" s="9" t="inlineStr">
        <is>
          <t>q42_no_copay</t>
        </is>
      </c>
      <c r="B121" s="10" t="inlineStr">
        <is>
          <t>42. Has the no co-payment policy been implemented since the UHC Act was passed in 2019 and was it a result of the UHC Act?</t>
        </is>
      </c>
      <c r="C121" s="10" t="inlineStr">
        <is>
          <t>42. Has the no co-payment policy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21" s="10" t="inlineStr"/>
      <c r="E121" s="10" t="inlineStr"/>
      <c r="F121" s="10" t="inlineStr">
        <is>
          <t>C. Universal Health Care (UHC) Implementation</t>
        </is>
      </c>
      <c r="G121" s="10" t="inlineStr">
        <is>
          <t>numeric 1</t>
        </is>
      </c>
      <c r="H121"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21" s="10" t="inlineStr">
        <is>
          <t>8 = I don't know
9 = Not applicable</t>
        </is>
      </c>
      <c r="J121" s="10" t="inlineStr"/>
    </row>
    <row r="122">
      <c r="A122" s="7" t="inlineStr">
        <is>
          <t>q42_no_copay_yes_other_txt</t>
        </is>
      </c>
      <c r="B122" s="8" t="inlineStr">
        <is>
          <t>42. Has the no co-payment policy been implemented since the UHC Act was passed in 2019 and was it a result of the UHC Act? — Yes, other (specify) text</t>
        </is>
      </c>
      <c r="C122" s="8" t="inlineStr">
        <is>
          <t>42. Has the no co-payment policy been implemented since the UHC Act was passed in 2019 and was it a result of the UHC Act? — Yes, other (specify) text</t>
        </is>
      </c>
      <c r="D122" s="8" t="inlineStr"/>
      <c r="E122" s="8" t="inlineStr"/>
      <c r="F122" s="8" t="inlineStr">
        <is>
          <t>C. Universal Health Care (UHC) Implementation</t>
        </is>
      </c>
      <c r="G122" s="8" t="inlineStr">
        <is>
          <t>alpha 120</t>
        </is>
      </c>
      <c r="H122" s="8" t="inlineStr"/>
      <c r="I122" s="8" t="inlineStr"/>
      <c r="J122" s="8" t="inlineStr"/>
    </row>
    <row r="123">
      <c r="A123" s="9" t="inlineStr">
        <is>
          <t>q42_no_copay_no_other_txt</t>
        </is>
      </c>
      <c r="B123" s="10" t="inlineStr">
        <is>
          <t>42. Has the no co-payment policy been implemented since the UHC Act was passed in 2019 and was it a result of the UHC Act? — No, other (specify) text</t>
        </is>
      </c>
      <c r="C123" s="10" t="inlineStr">
        <is>
          <t>42. Has the no co-payment policy been implemented since the UHC Act was passed in 2019 and was it a result of the UHC Act? — No, other (specify) text</t>
        </is>
      </c>
      <c r="D123" s="10" t="inlineStr"/>
      <c r="E123" s="10" t="inlineStr"/>
      <c r="F123" s="10" t="inlineStr">
        <is>
          <t>C. Universal Health Care (UHC) Implementation</t>
        </is>
      </c>
      <c r="G123" s="10" t="inlineStr">
        <is>
          <t>alpha 120</t>
        </is>
      </c>
      <c r="H123" s="10" t="inlineStr"/>
      <c r="I123" s="10" t="inlineStr"/>
      <c r="J123" s="10" t="inlineStr"/>
    </row>
    <row r="124">
      <c r="A124" s="7" t="inlineStr">
        <is>
          <t>q43_ward_alloc</t>
        </is>
      </c>
      <c r="B124" s="8" t="inlineStr">
        <is>
          <t>43. Has the health facility been implementing ward accommodation allocation since the UHC Act was passed in 2019 and was it a result of the UHC Act?</t>
        </is>
      </c>
      <c r="C124" s="8" t="inlineStr">
        <is>
          <t>43. Has the health facility been implementing ward accommodation allocation since the UHC Act was passed in 2019 and was it a result of the UHC Act? Under UHC, basic ward allocation is as follows: 90% for government general hospitals; 70% for government specialty hospitals, and 10% for private hospitals. DO NOT READ OPTIONS OUT LOUD. USE THE FOLLOWING GUIDE QUESTIONS TO PROBE. Has this been implemented? / Do you have this? Was this implemented before or after 2019? Was this implemented because of UHC? Do you plan to implement it in the next 1-2 years?</t>
        </is>
      </c>
      <c r="D124" s="8" t="inlineStr"/>
      <c r="E124" s="8" t="inlineStr"/>
      <c r="F124" s="8" t="inlineStr">
        <is>
          <t>C. Universal Health Care (UHC) Implementation</t>
        </is>
      </c>
      <c r="G124" s="8" t="inlineStr">
        <is>
          <t>numeric 1</t>
        </is>
      </c>
      <c r="H124"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24" s="8" t="inlineStr">
        <is>
          <t>8 = I don't know
9 = Not applicable</t>
        </is>
      </c>
      <c r="J124" s="8" t="inlineStr"/>
    </row>
    <row r="125">
      <c r="A125" s="9" t="inlineStr">
        <is>
          <t>q43_ward_alloc_yes_other_txt</t>
        </is>
      </c>
      <c r="B125" s="10" t="inlineStr">
        <is>
          <t>43. Has the health facility been implementing ward accommodation allocation since the UHC Act was passed in 2019 and was it a result of the UHC Act? — Yes, other (specify) text</t>
        </is>
      </c>
      <c r="C125" s="10" t="inlineStr">
        <is>
          <t>43. Has the health facility been implementing ward accommodation allocation since the UHC Act was passed in 2019 and was it a result of the UHC Act? — Yes, other (specify) text</t>
        </is>
      </c>
      <c r="D125" s="10" t="inlineStr"/>
      <c r="E125" s="10" t="inlineStr"/>
      <c r="F125" s="10" t="inlineStr">
        <is>
          <t>C. Universal Health Care (UHC) Implementation</t>
        </is>
      </c>
      <c r="G125" s="10" t="inlineStr">
        <is>
          <t>alpha 120</t>
        </is>
      </c>
      <c r="H125" s="10" t="inlineStr"/>
      <c r="I125" s="10" t="inlineStr"/>
      <c r="J125" s="10" t="inlineStr"/>
    </row>
    <row r="126">
      <c r="A126" s="7" t="inlineStr">
        <is>
          <t>q43_ward_alloc_no_other_txt</t>
        </is>
      </c>
      <c r="B126" s="8" t="inlineStr">
        <is>
          <t>43. Has the health facility been implementing ward accommodation allocation since the UHC Act was passed in 2019 and was it a result of the UHC Act? — No, other (specify) text</t>
        </is>
      </c>
      <c r="C126" s="8" t="inlineStr">
        <is>
          <t>43. Has the health facility been implementing ward accommodation allocation since the UHC Act was passed in 2019 and was it a result of the UHC Act? — No, other (specify) text</t>
        </is>
      </c>
      <c r="D126" s="8" t="inlineStr"/>
      <c r="E126" s="8" t="inlineStr"/>
      <c r="F126" s="8" t="inlineStr">
        <is>
          <t>C. Universal Health Care (UHC) Implementation</t>
        </is>
      </c>
      <c r="G126" s="8" t="inlineStr">
        <is>
          <t>alpha 120</t>
        </is>
      </c>
      <c r="H126" s="8" t="inlineStr"/>
      <c r="I126" s="8" t="inlineStr"/>
      <c r="J126" s="8" t="inlineStr"/>
    </row>
    <row r="127">
      <c r="A127" s="9" t="inlineStr">
        <is>
          <t>q44_cpg</t>
        </is>
      </c>
      <c r="B127" s="10" t="inlineStr">
        <is>
          <t>44. Have the improved clinical practice guidelines been implemented since the UHC Act was passed in 2019 and was it a result of the UHC Act?</t>
        </is>
      </c>
      <c r="C127" s="10" t="inlineStr">
        <is>
          <t>44. Have the improved clinical practice guidelines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27" s="10" t="inlineStr"/>
      <c r="E127" s="10" t="inlineStr"/>
      <c r="F127" s="10" t="inlineStr">
        <is>
          <t>C. Universal Health Care (UHC) Implementation</t>
        </is>
      </c>
      <c r="G127" s="10" t="inlineStr">
        <is>
          <t>numeric 1</t>
        </is>
      </c>
      <c r="H127"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27" s="10" t="inlineStr">
        <is>
          <t>8 = I don't know
9 = Not applicable</t>
        </is>
      </c>
      <c r="J127" s="10" t="inlineStr"/>
    </row>
    <row r="128">
      <c r="A128" s="7" t="inlineStr">
        <is>
          <t>q44_cpg_yes_other_txt</t>
        </is>
      </c>
      <c r="B128" s="8" t="inlineStr">
        <is>
          <t>44. Have the improved clinical practice guidelines been implemented since the UHC Act was passed in 2019 and was it a result of the UHC Act? — Yes, other (specify) text</t>
        </is>
      </c>
      <c r="C128" s="8" t="inlineStr">
        <is>
          <t>44. Have the improved clinical practice guidelines been implemented since the UHC Act was passed in 2019 and was it a result of the UHC Act? — Yes, other (specify) text</t>
        </is>
      </c>
      <c r="D128" s="8" t="inlineStr"/>
      <c r="E128" s="8" t="inlineStr"/>
      <c r="F128" s="8" t="inlineStr">
        <is>
          <t>C. Universal Health Care (UHC) Implementation</t>
        </is>
      </c>
      <c r="G128" s="8" t="inlineStr">
        <is>
          <t>alpha 120</t>
        </is>
      </c>
      <c r="H128" s="8" t="inlineStr"/>
      <c r="I128" s="8" t="inlineStr"/>
      <c r="J128" s="8" t="inlineStr"/>
    </row>
    <row r="129">
      <c r="A129" s="9" t="inlineStr">
        <is>
          <t>q44_cpg_no_other_txt</t>
        </is>
      </c>
      <c r="B129" s="10" t="inlineStr">
        <is>
          <t>44. Have the improved clinical practice guidelines been implemented since the UHC Act was passed in 2019 and was it a result of the UHC Act? — No, other (specify) text</t>
        </is>
      </c>
      <c r="C129" s="10" t="inlineStr">
        <is>
          <t>44. Have the improved clinical practice guidelines been implemented since the UHC Act was passed in 2019 and was it a result of the UHC Act? — No, other (specify) text</t>
        </is>
      </c>
      <c r="D129" s="10" t="inlineStr"/>
      <c r="E129" s="10" t="inlineStr"/>
      <c r="F129" s="10" t="inlineStr">
        <is>
          <t>C. Universal Health Care (UHC) Implementation</t>
        </is>
      </c>
      <c r="G129" s="10" t="inlineStr">
        <is>
          <t>alpha 120</t>
        </is>
      </c>
      <c r="H129" s="10" t="inlineStr"/>
      <c r="I129" s="10" t="inlineStr"/>
      <c r="J129" s="10" t="inlineStr"/>
    </row>
    <row r="130">
      <c r="A130" s="7" t="inlineStr">
        <is>
          <t>q45_doh_lic_std</t>
        </is>
      </c>
      <c r="B130" s="8" t="inlineStr">
        <is>
          <t>45. Have the DOH licensing standards been implemented since the UHC Act was passed in 2019 and was it a result of the UHC Act?</t>
        </is>
      </c>
      <c r="C130" s="8" t="inlineStr">
        <is>
          <t>45. Have the DOH licensing standards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30" s="8" t="inlineStr"/>
      <c r="E130" s="8" t="inlineStr"/>
      <c r="F130" s="8" t="inlineStr">
        <is>
          <t>C. Universal Health Care (UHC) Implementation</t>
        </is>
      </c>
      <c r="G130" s="8" t="inlineStr">
        <is>
          <t>numeric 1</t>
        </is>
      </c>
      <c r="H130"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30" s="8" t="inlineStr">
        <is>
          <t>8 = I don't know
9 = Not applicable</t>
        </is>
      </c>
      <c r="J130" s="8" t="inlineStr"/>
    </row>
    <row r="131">
      <c r="A131" s="9" t="inlineStr">
        <is>
          <t>q45_doh_lic_std_yes_other_txt</t>
        </is>
      </c>
      <c r="B131" s="10" t="inlineStr">
        <is>
          <t>45. Have the DOH licensing standards been implemented since the UHC Act was passed in 2019 and was it a result of the UHC Act? — Yes, other (specify) text</t>
        </is>
      </c>
      <c r="C131" s="10" t="inlineStr">
        <is>
          <t>45. Have the DOH licensing standards been implemented since the UHC Act was passed in 2019 and was it a result of the UHC Act? — Yes, other (specify) text</t>
        </is>
      </c>
      <c r="D131" s="10" t="inlineStr"/>
      <c r="E131" s="10" t="inlineStr"/>
      <c r="F131" s="10" t="inlineStr">
        <is>
          <t>C. Universal Health Care (UHC) Implementation</t>
        </is>
      </c>
      <c r="G131" s="10" t="inlineStr">
        <is>
          <t>alpha 120</t>
        </is>
      </c>
      <c r="H131" s="10" t="inlineStr"/>
      <c r="I131" s="10" t="inlineStr"/>
      <c r="J131" s="10" t="inlineStr"/>
    </row>
    <row r="132">
      <c r="A132" s="7" t="inlineStr">
        <is>
          <t>q45_doh_lic_std_no_other_txt</t>
        </is>
      </c>
      <c r="B132" s="8" t="inlineStr">
        <is>
          <t>45. Have the DOH licensing standards been implemented since the UHC Act was passed in 2019 and was it a result of the UHC Act? — No, other (specify) text</t>
        </is>
      </c>
      <c r="C132" s="8" t="inlineStr">
        <is>
          <t>45. Have the DOH licensing standards been implemented since the UHC Act was passed in 2019 and was it a result of the UHC Act? — No, other (specify) text</t>
        </is>
      </c>
      <c r="D132" s="8" t="inlineStr"/>
      <c r="E132" s="8" t="inlineStr"/>
      <c r="F132" s="8" t="inlineStr">
        <is>
          <t>C. Universal Health Care (UHC) Implementation</t>
        </is>
      </c>
      <c r="G132" s="8" t="inlineStr">
        <is>
          <t>alpha 120</t>
        </is>
      </c>
      <c r="H132" s="8" t="inlineStr"/>
      <c r="I132" s="8" t="inlineStr"/>
      <c r="J132" s="8" t="inlineStr"/>
    </row>
    <row r="133">
      <c r="A133" s="9" t="inlineStr">
        <is>
          <t>q46_phic_accred</t>
        </is>
      </c>
      <c r="B133" s="10" t="inlineStr">
        <is>
          <t>46. Have the PhilHealth accreditation requirements been implemented since the UHC Act was passed in 2019 and was it a result of the UHC Act?</t>
        </is>
      </c>
      <c r="C133" s="10" t="inlineStr">
        <is>
          <t>46. Have the PhilHealth accreditation requirements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33" s="10" t="inlineStr"/>
      <c r="E133" s="10" t="inlineStr"/>
      <c r="F133" s="10" t="inlineStr">
        <is>
          <t>C. Universal Health Care (UHC) Implementation</t>
        </is>
      </c>
      <c r="G133" s="10" t="inlineStr">
        <is>
          <t>numeric 1</t>
        </is>
      </c>
      <c r="H133"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33" s="10" t="inlineStr">
        <is>
          <t>8 = I don't know
9 = Not applicable</t>
        </is>
      </c>
      <c r="J133" s="10" t="inlineStr"/>
    </row>
    <row r="134">
      <c r="A134" s="7" t="inlineStr">
        <is>
          <t>q46_phic_accred_yes_other_txt</t>
        </is>
      </c>
      <c r="B134" s="8" t="inlineStr">
        <is>
          <t>46. Have the PhilHealth accreditation requirements been implemented since the UHC Act was passed in 2019 and was it a result of the UHC Act? — Yes, other (specify) text</t>
        </is>
      </c>
      <c r="C134" s="8" t="inlineStr">
        <is>
          <t>46. Have the PhilHealth accreditation requirements been implemented since the UHC Act was passed in 2019 and was it a result of the UHC Act? — Yes, other (specify) text</t>
        </is>
      </c>
      <c r="D134" s="8" t="inlineStr"/>
      <c r="E134" s="8" t="inlineStr"/>
      <c r="F134" s="8" t="inlineStr">
        <is>
          <t>C. Universal Health Care (UHC) Implementation</t>
        </is>
      </c>
      <c r="G134" s="8" t="inlineStr">
        <is>
          <t>alpha 120</t>
        </is>
      </c>
      <c r="H134" s="8" t="inlineStr"/>
      <c r="I134" s="8" t="inlineStr"/>
      <c r="J134" s="8" t="inlineStr"/>
    </row>
    <row r="135">
      <c r="A135" s="9" t="inlineStr">
        <is>
          <t>q46_phic_accred_no_other_txt</t>
        </is>
      </c>
      <c r="B135" s="10" t="inlineStr">
        <is>
          <t>46. Have the PhilHealth accreditation requirements been implemented since the UHC Act was passed in 2019 and was it a result of the UHC Act? — No, other (specify) text</t>
        </is>
      </c>
      <c r="C135" s="10" t="inlineStr">
        <is>
          <t>46. Have the PhilHealth accreditation requirements been implemented since the UHC Act was passed in 2019 and was it a result of the UHC Act? — No, other (specify) text</t>
        </is>
      </c>
      <c r="D135" s="10" t="inlineStr"/>
      <c r="E135" s="10" t="inlineStr"/>
      <c r="F135" s="10" t="inlineStr">
        <is>
          <t>C. Universal Health Care (UHC) Implementation</t>
        </is>
      </c>
      <c r="G135" s="10" t="inlineStr">
        <is>
          <t>alpha 120</t>
        </is>
      </c>
      <c r="H135" s="10" t="inlineStr"/>
      <c r="I135" s="10" t="inlineStr"/>
      <c r="J135" s="10" t="inlineStr"/>
    </row>
    <row r="136">
      <c r="A136" s="7" t="inlineStr">
        <is>
          <t>q47_svc_delivery_prot</t>
        </is>
      </c>
      <c r="B136" s="8" t="inlineStr">
        <is>
          <t>47. Have the service delivery protocols been implemented since the UHC Act was passed in 2019 and was it a result of the UHC Act?</t>
        </is>
      </c>
      <c r="C136" s="8" t="inlineStr">
        <is>
          <t>47. Have the service delivery protocols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36" s="8" t="inlineStr"/>
      <c r="E136" s="8" t="inlineStr"/>
      <c r="F136" s="8" t="inlineStr">
        <is>
          <t>C. Universal Health Care (UHC) Implementation</t>
        </is>
      </c>
      <c r="G136" s="8" t="inlineStr">
        <is>
          <t>numeric 1</t>
        </is>
      </c>
      <c r="H136" s="8"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36" s="8" t="inlineStr">
        <is>
          <t>8 = I don't know
9 = Not applicable</t>
        </is>
      </c>
      <c r="J136" s="8" t="inlineStr"/>
    </row>
    <row r="137">
      <c r="A137" s="9" t="inlineStr">
        <is>
          <t>q47_svc_delivery_prot_yes_other_txt</t>
        </is>
      </c>
      <c r="B137" s="10" t="inlineStr">
        <is>
          <t>47. Have the service delivery protocols been implemented since the UHC Act was passed in 2019 and was it a result of the UHC Act? — Yes, other (specify) text</t>
        </is>
      </c>
      <c r="C137" s="10" t="inlineStr">
        <is>
          <t>47. Have the service delivery protocols been implemented since the UHC Act was passed in 2019 and was it a result of the UHC Act? — Yes, other (specify) text</t>
        </is>
      </c>
      <c r="D137" s="10" t="inlineStr"/>
      <c r="E137" s="10" t="inlineStr"/>
      <c r="F137" s="10" t="inlineStr">
        <is>
          <t>C. Universal Health Care (UHC) Implementation</t>
        </is>
      </c>
      <c r="G137" s="10" t="inlineStr">
        <is>
          <t>alpha 120</t>
        </is>
      </c>
      <c r="H137" s="10" t="inlineStr"/>
      <c r="I137" s="10" t="inlineStr"/>
      <c r="J137" s="10" t="inlineStr"/>
    </row>
    <row r="138">
      <c r="A138" s="7" t="inlineStr">
        <is>
          <t>q47_svc_delivery_prot_no_other_txt</t>
        </is>
      </c>
      <c r="B138" s="8" t="inlineStr">
        <is>
          <t>47. Have the service delivery protocols been implemented since the UHC Act was passed in 2019 and was it a result of the UHC Act? — No, other (specify) text</t>
        </is>
      </c>
      <c r="C138" s="8" t="inlineStr">
        <is>
          <t>47. Have the service delivery protocols been implemented since the UHC Act was passed in 2019 and was it a result of the UHC Act? — No, other (specify) text</t>
        </is>
      </c>
      <c r="D138" s="8" t="inlineStr"/>
      <c r="E138" s="8" t="inlineStr"/>
      <c r="F138" s="8" t="inlineStr">
        <is>
          <t>C. Universal Health Care (UHC) Implementation</t>
        </is>
      </c>
      <c r="G138" s="8" t="inlineStr">
        <is>
          <t>alpha 120</t>
        </is>
      </c>
      <c r="H138" s="8" t="inlineStr"/>
      <c r="I138" s="8" t="inlineStr"/>
      <c r="J138" s="8" t="inlineStr"/>
    </row>
    <row r="139">
      <c r="A139" s="9" t="inlineStr">
        <is>
          <t>q48_pcqm</t>
        </is>
      </c>
      <c r="B139" s="10" t="inlineStr">
        <is>
          <t>48. Have the primary care quality measures been implemented since the UHC Act was passed in 2019 and was it a result of the UHC Act?</t>
        </is>
      </c>
      <c r="C139" s="10" t="inlineStr">
        <is>
          <t>48. Have the primary care quality measures been implemented since the UHC Act was passed in 2019 and was it a result of the UHC Act? DO NOT READ OPTIONS OUT LOUD. USE THE FOLLOWING GUIDE QUESTIONS TO PROBE. Has this been implemented? / Do you have this? Was this implemented before or after 2019? Was this implemented because of UHC? Do you plan to implement it in the next 1-2 years?</t>
        </is>
      </c>
      <c r="D139" s="10" t="inlineStr"/>
      <c r="E139" s="10" t="inlineStr"/>
      <c r="F139" s="10" t="inlineStr">
        <is>
          <t>C. Universal Health Care (UHC) Implementation</t>
        </is>
      </c>
      <c r="G139" s="10" t="inlineStr">
        <is>
          <t>numeric 1</t>
        </is>
      </c>
      <c r="H139" s="10" t="inlineStr">
        <is>
          <t>1 = Yes, this was implemented as a direct result of the UHC Act
2 = Yes, this was pre-existing, but it has significantly improved due to the UHC Act
3 = Yes, this has been implemented or improved recently, but not due to the UHC Act
4 = Yes, other reason (specify)
5 = No, this has not been implemented yet, but we plan to in the next 1-2 years
6 = No, and we have no plans to do this in the next 1-2 years
7 = No, other reason (specify)</t>
        </is>
      </c>
      <c r="I139" s="10" t="inlineStr">
        <is>
          <t>8 = I don't know
9 = Not applicable</t>
        </is>
      </c>
      <c r="J139" s="10" t="inlineStr"/>
    </row>
    <row r="140">
      <c r="A140" s="7" t="inlineStr">
        <is>
          <t>q48_pcqm_yes_other_txt</t>
        </is>
      </c>
      <c r="B140" s="8" t="inlineStr">
        <is>
          <t>48. Have the primary care quality measures been implemented since the UHC Act was passed in 2019 and was it a result of the UHC Act? — Yes, other (specify) text</t>
        </is>
      </c>
      <c r="C140" s="8" t="inlineStr">
        <is>
          <t>48. Have the primary care quality measures been implemented since the UHC Act was passed in 2019 and was it a result of the UHC Act? — Yes, other (specify) text</t>
        </is>
      </c>
      <c r="D140" s="8" t="inlineStr"/>
      <c r="E140" s="8" t="inlineStr"/>
      <c r="F140" s="8" t="inlineStr">
        <is>
          <t>C. Universal Health Care (UHC) Implementation</t>
        </is>
      </c>
      <c r="G140" s="8" t="inlineStr">
        <is>
          <t>alpha 120</t>
        </is>
      </c>
      <c r="H140" s="8" t="inlineStr"/>
      <c r="I140" s="8" t="inlineStr"/>
      <c r="J140" s="8" t="inlineStr"/>
    </row>
    <row r="141">
      <c r="A141" s="9" t="inlineStr">
        <is>
          <t>q48_pcqm_no_other_txt</t>
        </is>
      </c>
      <c r="B141" s="10" t="inlineStr">
        <is>
          <t>48. Have the primary care quality measures been implemented since the UHC Act was passed in 2019 and was it a result of the UHC Act? — No, other (specify) text</t>
        </is>
      </c>
      <c r="C141" s="10" t="inlineStr">
        <is>
          <t>48. Have the primary care quality measures been implemented since the UHC Act was passed in 2019 and was it a result of the UHC Act? — No, other (specify) text</t>
        </is>
      </c>
      <c r="D141" s="10" t="inlineStr"/>
      <c r="E141" s="10" t="inlineStr"/>
      <c r="F141" s="10" t="inlineStr">
        <is>
          <t>C. Universal Health Care (UHC) Implementation</t>
        </is>
      </c>
      <c r="G141" s="10" t="inlineStr">
        <is>
          <t>alpha 120</t>
        </is>
      </c>
      <c r="H141" s="10" t="inlineStr"/>
      <c r="I141" s="10" t="inlineStr"/>
      <c r="J141" s="10" t="inlineStr"/>
    </row>
    <row r="142">
      <c r="A142" s="7" t="inlineStr">
        <is>
          <t>q49_quality_chall</t>
        </is>
      </c>
      <c r="B142" s="8" t="inlineStr">
        <is>
          <t>49. What are the major challenges to improving the quality of patient care in your local area?</t>
        </is>
      </c>
      <c r="C142" s="8" t="inlineStr">
        <is>
          <t>49. What are the major challenges to improving the quality of patient care in your local area? DO NOT READ OPTIONS OUT LOUD. SELECT ALL THE ANSWER OPTIONS THAT THE RESPONDENT GIVES WITHOUT PROMPTING.</t>
        </is>
      </c>
      <c r="D142" s="8" t="inlineStr"/>
      <c r="E142" s="8" t="inlineStr"/>
      <c r="F142" s="8" t="inlineStr">
        <is>
          <t>C. Universal Health Care (UHC) Implementation</t>
        </is>
      </c>
      <c r="G142" s="8" t="inlineStr">
        <is>
          <t>alpha 20</t>
        </is>
      </c>
      <c r="H142" s="8" t="inlineStr">
        <is>
          <t>01 = Limited resources (personnel, equipment, supplies, funding)
02 = Challenging quality standards
03 = Healthcare decisions made by LGUs not the facility
04 = Lack of specific healthcare skills
05 = Inadequate training of healthcare workers
06 = Lack of patient awareness of UHC benefits
07 = Limited accessibility of public healthcare facilities
08 = Infrastructure not conducive for patient care
99 = Other (specify)</t>
        </is>
      </c>
      <c r="I142" s="8" t="inlineStr">
        <is>
          <t>09 = I don't know</t>
        </is>
      </c>
      <c r="J142" s="8" t="inlineStr"/>
    </row>
    <row r="143">
      <c r="A143" s="9" t="inlineStr">
        <is>
          <t>q49_quality_chall_other_txt</t>
        </is>
      </c>
      <c r="B143" s="10" t="inlineStr">
        <is>
          <t>49. What are the major challenges to improving the quality of patient care in your local area? — Other (specify) text</t>
        </is>
      </c>
      <c r="C143" s="10" t="inlineStr">
        <is>
          <t>49. What are the major challenges to improving the quality of patient care in your local area? — Other (specify) text</t>
        </is>
      </c>
      <c r="D143" s="10" t="inlineStr"/>
      <c r="E143" s="10" t="inlineStr"/>
      <c r="F143" s="10" t="inlineStr">
        <is>
          <t>C. Universal Health Care (UHC) Implementation</t>
        </is>
      </c>
      <c r="G143" s="10" t="inlineStr">
        <is>
          <t>alpha 120</t>
        </is>
      </c>
      <c r="H143" s="10" t="inlineStr"/>
      <c r="I143" s="10" t="inlineStr"/>
      <c r="J143" s="10" t="inlineStr"/>
    </row>
    <row r="144">
      <c r="A144" s="7" t="inlineStr">
        <is>
          <t>q50_access_chall</t>
        </is>
      </c>
      <c r="B144" s="8" t="inlineStr">
        <is>
          <t>50. What are the major challenges to improving the accessibility of patient care in your local area?</t>
        </is>
      </c>
      <c r="C144" s="8" t="inlineStr">
        <is>
          <t>50. What are the major challenges to improving the accessibility of patient care in your local area? DO NOT READ OPTIONS OUT LOUD. SELECT ALL THE ANSWER OPTIONS THAT THE RESPONDENT GIVES WITHOUT PROMPTING.</t>
        </is>
      </c>
      <c r="D144" s="8" t="inlineStr"/>
      <c r="E144" s="8" t="inlineStr"/>
      <c r="F144" s="8" t="inlineStr">
        <is>
          <t>C. Universal Health Care (UHC) Implementation</t>
        </is>
      </c>
      <c r="G144" s="8" t="inlineStr">
        <is>
          <t>alpha 20</t>
        </is>
      </c>
      <c r="H144" s="8" t="inlineStr">
        <is>
          <t>01 = Limited resources (personnel, equipment, supplies, funding)
02 = Challenging quality standards
03 = Healthcare decisions made by LGUs not the facility
04 = Lack of specific healthcare skills
05 = Inadequate training of healthcare workers
06 = Lack of patient awareness of UHC benefits
07 = Limited accessibility of public healthcare facilities
08 = Infrastructure not conducive for patient care
99 = Other (specify)</t>
        </is>
      </c>
      <c r="I144" s="8" t="inlineStr">
        <is>
          <t>09 = I don't know</t>
        </is>
      </c>
      <c r="J144" s="8" t="inlineStr"/>
    </row>
    <row r="145">
      <c r="A145" s="9" t="inlineStr">
        <is>
          <t>q50_access_chall_other_txt</t>
        </is>
      </c>
      <c r="B145" s="10" t="inlineStr">
        <is>
          <t>50. What are the major challenges to improving the accessibility of patient care in your local area? — Other (specify) text</t>
        </is>
      </c>
      <c r="C145" s="10" t="inlineStr">
        <is>
          <t>50. What are the major challenges to improving the accessibility of patient care in your local area? — Other (specify) text</t>
        </is>
      </c>
      <c r="D145" s="10" t="inlineStr"/>
      <c r="E145" s="10" t="inlineStr"/>
      <c r="F145" s="10" t="inlineStr">
        <is>
          <t>C. Universal Health Care (UHC) Implementation</t>
        </is>
      </c>
      <c r="G145" s="10" t="inlineStr">
        <is>
          <t>alpha 120</t>
        </is>
      </c>
      <c r="H145" s="10" t="inlineStr"/>
      <c r="I145" s="10" t="inlineStr"/>
      <c r="J145" s="10" t="inlineStr"/>
    </row>
    <row r="146">
      <c r="A146" s="7" t="inlineStr">
        <is>
          <t>q51_yk_accred</t>
        </is>
      </c>
      <c r="B146" s="8" t="inlineStr">
        <is>
          <t>51. Are you currently an accredited YAKAP/Konsulta provider?</t>
        </is>
      </c>
      <c r="C146" s="8" t="inlineStr">
        <is>
          <t>The next questions we will ask relate to the YAKAP/Konsulta package. Please answer to the best of your knowledge. You may answer “I don't know” if you are unsure. 51. Are you currently an accredited YAKAP/Konsulta provider?</t>
        </is>
      </c>
      <c r="D146" s="8" t="inlineStr"/>
      <c r="E146" s="8">
        <f> No → Q79 (skip Q52–Q78; non-accredited path)</f>
        <v/>
      </c>
      <c r="F146" s="8" t="inlineStr">
        <is>
          <t>D. YAKAP / Konsulta Package</t>
        </is>
      </c>
      <c r="G146" s="8" t="inlineStr">
        <is>
          <t>numeric 1</t>
        </is>
      </c>
      <c r="H146" s="8" t="inlineStr">
        <is>
          <t>1 = Yes
2 = No</t>
        </is>
      </c>
      <c r="I146" s="8" t="inlineStr"/>
      <c r="J146" s="8" t="inlineStr"/>
    </row>
    <row r="147">
      <c r="A147" s="9" t="inlineStr">
        <is>
          <t>q52_yk_since_month</t>
        </is>
      </c>
      <c r="B147" s="10" t="inlineStr">
        <is>
          <t>52. If yes, since when? Month</t>
        </is>
      </c>
      <c r="C147" s="10" t="inlineStr">
        <is>
          <t>52. If yes, since when? Month</t>
        </is>
      </c>
      <c r="D147" s="10" t="inlineStr">
        <is>
          <t>not asked when Q51 YK_ACCRED = No</t>
        </is>
      </c>
      <c r="E147" s="10" t="inlineStr"/>
      <c r="F147" s="10" t="inlineStr">
        <is>
          <t>D. YAKAP / Konsulta Package</t>
        </is>
      </c>
      <c r="G147" s="10" t="inlineStr">
        <is>
          <t>numeric 2</t>
        </is>
      </c>
      <c r="H147" s="10" t="inlineStr"/>
      <c r="I147" s="10" t="inlineStr"/>
      <c r="J147" s="10" t="inlineStr">
        <is>
          <t>[HARD] `1 ≤ m ≤ 12`</t>
        </is>
      </c>
    </row>
    <row r="148">
      <c r="A148" s="7" t="inlineStr">
        <is>
          <t>q52_yk_since_year</t>
        </is>
      </c>
      <c r="B148" s="8" t="inlineStr">
        <is>
          <t>52. If yes, since when? Year</t>
        </is>
      </c>
      <c r="C148" s="8" t="inlineStr">
        <is>
          <t>52. If yes, since when? Year</t>
        </is>
      </c>
      <c r="D148" s="8" t="inlineStr">
        <is>
          <t>not asked when Q51 YK_ACCRED = No</t>
        </is>
      </c>
      <c r="E148" s="8" t="inlineStr"/>
      <c r="F148" s="8" t="inlineStr">
        <is>
          <t>D. YAKAP / Konsulta Package</t>
        </is>
      </c>
      <c r="G148" s="8" t="inlineStr">
        <is>
          <t>numeric 4</t>
        </is>
      </c>
      <c r="H148" s="8" t="inlineStr"/>
      <c r="I148" s="8" t="inlineStr"/>
      <c r="J148" s="8" t="inlineStr">
        <is>
          <t>[HARD] `2019 ≤ year ≤ current_year` (UHC Act passed 2019)</t>
        </is>
      </c>
    </row>
    <row r="149">
      <c r="A149" s="9" t="inlineStr">
        <is>
          <t>q53_yk_package</t>
        </is>
      </c>
      <c r="B149" s="10" t="inlineStr">
        <is>
          <t>53. If accredited, which of the following are included in the YAKAP/Konsulta package?</t>
        </is>
      </c>
      <c r="C149" s="10" t="inlineStr">
        <is>
          <t>53. If accredited, which of the following are included in the YAKAP/Konsulta package? READ OPTIONS OUT LOUD. SELECT ALL THAT APPLY.</t>
        </is>
      </c>
      <c r="D149" s="10" t="inlineStr"/>
      <c r="E149" s="10" t="inlineStr"/>
      <c r="F149" s="10" t="inlineStr">
        <is>
          <t>D. YAKAP / Konsulta Package</t>
        </is>
      </c>
      <c r="G149" s="10" t="inlineStr">
        <is>
          <t>alpha 20</t>
        </is>
      </c>
      <c r="H149" s="10" t="inlineStr">
        <is>
          <t>01 = Pap smear
02 = Mammogram
03 = Lipid profile
04 = Thyroid function test
05 = Chest X-ray
06 = Low-dose CT scan
07 = Dental services
08 = All of the above
99 = Other (specify)</t>
        </is>
      </c>
      <c r="I149" s="10" t="inlineStr">
        <is>
          <t>09 = I don't know</t>
        </is>
      </c>
      <c r="J149" s="10" t="inlineStr"/>
    </row>
    <row r="150">
      <c r="A150" s="7" t="inlineStr">
        <is>
          <t>q53_yk_package_other_txt</t>
        </is>
      </c>
      <c r="B150" s="8" t="inlineStr">
        <is>
          <t>53. If accredited, which of the following are included in the YAKAP/Konsulta package? — Other (specify) text</t>
        </is>
      </c>
      <c r="C150" s="8" t="inlineStr">
        <is>
          <t>53. If accredited, which of the following are included in the YAKAP/Konsulta package? — Other (specify) text</t>
        </is>
      </c>
      <c r="D150" s="8" t="inlineStr"/>
      <c r="E150" s="8" t="inlineStr"/>
      <c r="F150" s="8" t="inlineStr">
        <is>
          <t>D. YAKAP / Konsulta Package</t>
        </is>
      </c>
      <c r="G150" s="8" t="inlineStr">
        <is>
          <t>alpha 120</t>
        </is>
      </c>
      <c r="H150" s="8" t="inlineStr"/>
      <c r="I150" s="8" t="inlineStr"/>
      <c r="J150" s="8" t="inlineStr"/>
    </row>
    <row r="151">
      <c r="A151" s="9" t="inlineStr">
        <is>
          <t>q54_yk_reg_indiv</t>
        </is>
      </c>
      <c r="B151" s="10" t="inlineStr">
        <is>
          <t>54. Is it possible to register individual patients to YAKAP/Konsulta at this facility?</t>
        </is>
      </c>
      <c r="C151" s="10" t="inlineStr">
        <is>
          <t>54. Is it possible to register individual patients to YAKAP/Konsulta at this facility?</t>
        </is>
      </c>
      <c r="D151" s="10" t="inlineStr"/>
      <c r="E151" s="10" t="inlineStr"/>
      <c r="F151" s="10" t="inlineStr">
        <is>
          <t>D. YAKAP / Konsulta Package</t>
        </is>
      </c>
      <c r="G151" s="10" t="inlineStr">
        <is>
          <t>numeric 1</t>
        </is>
      </c>
      <c r="H151" s="10" t="inlineStr">
        <is>
          <t>1 = Yes
2 = No</t>
        </is>
      </c>
      <c r="I151" s="10" t="inlineStr">
        <is>
          <t>3 = I don't know</t>
        </is>
      </c>
      <c r="J151" s="10" t="inlineStr"/>
    </row>
    <row r="152">
      <c r="A152" s="7" t="inlineStr">
        <is>
          <t>q55_yk_reg_fam</t>
        </is>
      </c>
      <c r="B152" s="8" t="inlineStr">
        <is>
          <t>55. Is it possible to register whole families to YAKAP/Konsulta at this facility?</t>
        </is>
      </c>
      <c r="C152" s="8" t="inlineStr">
        <is>
          <t>55. Is it possible to register whole families to YAKAP/Konsulta at this facility?</t>
        </is>
      </c>
      <c r="D152" s="8" t="inlineStr"/>
      <c r="E152" s="8" t="inlineStr"/>
      <c r="F152" s="8" t="inlineStr">
        <is>
          <t>D. YAKAP / Konsulta Package</t>
        </is>
      </c>
      <c r="G152" s="8" t="inlineStr">
        <is>
          <t>numeric 1</t>
        </is>
      </c>
      <c r="H152" s="8" t="inlineStr">
        <is>
          <t>1 = Yes
2 = No</t>
        </is>
      </c>
      <c r="I152" s="8" t="inlineStr">
        <is>
          <t>3 = I don't know</t>
        </is>
      </c>
      <c r="J152" s="8" t="inlineStr"/>
    </row>
    <row r="153">
      <c r="A153" s="9" t="inlineStr">
        <is>
          <t>q56_yk_reg_both</t>
        </is>
      </c>
      <c r="B153" s="10" t="inlineStr">
        <is>
          <t>56. Is it only possible to register both individual patients and their family members together to YAKAP/Konsulta at this facility?</t>
        </is>
      </c>
      <c r="C153" s="10" t="inlineStr">
        <is>
          <t>56. Is it only possible to register both individual patients and their family members together to YAKAP/Konsulta at this facility?</t>
        </is>
      </c>
      <c r="D153" s="10" t="inlineStr"/>
      <c r="E153" s="10" t="inlineStr"/>
      <c r="F153" s="10" t="inlineStr">
        <is>
          <t>D. YAKAP / Konsulta Package</t>
        </is>
      </c>
      <c r="G153" s="10" t="inlineStr">
        <is>
          <t>numeric 1</t>
        </is>
      </c>
      <c r="H153" s="10" t="inlineStr">
        <is>
          <t>1 = Yes
2 = No</t>
        </is>
      </c>
      <c r="I153" s="10" t="inlineStr">
        <is>
          <t>3 = I don't know</t>
        </is>
      </c>
      <c r="J153" s="10" t="inlineStr"/>
    </row>
    <row r="154">
      <c r="A154" s="7" t="inlineStr">
        <is>
          <t>q57_capitation_amt</t>
        </is>
      </c>
      <c r="B154" s="8" t="inlineStr">
        <is>
          <t>57. Based on your knowledge, what is the capitation amount of the YAKAP/Konsulta package? (Capitation is the amount per year per registered patient for delivering the YAKAP/Konsulta package services.)</t>
        </is>
      </c>
      <c r="C154" s="8" t="inlineStr">
        <is>
          <t>57. Based on your knowledge, what is the capitation amount of the YAKAP/Konsulta package? (Capitation is the amount per year per registered patient for delivering the YAKAP/Konsulta package services.)</t>
        </is>
      </c>
      <c r="D154" s="8" t="inlineStr"/>
      <c r="E154" s="8" t="inlineStr"/>
      <c r="F154" s="8" t="inlineStr">
        <is>
          <t>D. YAKAP / Konsulta Package</t>
        </is>
      </c>
      <c r="G154" s="8" t="inlineStr">
        <is>
          <t>numeric 6</t>
        </is>
      </c>
      <c r="H154" s="8" t="inlineStr"/>
      <c r="I154" s="8" t="inlineStr"/>
      <c r="J154" s="8" t="inlineStr">
        <is>
          <t>[HARD] `0 &lt; amt ≤ 5000` (PHP)</t>
        </is>
      </c>
    </row>
    <row r="155">
      <c r="A155" s="9" t="inlineStr">
        <is>
          <t>q58_perf_indicators</t>
        </is>
      </c>
      <c r="B155" s="10" t="inlineStr">
        <is>
          <t>58. What are the performance indicators you need to meet to receive the second tranche payment?</t>
        </is>
      </c>
      <c r="C155" s="10" t="inlineStr">
        <is>
          <t>58. What are the performance indicators you need to meet to receive the second tranche payment? Performance indicators are the defined set of healthcare goods and services to be provided for each enrolled patient to receive the full capitation payment. DO NOT READ OPTIONS OUT LOUD. SELECT ALL THE ANSWER OPTIONS THAT THE RESPONDENT GIVES WITHOUT PROMPTING. RESPONDENT MAY NOT BE ALLOWED TO LOOK FOR REFERENCE PRIOR TO ANSWERING THIS QUESTION.</t>
        </is>
      </c>
      <c r="D155" s="10" t="inlineStr"/>
      <c r="E155" s="10" t="inlineStr"/>
      <c r="F155" s="10" t="inlineStr">
        <is>
          <t>D. YAKAP / Konsulta Package</t>
        </is>
      </c>
      <c r="G155" s="10" t="inlineStr">
        <is>
          <t>alpha 16</t>
        </is>
      </c>
      <c r="H155" s="10" t="inlineStr">
        <is>
          <t>01 = Beneficiaries consulted a primary care doctor
02 = Utilization of laboratory services
03 = Beneficiaries received antibiotics as prescribed
04 = Beneficiaries received NCD medicine as prescribed
05 = No requirements
06 = 1st patient encounter
99 = Other (specify)</t>
        </is>
      </c>
      <c r="I155" s="10" t="inlineStr">
        <is>
          <t>07 = I don't know</t>
        </is>
      </c>
      <c r="J155" s="10" t="inlineStr"/>
    </row>
    <row r="156">
      <c r="A156" s="7" t="inlineStr">
        <is>
          <t>q58_perf_indicators_other_txt</t>
        </is>
      </c>
      <c r="B156" s="8" t="inlineStr">
        <is>
          <t>58. What are the performance indicators you need to meet to receive the second tranche payment? — Other (specify) text</t>
        </is>
      </c>
      <c r="C156" s="8" t="inlineStr">
        <is>
          <t>58. What are the performance indicators you need to meet to receive the second tranche payment? — Other (specify) text</t>
        </is>
      </c>
      <c r="D156" s="8" t="inlineStr"/>
      <c r="E156" s="8" t="inlineStr"/>
      <c r="F156" s="8" t="inlineStr">
        <is>
          <t>D. YAKAP / Konsulta Package</t>
        </is>
      </c>
      <c r="G156" s="8" t="inlineStr">
        <is>
          <t>alpha 120</t>
        </is>
      </c>
      <c r="H156" s="8" t="inlineStr"/>
      <c r="I156" s="8" t="inlineStr"/>
      <c r="J156" s="8" t="inlineStr"/>
    </row>
    <row r="157">
      <c r="A157" s="9" t="inlineStr">
        <is>
          <t>q59_know_pay_freq</t>
        </is>
      </c>
      <c r="B157" s="10" t="inlineStr">
        <is>
          <t>59. Do you know how often you can expect to receive payments from PhilHealth for the delivery of the YAKAP/Konsulta package?</t>
        </is>
      </c>
      <c r="C157" s="10" t="inlineStr">
        <is>
          <t>59. Do you know how often you can expect to receive payments from PhilHealth for the delivery of the YAKAP/Konsulta package?</t>
        </is>
      </c>
      <c r="D157" s="10" t="inlineStr"/>
      <c r="E157" s="10">
        <f> No → Q61 (skip Q60)</f>
        <v/>
      </c>
      <c r="F157" s="10" t="inlineStr">
        <is>
          <t>D. YAKAP / Konsulta Package</t>
        </is>
      </c>
      <c r="G157" s="10" t="inlineStr">
        <is>
          <t>numeric 1</t>
        </is>
      </c>
      <c r="H157" s="10" t="inlineStr">
        <is>
          <t>1 = Yes
2 = No</t>
        </is>
      </c>
      <c r="I157" s="10" t="inlineStr"/>
      <c r="J157" s="10" t="inlineStr"/>
    </row>
    <row r="158">
      <c r="A158" s="7" t="inlineStr">
        <is>
          <t>q60_pay_freq</t>
        </is>
      </c>
      <c r="B158" s="8" t="inlineStr">
        <is>
          <t>60. How often should you be receiving payments?</t>
        </is>
      </c>
      <c r="C158" s="8" t="inlineStr">
        <is>
          <t>60. How often should you be receiving payments? READ OPTIONS OUT LOUD. SELECT ONE ANSWER ONLY.</t>
        </is>
      </c>
      <c r="D158" s="8" t="inlineStr">
        <is>
          <t>not asked when Q59 KNOW_PAY_FREQ = No</t>
        </is>
      </c>
      <c r="E158" s="8" t="inlineStr"/>
      <c r="F158" s="8" t="inlineStr">
        <is>
          <t>D. YAKAP / Konsulta Package</t>
        </is>
      </c>
      <c r="G158" s="8" t="inlineStr">
        <is>
          <t>numeric 2</t>
        </is>
      </c>
      <c r="H158" s="8" t="inlineStr">
        <is>
          <t>1 = Monthly
2 = Quarterly
3 = Semi-annually
4 = Annually</t>
        </is>
      </c>
      <c r="I158" s="8" t="inlineStr"/>
      <c r="J158" s="8" t="inlineStr"/>
    </row>
    <row r="159">
      <c r="A159" s="9" t="inlineStr">
        <is>
          <t>q61_tranche_delay</t>
        </is>
      </c>
      <c r="B159" s="10" t="inlineStr">
        <is>
          <t>61. Were there delays in receiving capitation tranches?</t>
        </is>
      </c>
      <c r="C159" s="10" t="inlineStr">
        <is>
          <t>61. Were there delays in receiving capitation tranches?</t>
        </is>
      </c>
      <c r="D159" s="10" t="inlineStr">
        <is>
          <t>not asked when Q61 TRANCHE_DELAY = No</t>
        </is>
      </c>
      <c r="E159" s="10">
        <f> No → Q62 (skip Q61.1 reason text)</f>
        <v/>
      </c>
      <c r="F159" s="10" t="inlineStr">
        <is>
          <t>D. YAKAP / Konsulta Package</t>
        </is>
      </c>
      <c r="G159" s="10" t="inlineStr">
        <is>
          <t>numeric 1</t>
        </is>
      </c>
      <c r="H159" s="10" t="inlineStr">
        <is>
          <t>1 = Yes
2 = No</t>
        </is>
      </c>
      <c r="I159" s="10" t="inlineStr"/>
      <c r="J159" s="10" t="inlineStr"/>
    </row>
    <row r="160">
      <c r="A160" s="7" t="inlineStr">
        <is>
          <t>q61_delay_reason</t>
        </is>
      </c>
      <c r="B160" s="8" t="inlineStr">
        <is>
          <t>61.1. If yes, what was/were the reasons for the delay?</t>
        </is>
      </c>
      <c r="C160" s="8" t="inlineStr">
        <is>
          <t>61.1. If yes, what was/were the reasons for the delay?</t>
        </is>
      </c>
      <c r="D160" s="8" t="inlineStr">
        <is>
          <t>not asked when Q61 TRANCHE_DELAY = No</t>
        </is>
      </c>
      <c r="E160" s="8" t="inlineStr"/>
      <c r="F160" s="8" t="inlineStr">
        <is>
          <t>D. YAKAP / Konsulta Package</t>
        </is>
      </c>
      <c r="G160" s="8" t="inlineStr">
        <is>
          <t>alpha 240</t>
        </is>
      </c>
      <c r="H160" s="8" t="inlineStr"/>
      <c r="I160" s="8" t="inlineStr"/>
      <c r="J160" s="8" t="inlineStr"/>
    </row>
    <row r="161">
      <c r="A161" s="9" t="inlineStr">
        <is>
          <t>q62_tranche_interval</t>
        </is>
      </c>
      <c r="B161" s="10" t="inlineStr">
        <is>
          <t>62. On average, how long is the typical time interval between tranches releases to the facility?</t>
        </is>
      </c>
      <c r="C161" s="10" t="inlineStr">
        <is>
          <t>62. On average, how long is the typical time interval between tranches releases to the facility?</t>
        </is>
      </c>
      <c r="D161" s="10" t="inlineStr"/>
      <c r="E161" s="10" t="inlineStr"/>
      <c r="F161" s="10" t="inlineStr">
        <is>
          <t>D. YAKAP / Konsulta Package</t>
        </is>
      </c>
      <c r="G161" s="10" t="inlineStr">
        <is>
          <t>numeric 2</t>
        </is>
      </c>
      <c r="H161" s="10" t="inlineStr">
        <is>
          <t>1 = Less than a month
2 = 1-2 months
3 = 3-4 months
4 = 5-6 months
5 = More than six months</t>
        </is>
      </c>
      <c r="I161" s="10" t="inlineStr"/>
      <c r="J161" s="10" t="inlineStr"/>
    </row>
    <row r="162">
      <c r="A162" s="7" t="inlineStr">
        <is>
          <t>q63_accred_wait</t>
        </is>
      </c>
      <c r="B162" s="8" t="inlineStr">
        <is>
          <t>63. How many month/s did you wait from application submission to accreditation approval?</t>
        </is>
      </c>
      <c r="C162" s="8" t="inlineStr">
        <is>
          <t>63. How many month/s did you wait from application submission to accreditation approval?</t>
        </is>
      </c>
      <c r="D162" s="8" t="inlineStr"/>
      <c r="E162" s="8" t="inlineStr"/>
      <c r="F162" s="8" t="inlineStr">
        <is>
          <t>D. YAKAP / Konsulta Package</t>
        </is>
      </c>
      <c r="G162" s="8" t="inlineStr">
        <is>
          <t>numeric 2</t>
        </is>
      </c>
      <c r="H162" s="8" t="inlineStr">
        <is>
          <t>1 = Less than a month
2 = 1-2 months
3 = 3-4 months
4 = 5-6 months
5 = More than six months</t>
        </is>
      </c>
      <c r="I162" s="8" t="inlineStr"/>
      <c r="J162" s="8" t="inlineStr"/>
    </row>
    <row r="163">
      <c r="A163" s="9" t="inlineStr">
        <is>
          <t>q64_apply_reason</t>
        </is>
      </c>
      <c r="B163" s="10" t="inlineStr">
        <is>
          <t>64. Why did you apply to become a YAKAP/Konsulta provider?</t>
        </is>
      </c>
      <c r="C163" s="10" t="inlineStr">
        <is>
          <t>64. Why did you apply to become a YAKAP/Konsulta provider? DO NOT READ OPTIONS OUT LOUD. SELECT ALL THAT APPLY.</t>
        </is>
      </c>
      <c r="D163" s="10" t="inlineStr"/>
      <c r="E163" s="10" t="inlineStr"/>
      <c r="F163" s="10" t="inlineStr">
        <is>
          <t>D. YAKAP / Konsulta Package</t>
        </is>
      </c>
      <c r="G163" s="10" t="inlineStr">
        <is>
          <t>alpha 12</t>
        </is>
      </c>
      <c r="H163" s="10" t="inlineStr">
        <is>
          <t>01 = Incentives (capitation/payment for registered patients)
02 = Aligns with facility's mission
03 = Encouraged by LGU
04 = Mandated/required by DOH/UHC
05 = To improve facility services
99 = Other (specify)</t>
        </is>
      </c>
      <c r="I163" s="10" t="inlineStr"/>
      <c r="J163" s="10" t="inlineStr"/>
    </row>
    <row r="164">
      <c r="A164" s="7" t="inlineStr">
        <is>
          <t>q64_apply_reason_other_txt</t>
        </is>
      </c>
      <c r="B164" s="8" t="inlineStr">
        <is>
          <t>64. Why did you apply to become a YAKAP/Konsulta provider? — Other (specify) text</t>
        </is>
      </c>
      <c r="C164" s="8" t="inlineStr">
        <is>
          <t>64. Why did you apply to become a YAKAP/Konsulta provider? — Other (specify) text</t>
        </is>
      </c>
      <c r="D164" s="8" t="inlineStr"/>
      <c r="E164" s="8" t="inlineStr"/>
      <c r="F164" s="8" t="inlineStr">
        <is>
          <t>D. YAKAP / Konsulta Package</t>
        </is>
      </c>
      <c r="G164" s="8" t="inlineStr">
        <is>
          <t>alpha 120</t>
        </is>
      </c>
      <c r="H164" s="8" t="inlineStr"/>
      <c r="I164" s="8" t="inlineStr"/>
      <c r="J164" s="8" t="inlineStr"/>
    </row>
    <row r="165">
      <c r="A165" s="9" t="inlineStr">
        <is>
          <t>q65_accred_difficult</t>
        </is>
      </c>
      <c r="B165" s="10" t="inlineStr">
        <is>
          <t>65. Which of the following requirements were difficult to comply with for accreditation?</t>
        </is>
      </c>
      <c r="C165" s="10" t="inlineStr">
        <is>
          <t>65. Which of the following requirements were difficult to comply with for accreditation? These are the requirements for YAKAP/Konsulta accreditation outlined by DOH. READ OPTIONS OUT LOUD. SELECT ALL THAT APPLY.</t>
        </is>
      </c>
      <c r="D165" s="10" t="inlineStr"/>
      <c r="E165" s="10">
        <f> "None of the above" only → Q75 (skip Q66–Q74)</f>
        <v/>
      </c>
      <c r="F165" s="10" t="inlineStr">
        <is>
          <t>D. YAKAP / Konsulta Package</t>
        </is>
      </c>
      <c r="G165" s="10" t="inlineStr">
        <is>
          <t>alpha 20</t>
        </is>
      </c>
      <c r="H165" s="10" t="inlineStr">
        <is>
          <t>01 = Ability to conduct preventive/screening services and health education
02 = Capability to provide laboratory and radiologic services
03 = Capability to dispense required medicines
04 = General Infrastructure
05 = Equipment and Supplies
06 = Human resource
07 = Functional Health Information System
08 = Documentary requirements
09 = DOH licensing requirements
90 = None of the above</t>
        </is>
      </c>
      <c r="I165" s="10" t="inlineStr"/>
      <c r="J165" s="10" t="inlineStr"/>
    </row>
    <row r="166">
      <c r="A166" s="7" t="inlineStr">
        <is>
          <t>q66_why_diff_preventive</t>
        </is>
      </c>
      <c r="B166" s="8" t="inlineStr">
        <is>
          <t>66. Why was it difficult to comply with the following? Ability to conduct preventive/screening services and health education</t>
        </is>
      </c>
      <c r="C166" s="8" t="inlineStr">
        <is>
          <t>66. Why was it difficult to comply with the following? Ability to conduct preventive/screening services and health education DO NOT READ OPTIONS OUT LOUD. SELECT ALL THAT APPLY.</t>
        </is>
      </c>
      <c r="D166" s="8" t="inlineStr">
        <is>
          <t>not asked when Q65 ACCRED_DIFFICULT = "None of the above" only</t>
        </is>
      </c>
      <c r="E166" s="8" t="inlineStr"/>
      <c r="F166" s="8" t="inlineStr">
        <is>
          <t>D. YAKAP / Konsulta Package</t>
        </is>
      </c>
      <c r="G166" s="8" t="inlineStr">
        <is>
          <t>alpha 14</t>
        </is>
      </c>
      <c r="H166" s="8" t="inlineStr">
        <is>
          <t>01 = Not enough budget / too expensive
02 = Time-consuming
03 = Limited human resources
04 = Legal processes
05 = Compiling documentary requirements
06 = Stringent standards
99 = Other (specify)</t>
        </is>
      </c>
      <c r="I166" s="8" t="inlineStr"/>
      <c r="J166" s="8" t="inlineStr"/>
    </row>
    <row r="167">
      <c r="A167" s="9" t="inlineStr">
        <is>
          <t>q66_why_diff_preventive_other_txt</t>
        </is>
      </c>
      <c r="B167" s="10" t="inlineStr">
        <is>
          <t>66. Why was it difficult to comply with the following? Ability to conduct preventive/screening services and health education — Other (specify) text</t>
        </is>
      </c>
      <c r="C167" s="10" t="inlineStr">
        <is>
          <t>66. Why was it difficult to comply with the following? Ability to conduct preventive/screening services and health education — Other (specify) text</t>
        </is>
      </c>
      <c r="D167" s="10" t="inlineStr">
        <is>
          <t>not asked when Q65 ACCRED_DIFFICULT = "None of the above" only</t>
        </is>
      </c>
      <c r="E167" s="10" t="inlineStr"/>
      <c r="F167" s="10" t="inlineStr">
        <is>
          <t>D. YAKAP / Konsulta Package</t>
        </is>
      </c>
      <c r="G167" s="10" t="inlineStr">
        <is>
          <t>alpha 120</t>
        </is>
      </c>
      <c r="H167" s="10" t="inlineStr"/>
      <c r="I167" s="10" t="inlineStr"/>
      <c r="J167" s="10" t="inlineStr"/>
    </row>
    <row r="168">
      <c r="A168" s="7" t="inlineStr">
        <is>
          <t>q67_why_diff_lab</t>
        </is>
      </c>
      <c r="B168" s="8" t="inlineStr">
        <is>
          <t>67. Why was it difficult to comply with the following? Capability to provide services for required laboratory and radiologic services</t>
        </is>
      </c>
      <c r="C168" s="8" t="inlineStr">
        <is>
          <t>67. Why was it difficult to comply with the following? Capability to provide services for required laboratory and radiologic services DO NOT READ OPTIONS OUT LOUD. SELECT ALL THAT APPLY.</t>
        </is>
      </c>
      <c r="D168" s="8" t="inlineStr"/>
      <c r="E168" s="8" t="inlineStr"/>
      <c r="F168" s="8" t="inlineStr">
        <is>
          <t>D. YAKAP / Konsulta Package</t>
        </is>
      </c>
      <c r="G168" s="8" t="inlineStr">
        <is>
          <t>alpha 14</t>
        </is>
      </c>
      <c r="H168" s="8" t="inlineStr">
        <is>
          <t>01 = Not enough budget / too expensive
02 = Time-consuming
03 = Limited human resources
04 = Legal processes
05 = Compiling documentary requirements
06 = Stringent standards
99 = Other (specify)</t>
        </is>
      </c>
      <c r="I168" s="8" t="inlineStr"/>
      <c r="J168" s="8" t="inlineStr"/>
    </row>
    <row r="169">
      <c r="A169" s="9" t="inlineStr">
        <is>
          <t>q67_why_diff_lab_other_txt</t>
        </is>
      </c>
      <c r="B169" s="10" t="inlineStr">
        <is>
          <t>67. Why was it difficult to comply with the following? Capability to provide services for required laboratory and radiologic services — Other (specify) text</t>
        </is>
      </c>
      <c r="C169" s="10" t="inlineStr">
        <is>
          <t>67. Why was it difficult to comply with the following? Capability to provide services for required laboratory and radiologic services — Other (specify) text</t>
        </is>
      </c>
      <c r="D169" s="10" t="inlineStr"/>
      <c r="E169" s="10" t="inlineStr"/>
      <c r="F169" s="10" t="inlineStr">
        <is>
          <t>D. YAKAP / Konsulta Package</t>
        </is>
      </c>
      <c r="G169" s="10" t="inlineStr">
        <is>
          <t>alpha 120</t>
        </is>
      </c>
      <c r="H169" s="10" t="inlineStr"/>
      <c r="I169" s="10" t="inlineStr"/>
      <c r="J169" s="10" t="inlineStr"/>
    </row>
    <row r="170">
      <c r="A170" s="7" t="inlineStr">
        <is>
          <t>q68_why_diff_meds</t>
        </is>
      </c>
      <c r="B170" s="8" t="inlineStr">
        <is>
          <t>68. Why was it difficult to comply with the following? Capability to dispense required medicines</t>
        </is>
      </c>
      <c r="C170" s="8" t="inlineStr">
        <is>
          <t>68. Why was it difficult to comply with the following? Capability to dispense required medicines DO NOT READ OPTIONS OUT LOUD. SELECT ALL THAT APPLY.</t>
        </is>
      </c>
      <c r="D170" s="8" t="inlineStr"/>
      <c r="E170" s="8" t="inlineStr"/>
      <c r="F170" s="8" t="inlineStr">
        <is>
          <t>D. YAKAP / Konsulta Package</t>
        </is>
      </c>
      <c r="G170" s="8" t="inlineStr">
        <is>
          <t>alpha 14</t>
        </is>
      </c>
      <c r="H170" s="8" t="inlineStr">
        <is>
          <t>01 = Not enough budget / too expensive
02 = Time-consuming
03 = Limited human resources
04 = Legal processes
05 = Compiling documentary requirements
06 = Stringent standards
99 = Other (specify)</t>
        </is>
      </c>
      <c r="I170" s="8" t="inlineStr"/>
      <c r="J170" s="8" t="inlineStr"/>
    </row>
    <row r="171">
      <c r="A171" s="9" t="inlineStr">
        <is>
          <t>q68_why_diff_meds_other_txt</t>
        </is>
      </c>
      <c r="B171" s="10" t="inlineStr">
        <is>
          <t>68. Why was it difficult to comply with the following? Capability to dispense required medicines — Other (specify) text</t>
        </is>
      </c>
      <c r="C171" s="10" t="inlineStr">
        <is>
          <t>68. Why was it difficult to comply with the following? Capability to dispense required medicines — Other (specify) text</t>
        </is>
      </c>
      <c r="D171" s="10" t="inlineStr"/>
      <c r="E171" s="10" t="inlineStr"/>
      <c r="F171" s="10" t="inlineStr">
        <is>
          <t>D. YAKAP / Konsulta Package</t>
        </is>
      </c>
      <c r="G171" s="10" t="inlineStr">
        <is>
          <t>alpha 120</t>
        </is>
      </c>
      <c r="H171" s="10" t="inlineStr"/>
      <c r="I171" s="10" t="inlineStr"/>
      <c r="J171" s="10" t="inlineStr"/>
    </row>
    <row r="172">
      <c r="A172" s="7" t="inlineStr">
        <is>
          <t>q69_why_diff_infra</t>
        </is>
      </c>
      <c r="B172" s="8" t="inlineStr">
        <is>
          <t>69. Why was it difficult to comply with the following? General Infrastructure</t>
        </is>
      </c>
      <c r="C172" s="8" t="inlineStr">
        <is>
          <t>69. Why was it difficult to comply with the following? General Infrastructure DO NOT READ OPTIONS OUT LOUD. SELECT ALL THAT APPLY.</t>
        </is>
      </c>
      <c r="D172" s="8" t="inlineStr"/>
      <c r="E172" s="8" t="inlineStr"/>
      <c r="F172" s="8" t="inlineStr">
        <is>
          <t>D. YAKAP / Konsulta Package</t>
        </is>
      </c>
      <c r="G172" s="8" t="inlineStr">
        <is>
          <t>alpha 14</t>
        </is>
      </c>
      <c r="H172" s="8" t="inlineStr">
        <is>
          <t>01 = Not enough budget / too expensive
02 = Time-consuming
03 = Limited human resources
04 = Legal processes
05 = Compiling documentary requirements
06 = Stringent standards
99 = Other (specify)</t>
        </is>
      </c>
      <c r="I172" s="8" t="inlineStr"/>
      <c r="J172" s="8" t="inlineStr"/>
    </row>
    <row r="173">
      <c r="A173" s="9" t="inlineStr">
        <is>
          <t>q69_why_diff_infra_other_txt</t>
        </is>
      </c>
      <c r="B173" s="10" t="inlineStr">
        <is>
          <t>69. Why was it difficult to comply with the following? General Infrastructure — Other (specify) text</t>
        </is>
      </c>
      <c r="C173" s="10" t="inlineStr">
        <is>
          <t>69. Why was it difficult to comply with the following? General Infrastructure — Other (specify) text</t>
        </is>
      </c>
      <c r="D173" s="10" t="inlineStr"/>
      <c r="E173" s="10" t="inlineStr"/>
      <c r="F173" s="10" t="inlineStr">
        <is>
          <t>D. YAKAP / Konsulta Package</t>
        </is>
      </c>
      <c r="G173" s="10" t="inlineStr">
        <is>
          <t>alpha 120</t>
        </is>
      </c>
      <c r="H173" s="10" t="inlineStr"/>
      <c r="I173" s="10" t="inlineStr"/>
      <c r="J173" s="10" t="inlineStr"/>
    </row>
    <row r="174">
      <c r="A174" s="7" t="inlineStr">
        <is>
          <t>q70_why_diff_equipment</t>
        </is>
      </c>
      <c r="B174" s="8" t="inlineStr">
        <is>
          <t>70. Why was it difficult to comply with the following? Equipment and Supplies</t>
        </is>
      </c>
      <c r="C174" s="8" t="inlineStr">
        <is>
          <t>70. Why was it difficult to comply with the following? Equipment and Supplies DO NOT READ OPTIONS OUT LOUD. SELECT ALL THAT APPLY.</t>
        </is>
      </c>
      <c r="D174" s="8" t="inlineStr"/>
      <c r="E174" s="8" t="inlineStr"/>
      <c r="F174" s="8" t="inlineStr">
        <is>
          <t>D. YAKAP / Konsulta Package</t>
        </is>
      </c>
      <c r="G174" s="8" t="inlineStr">
        <is>
          <t>alpha 14</t>
        </is>
      </c>
      <c r="H174" s="8" t="inlineStr">
        <is>
          <t>01 = Not enough budget / too expensive
02 = Time-consuming
03 = Limited human resources
04 = Legal processes
05 = Compiling documentary requirements
06 = Stringent standards
99 = Other (specify)</t>
        </is>
      </c>
      <c r="I174" s="8" t="inlineStr"/>
      <c r="J174" s="8" t="inlineStr"/>
    </row>
    <row r="175">
      <c r="A175" s="9" t="inlineStr">
        <is>
          <t>q70_why_diff_equipment_other_txt</t>
        </is>
      </c>
      <c r="B175" s="10" t="inlineStr">
        <is>
          <t>70. Why was it difficult to comply with the following? Equipment and Supplies — Other (specify) text</t>
        </is>
      </c>
      <c r="C175" s="10" t="inlineStr">
        <is>
          <t>70. Why was it difficult to comply with the following? Equipment and Supplies — Other (specify) text</t>
        </is>
      </c>
      <c r="D175" s="10" t="inlineStr"/>
      <c r="E175" s="10" t="inlineStr"/>
      <c r="F175" s="10" t="inlineStr">
        <is>
          <t>D. YAKAP / Konsulta Package</t>
        </is>
      </c>
      <c r="G175" s="10" t="inlineStr">
        <is>
          <t>alpha 120</t>
        </is>
      </c>
      <c r="H175" s="10" t="inlineStr"/>
      <c r="I175" s="10" t="inlineStr"/>
      <c r="J175" s="10" t="inlineStr"/>
    </row>
    <row r="176">
      <c r="A176" s="7" t="inlineStr">
        <is>
          <t>q71_why_diff_hr</t>
        </is>
      </c>
      <c r="B176" s="8" t="inlineStr">
        <is>
          <t>71. Why was it difficult to comply with the following? Human resource</t>
        </is>
      </c>
      <c r="C176" s="8" t="inlineStr">
        <is>
          <t>71. Why was it difficult to comply with the following? Human resource DO NOT READ OPTIONS OUT LOUD. SELECT ALL THAT APPLY.</t>
        </is>
      </c>
      <c r="D176" s="8" t="inlineStr"/>
      <c r="E176" s="8" t="inlineStr"/>
      <c r="F176" s="8" t="inlineStr">
        <is>
          <t>D. YAKAP / Konsulta Package</t>
        </is>
      </c>
      <c r="G176" s="8" t="inlineStr">
        <is>
          <t>alpha 14</t>
        </is>
      </c>
      <c r="H176" s="8" t="inlineStr">
        <is>
          <t>01 = Not enough budget / too expensive
02 = Time-consuming
03 = Limited human resources
04 = Legal processes
05 = Compiling documentary requirements
06 = Stringent standards
99 = Other (specify)</t>
        </is>
      </c>
      <c r="I176" s="8" t="inlineStr"/>
      <c r="J176" s="8" t="inlineStr"/>
    </row>
    <row r="177">
      <c r="A177" s="9" t="inlineStr">
        <is>
          <t>q71_why_diff_hr_other_txt</t>
        </is>
      </c>
      <c r="B177" s="10" t="inlineStr">
        <is>
          <t>71. Why was it difficult to comply with the following? Human resource — Other (specify) text</t>
        </is>
      </c>
      <c r="C177" s="10" t="inlineStr">
        <is>
          <t>71. Why was it difficult to comply with the following? Human resource — Other (specify) text</t>
        </is>
      </c>
      <c r="D177" s="10" t="inlineStr"/>
      <c r="E177" s="10" t="inlineStr"/>
      <c r="F177" s="10" t="inlineStr">
        <is>
          <t>D. YAKAP / Konsulta Package</t>
        </is>
      </c>
      <c r="G177" s="10" t="inlineStr">
        <is>
          <t>alpha 120</t>
        </is>
      </c>
      <c r="H177" s="10" t="inlineStr"/>
      <c r="I177" s="10" t="inlineStr"/>
      <c r="J177" s="10" t="inlineStr"/>
    </row>
    <row r="178">
      <c r="A178" s="7" t="inlineStr">
        <is>
          <t>q72_why_diff_his</t>
        </is>
      </c>
      <c r="B178" s="8" t="inlineStr">
        <is>
          <t>72. Why was it difficult to comply with the following? Functional Health Information System</t>
        </is>
      </c>
      <c r="C178" s="8" t="inlineStr">
        <is>
          <t>72. Why was it difficult to comply with the following? Functional Health Information System DO NOT READ OPTIONS OUT LOUD. SELECT ALL THAT APPLY.</t>
        </is>
      </c>
      <c r="D178" s="8" t="inlineStr"/>
      <c r="E178" s="8" t="inlineStr"/>
      <c r="F178" s="8" t="inlineStr">
        <is>
          <t>D. YAKAP / Konsulta Package</t>
        </is>
      </c>
      <c r="G178" s="8" t="inlineStr">
        <is>
          <t>alpha 14</t>
        </is>
      </c>
      <c r="H178" s="8" t="inlineStr">
        <is>
          <t>01 = Not enough budget / too expensive
02 = Time-consuming
03 = Limited human resources
04 = Legal processes
05 = Compiling documentary requirements
06 = Stringent standards
99 = Other (specify)</t>
        </is>
      </c>
      <c r="I178" s="8" t="inlineStr"/>
      <c r="J178" s="8" t="inlineStr"/>
    </row>
    <row r="179">
      <c r="A179" s="9" t="inlineStr">
        <is>
          <t>q72_why_diff_his_other_txt</t>
        </is>
      </c>
      <c r="B179" s="10" t="inlineStr">
        <is>
          <t>72. Why was it difficult to comply with the following? Functional Health Information System — Other (specify) text</t>
        </is>
      </c>
      <c r="C179" s="10" t="inlineStr">
        <is>
          <t>72. Why was it difficult to comply with the following? Functional Health Information System — Other (specify) text</t>
        </is>
      </c>
      <c r="D179" s="10" t="inlineStr"/>
      <c r="E179" s="10" t="inlineStr"/>
      <c r="F179" s="10" t="inlineStr">
        <is>
          <t>D. YAKAP / Konsulta Package</t>
        </is>
      </c>
      <c r="G179" s="10" t="inlineStr">
        <is>
          <t>alpha 120</t>
        </is>
      </c>
      <c r="H179" s="10" t="inlineStr"/>
      <c r="I179" s="10" t="inlineStr"/>
      <c r="J179" s="10" t="inlineStr"/>
    </row>
    <row r="180">
      <c r="A180" s="7" t="inlineStr">
        <is>
          <t>q73_why_diff_docs</t>
        </is>
      </c>
      <c r="B180" s="8" t="inlineStr">
        <is>
          <t>73. Why was it difficult to comply with the following? Documentary requirements</t>
        </is>
      </c>
      <c r="C180" s="8" t="inlineStr">
        <is>
          <t>73. Why was it difficult to comply with the following? Documentary requirements DO NOT READ OPTIONS OUT LOUD. SELECT ALL THAT APPLY.</t>
        </is>
      </c>
      <c r="D180" s="8" t="inlineStr"/>
      <c r="E180" s="8" t="inlineStr"/>
      <c r="F180" s="8" t="inlineStr">
        <is>
          <t>D. YAKAP / Konsulta Package</t>
        </is>
      </c>
      <c r="G180" s="8" t="inlineStr">
        <is>
          <t>alpha 14</t>
        </is>
      </c>
      <c r="H180" s="8" t="inlineStr">
        <is>
          <t>01 = Not enough budget / too expensive
02 = Time-consuming
03 = Limited human resources
04 = Legal processes
05 = Compiling documentary requirements
06 = Stringent standards
99 = Other (specify)</t>
        </is>
      </c>
      <c r="I180" s="8" t="inlineStr"/>
      <c r="J180" s="8" t="inlineStr"/>
    </row>
    <row r="181">
      <c r="A181" s="9" t="inlineStr">
        <is>
          <t>q73_why_diff_docs_other_txt</t>
        </is>
      </c>
      <c r="B181" s="10" t="inlineStr">
        <is>
          <t>73. Why was it difficult to comply with the following? Documentary requirements — Other (specify) text</t>
        </is>
      </c>
      <c r="C181" s="10" t="inlineStr">
        <is>
          <t>73. Why was it difficult to comply with the following? Documentary requirements — Other (specify) text</t>
        </is>
      </c>
      <c r="D181" s="10" t="inlineStr"/>
      <c r="E181" s="10" t="inlineStr"/>
      <c r="F181" s="10" t="inlineStr">
        <is>
          <t>D. YAKAP / Konsulta Package</t>
        </is>
      </c>
      <c r="G181" s="10" t="inlineStr">
        <is>
          <t>alpha 120</t>
        </is>
      </c>
      <c r="H181" s="10" t="inlineStr"/>
      <c r="I181" s="10" t="inlineStr"/>
      <c r="J181" s="10" t="inlineStr"/>
    </row>
    <row r="182">
      <c r="A182" s="7" t="inlineStr">
        <is>
          <t>q74_why_diff_doh_lic</t>
        </is>
      </c>
      <c r="B182" s="8" t="inlineStr">
        <is>
          <t>74. Why was it difficult to comply with the following? DOH Licensing requirements</t>
        </is>
      </c>
      <c r="C182" s="8" t="inlineStr">
        <is>
          <t>74. Why was it difficult to comply with the following? DOH Licensing requirements DO NOT READ OPTIONS OUT LOUD. SELECT ALL THAT APPLY.</t>
        </is>
      </c>
      <c r="D182" s="8" t="inlineStr">
        <is>
          <t>not asked when Q65 ACCRED_DIFFICULT = "None of the above" only</t>
        </is>
      </c>
      <c r="E182" s="8" t="inlineStr"/>
      <c r="F182" s="8" t="inlineStr">
        <is>
          <t>D. YAKAP / Konsulta Package</t>
        </is>
      </c>
      <c r="G182" s="8" t="inlineStr">
        <is>
          <t>alpha 14</t>
        </is>
      </c>
      <c r="H182" s="8" t="inlineStr">
        <is>
          <t>01 = Not enough budget / too expensive
02 = Time-consuming
03 = Limited human resources
04 = Legal processes
05 = Compiling documentary requirements
06 = Stringent standards
99 = Other (specify)</t>
        </is>
      </c>
      <c r="I182" s="8" t="inlineStr"/>
      <c r="J182" s="8" t="inlineStr"/>
    </row>
    <row r="183">
      <c r="A183" s="9" t="inlineStr">
        <is>
          <t>q74_why_diff_doh_lic_other_txt</t>
        </is>
      </c>
      <c r="B183" s="10" t="inlineStr">
        <is>
          <t>74. Why was it difficult to comply with the following? DOH Licensing requirements — Other (specify) text</t>
        </is>
      </c>
      <c r="C183" s="10" t="inlineStr">
        <is>
          <t>74. Why was it difficult to comply with the following? DOH Licensing requirements — Other (specify) text</t>
        </is>
      </c>
      <c r="D183" s="10" t="inlineStr">
        <is>
          <t>not asked when Q65 ACCRED_DIFFICULT = "None of the above" only</t>
        </is>
      </c>
      <c r="E183" s="10" t="inlineStr"/>
      <c r="F183" s="10" t="inlineStr">
        <is>
          <t>D. YAKAP / Konsulta Package</t>
        </is>
      </c>
      <c r="G183" s="10" t="inlineStr">
        <is>
          <t>alpha 120</t>
        </is>
      </c>
      <c r="H183" s="10" t="inlineStr"/>
      <c r="I183" s="10" t="inlineStr"/>
      <c r="J183" s="10" t="inlineStr"/>
    </row>
    <row r="184">
      <c r="A184" s="7" t="inlineStr">
        <is>
          <t>q75_enroll_responsibility</t>
        </is>
      </c>
      <c r="B184" s="8" t="inlineStr">
        <is>
          <t>75. Based on your understanding, whose responsibility is it to enroll patients to YAKAP/Konsulta?</t>
        </is>
      </c>
      <c r="C184" s="8" t="inlineStr">
        <is>
          <t>75. Based on your understanding, whose responsibility is it to enroll patients to YAKAP/Konsulta? READ OPTIONS OUT LOUD. SELECT ALL THAT APPLY.</t>
        </is>
      </c>
      <c r="D184" s="8" t="inlineStr"/>
      <c r="E184" s="8" t="inlineStr"/>
      <c r="F184" s="8" t="inlineStr">
        <is>
          <t>D. YAKAP / Konsulta Package</t>
        </is>
      </c>
      <c r="G184" s="8" t="inlineStr">
        <is>
          <t>alpha 14</t>
        </is>
      </c>
      <c r="H184" s="8" t="inlineStr">
        <is>
          <t>01 = Patients' own initiative
02 = Facility
03 = LGU
04 = Someone else
05 = PhilHealth
99 = Other (specify)</t>
        </is>
      </c>
      <c r="I184" s="8" t="inlineStr">
        <is>
          <t>90 = I don't know</t>
        </is>
      </c>
      <c r="J184" s="8" t="inlineStr"/>
    </row>
    <row r="185">
      <c r="A185" s="9" t="inlineStr">
        <is>
          <t>q75_enroll_responsibility_other_txt</t>
        </is>
      </c>
      <c r="B185" s="10" t="inlineStr">
        <is>
          <t>75. Based on your understanding, whose responsibility is it to enroll patients to YAKAP/Konsulta? — Other (specify) text</t>
        </is>
      </c>
      <c r="C185" s="10" t="inlineStr">
        <is>
          <t>75. Based on your understanding, whose responsibility is it to enroll patients to YAKAP/Konsulta? — Other (specify) text</t>
        </is>
      </c>
      <c r="D185" s="10" t="inlineStr"/>
      <c r="E185" s="10" t="inlineStr"/>
      <c r="F185" s="10" t="inlineStr">
        <is>
          <t>D. YAKAP / Konsulta Package</t>
        </is>
      </c>
      <c r="G185" s="10" t="inlineStr">
        <is>
          <t>alpha 120</t>
        </is>
      </c>
      <c r="H185" s="10" t="inlineStr"/>
      <c r="I185" s="10" t="inlineStr"/>
      <c r="J185" s="10" t="inlineStr"/>
    </row>
    <row r="186">
      <c r="A186" s="7" t="inlineStr">
        <is>
          <t>q76_enroll_initiatives</t>
        </is>
      </c>
      <c r="B186" s="8" t="inlineStr">
        <is>
          <t>76. Which of the following initiatives are you doing to enroll patients in this facility to YAKAP/Konsulta?</t>
        </is>
      </c>
      <c r="C186" s="8" t="inlineStr">
        <is>
          <t>76. Which of the following initiatives are you doing to enroll patients in this facility to YAKAP/Konsulta? READ OPTIONS OUT LOUD. SELECT ALL THAT APPLY.</t>
        </is>
      </c>
      <c r="D186" s="8" t="inlineStr"/>
      <c r="E186" s="8" t="inlineStr"/>
      <c r="F186" s="8" t="inlineStr">
        <is>
          <t>D. YAKAP / Konsulta Package</t>
        </is>
      </c>
      <c r="G186" s="8" t="inlineStr">
        <is>
          <t>alpha 18</t>
        </is>
      </c>
      <c r="H186" s="8" t="inlineStr">
        <is>
          <t>01 = On-site Enrollment
02 = LGU Outreach
03 = Facility Outreach
04 = Barangay Health Workers (BHWs) Support
05 = Information Campaigns
06 = Local Health Insurance Offices (LHIO) / YAKAP caravans
07 = Coordination with other government agencies and private sector
90 = No initiatives
99 = Other (specify)</t>
        </is>
      </c>
      <c r="I186" s="8" t="inlineStr"/>
      <c r="J186" s="8" t="inlineStr"/>
    </row>
    <row r="187">
      <c r="A187" s="9" t="inlineStr">
        <is>
          <t>q76_enroll_initiatives_other_txt</t>
        </is>
      </c>
      <c r="B187" s="10" t="inlineStr">
        <is>
          <t>76. Which of the following initiatives are you doing to enroll patients in this facility to YAKAP/Konsulta? — Other (specify) text</t>
        </is>
      </c>
      <c r="C187" s="10" t="inlineStr">
        <is>
          <t>76. Which of the following initiatives are you doing to enroll patients in this facility to YAKAP/Konsulta? — Other (specify) text</t>
        </is>
      </c>
      <c r="D187" s="10" t="inlineStr"/>
      <c r="E187" s="10" t="inlineStr"/>
      <c r="F187" s="10" t="inlineStr">
        <is>
          <t>D. YAKAP / Konsulta Package</t>
        </is>
      </c>
      <c r="G187" s="10" t="inlineStr">
        <is>
          <t>alpha 120</t>
        </is>
      </c>
      <c r="H187" s="10" t="inlineStr"/>
      <c r="I187" s="10" t="inlineStr"/>
      <c r="J187" s="10" t="inlineStr"/>
    </row>
    <row r="188">
      <c r="A188" s="7" t="inlineStr">
        <is>
          <t>q77_enroll_chall</t>
        </is>
      </c>
      <c r="B188" s="8" t="inlineStr">
        <is>
          <t>77. Did you experience any challenges in enrolling patients to YAKAP/Konsulta?</t>
        </is>
      </c>
      <c r="C188" s="8" t="inlineStr">
        <is>
          <t>77. Did you experience any challenges in enrolling patients to YAKAP/Konsulta?</t>
        </is>
      </c>
      <c r="D188" s="8" t="inlineStr"/>
      <c r="E188" s="8">
        <f> No → Q85 (skip Q78)</f>
        <v/>
      </c>
      <c r="F188" s="8" t="inlineStr">
        <is>
          <t>D. YAKAP / Konsulta Package</t>
        </is>
      </c>
      <c r="G188" s="8" t="inlineStr">
        <is>
          <t>numeric 1</t>
        </is>
      </c>
      <c r="H188" s="8" t="inlineStr">
        <is>
          <t>1 = Yes
2 = No</t>
        </is>
      </c>
      <c r="I188" s="8" t="inlineStr"/>
      <c r="J188" s="8" t="inlineStr"/>
    </row>
    <row r="189">
      <c r="A189" s="9" t="inlineStr">
        <is>
          <t>q78_enroll_chall_list</t>
        </is>
      </c>
      <c r="B189" s="10" t="inlineStr">
        <is>
          <t>78. What are the challenges you have faced?</t>
        </is>
      </c>
      <c r="C189" s="10" t="inlineStr">
        <is>
          <t>78. What are the challenges you have faced? READ OPTIONS OUT LOUD. SELECT ALL THAT APPLY.</t>
        </is>
      </c>
      <c r="D189" s="10" t="inlineStr">
        <is>
          <t>not asked when Q51 YK_ACCRED = No
not asked when Q77 ENROLL_CHALL = No</t>
        </is>
      </c>
      <c r="E189" s="10" t="inlineStr"/>
      <c r="F189" s="10" t="inlineStr">
        <is>
          <t>D. YAKAP / Konsulta Package</t>
        </is>
      </c>
      <c r="G189" s="10" t="inlineStr">
        <is>
          <t>alpha 12</t>
        </is>
      </c>
      <c r="H189" s="10" t="inlineStr">
        <is>
          <t>01 = Lack of patient awareness
02 = Lack of patient willingness
03 = Lack of resources (manpower)
04 = Competition with other health facilities
05 = Technical / system issues of PhilHealth
99 = Other (specify)</t>
        </is>
      </c>
      <c r="I189" s="10" t="inlineStr"/>
      <c r="J189" s="10" t="inlineStr"/>
    </row>
    <row r="190">
      <c r="A190" s="7" t="inlineStr">
        <is>
          <t>q78_enroll_chall_list_other_txt</t>
        </is>
      </c>
      <c r="B190" s="8" t="inlineStr">
        <is>
          <t>78. What are the challenges you have faced? — Other (specify) text</t>
        </is>
      </c>
      <c r="C190" s="8" t="inlineStr">
        <is>
          <t>78. What are the challenges you have faced? — Other (specify) text</t>
        </is>
      </c>
      <c r="D190" s="8" t="inlineStr">
        <is>
          <t>not asked when Q51 YK_ACCRED = No
not asked when Q77 ENROLL_CHALL = No</t>
        </is>
      </c>
      <c r="E190" s="8" t="inlineStr"/>
      <c r="F190" s="8" t="inlineStr">
        <is>
          <t>D. YAKAP / Konsulta Package</t>
        </is>
      </c>
      <c r="G190" s="8" t="inlineStr">
        <is>
          <t>alpha 120</t>
        </is>
      </c>
      <c r="H190" s="8" t="inlineStr"/>
      <c r="I190" s="8" t="inlineStr"/>
      <c r="J190" s="8" t="inlineStr"/>
    </row>
    <row r="191">
      <c r="A191" s="9" t="inlineStr">
        <is>
          <t>q79_not_accred_reason</t>
        </is>
      </c>
      <c r="B191" s="10" t="inlineStr">
        <is>
          <t>79. If not YAKAP/ KONSULTA accredited, why are you not accredited?</t>
        </is>
      </c>
      <c r="C191" s="10" t="inlineStr">
        <is>
          <t>79. If not YAKAP/ KONSULTA accredited, why are you not accredited? READ OPTIONS OUT LOUD. SELECT ALL THAT APPLY.</t>
        </is>
      </c>
      <c r="D191" s="10" t="inlineStr"/>
      <c r="E191" s="10" t="inlineStr"/>
      <c r="F191" s="10" t="inlineStr">
        <is>
          <t>D. YAKAP / Konsulta Package</t>
        </is>
      </c>
      <c r="G191" s="10" t="inlineStr">
        <is>
          <t>alpha 8</t>
        </is>
      </c>
      <c r="H191" s="10" t="inlineStr">
        <is>
          <t>01 = Difficult process
02 = No time
03 = Ongoing application
99 = Other (specify)</t>
        </is>
      </c>
      <c r="I191" s="10" t="inlineStr"/>
      <c r="J191" s="10" t="inlineStr"/>
    </row>
    <row r="192">
      <c r="A192" s="7" t="inlineStr">
        <is>
          <t>q79_not_accred_reason_other_txt</t>
        </is>
      </c>
      <c r="B192" s="8" t="inlineStr">
        <is>
          <t>79. If not YAKAP/ KONSULTA accredited, why are you not accredited? — Other (specify) text</t>
        </is>
      </c>
      <c r="C192" s="8" t="inlineStr">
        <is>
          <t>79. If not YAKAP/ KONSULTA accredited, why are you not accredited? — Other (specify) text</t>
        </is>
      </c>
      <c r="D192" s="8" t="inlineStr"/>
      <c r="E192" s="8" t="inlineStr"/>
      <c r="F192" s="8" t="inlineStr">
        <is>
          <t>D. YAKAP / Konsulta Package</t>
        </is>
      </c>
      <c r="G192" s="8" t="inlineStr">
        <is>
          <t>alpha 120</t>
        </is>
      </c>
      <c r="H192" s="8" t="inlineStr"/>
      <c r="I192" s="8" t="inlineStr"/>
      <c r="J192" s="8" t="inlineStr"/>
    </row>
    <row r="193">
      <c r="A193" s="9" t="inlineStr">
        <is>
          <t>q80_intend_accred</t>
        </is>
      </c>
      <c r="B193" s="10" t="inlineStr">
        <is>
          <t>80. Are you intending to become a YAKAP/Konsulta provider?</t>
        </is>
      </c>
      <c r="C193" s="10" t="inlineStr">
        <is>
          <t>80. Are you intending to become a YAKAP/Konsulta provider?</t>
        </is>
      </c>
      <c r="D193" s="10" t="inlineStr"/>
      <c r="E193" s="10">
        <f> "Yes, in process" / "Yes, not in process" (1, 2) → Q84</f>
        <v/>
      </c>
      <c r="F193" s="10" t="inlineStr">
        <is>
          <t>D. YAKAP / Konsulta Package</t>
        </is>
      </c>
      <c r="G193" s="10" t="inlineStr">
        <is>
          <t>numeric 2</t>
        </is>
      </c>
      <c r="H193" s="10" t="inlineStr">
        <is>
          <t>1 = Yes, already in process
2 = Yes, not yet in process
3 = No, decided not to
4 = No, tried and failed
5 = No, haven't thought about it yet</t>
        </is>
      </c>
      <c r="I193" s="10" t="inlineStr">
        <is>
          <t>6 = I don't know</t>
        </is>
      </c>
      <c r="J193" s="10" t="inlineStr"/>
    </row>
    <row r="194">
      <c r="A194" s="7" t="inlineStr">
        <is>
          <t>q81_know_how_start</t>
        </is>
      </c>
      <c r="B194" s="8" t="inlineStr">
        <is>
          <t>81. If you decide to apply today, would you know how to start the process?</t>
        </is>
      </c>
      <c r="C194" s="8" t="inlineStr">
        <is>
          <t>81. If you decide to apply today, would you know how to start the process?</t>
        </is>
      </c>
      <c r="D194" s="8" t="inlineStr"/>
      <c r="E194" s="8" t="inlineStr"/>
      <c r="F194" s="8" t="inlineStr">
        <is>
          <t>D. YAKAP / Konsulta Package</t>
        </is>
      </c>
      <c r="G194" s="8" t="inlineStr">
        <is>
          <t>numeric 1</t>
        </is>
      </c>
      <c r="H194" s="8" t="inlineStr">
        <is>
          <t>1 = Yes
2 = No</t>
        </is>
      </c>
      <c r="I194" s="8" t="inlineStr"/>
      <c r="J194" s="8" t="inlineStr"/>
    </row>
    <row r="195">
      <c r="A195" s="9" t="inlineStr">
        <is>
          <t>q82_decided_not_reason</t>
        </is>
      </c>
      <c r="B195" s="10" t="inlineStr">
        <is>
          <t>82. What was the deciding factor not to apply?</t>
        </is>
      </c>
      <c r="C195" s="10" t="inlineStr">
        <is>
          <t>82. What was the deciding factor not to apply?</t>
        </is>
      </c>
      <c r="D195" s="10" t="inlineStr"/>
      <c r="E195" s="10" t="inlineStr"/>
      <c r="F195" s="10" t="inlineStr">
        <is>
          <t>D. YAKAP / Konsulta Package</t>
        </is>
      </c>
      <c r="G195" s="10" t="inlineStr">
        <is>
          <t>alpha 240</t>
        </is>
      </c>
      <c r="H195" s="10" t="inlineStr"/>
      <c r="I195" s="10" t="inlineStr"/>
      <c r="J195" s="10" t="inlineStr"/>
    </row>
    <row r="196">
      <c r="A196" s="7" t="inlineStr">
        <is>
          <t>q83_tried_failed_reason</t>
        </is>
      </c>
      <c r="B196" s="8" t="inlineStr">
        <is>
          <t>83. What went wrong with the application?</t>
        </is>
      </c>
      <c r="C196" s="8" t="inlineStr">
        <is>
          <t>83. What went wrong with the application?</t>
        </is>
      </c>
      <c r="D196" s="8" t="inlineStr"/>
      <c r="E196" s="8" t="inlineStr"/>
      <c r="F196" s="8" t="inlineStr">
        <is>
          <t>D. YAKAP / Konsulta Package</t>
        </is>
      </c>
      <c r="G196" s="8" t="inlineStr">
        <is>
          <t>alpha 240</t>
        </is>
      </c>
      <c r="H196" s="8" t="inlineStr"/>
      <c r="I196" s="8" t="inlineStr"/>
      <c r="J196" s="8" t="inlineStr"/>
    </row>
    <row r="197">
      <c r="A197" s="9" t="inlineStr">
        <is>
          <t>q84_process_chall</t>
        </is>
      </c>
      <c r="B197" s="10" t="inlineStr">
        <is>
          <t>84. What are some challenges in the process, if any?</t>
        </is>
      </c>
      <c r="C197" s="10" t="inlineStr">
        <is>
          <t>84. What are some challenges in the process, if any?</t>
        </is>
      </c>
      <c r="D197" s="10" t="inlineStr"/>
      <c r="E197" s="10" t="inlineStr"/>
      <c r="F197" s="10" t="inlineStr">
        <is>
          <t>D. YAKAP / Konsulta Package</t>
        </is>
      </c>
      <c r="G197" s="10" t="inlineStr">
        <is>
          <t>alpha 240</t>
        </is>
      </c>
      <c r="H197" s="10" t="inlineStr"/>
      <c r="I197" s="10" t="inlineStr"/>
      <c r="J197" s="10" t="inlineStr"/>
    </row>
    <row r="198">
      <c r="A198" s="7" t="inlineStr">
        <is>
          <t>q85_catchment_area</t>
        </is>
      </c>
      <c r="B198" s="8" t="inlineStr">
        <is>
          <t>85. What areas do you consider as the facility's catchment area/s?</t>
        </is>
      </c>
      <c r="C198" s="8" t="inlineStr">
        <is>
          <t>85. What areas do you consider as the facility's catchment area/s?</t>
        </is>
      </c>
      <c r="D198" s="8" t="inlineStr"/>
      <c r="E198" s="8" t="inlineStr"/>
      <c r="F198" s="8" t="inlineStr">
        <is>
          <t>D. YAKAP / Konsulta Package</t>
        </is>
      </c>
      <c r="G198" s="8" t="inlineStr">
        <is>
          <t>alpha 240</t>
        </is>
      </c>
      <c r="H198" s="8" t="inlineStr"/>
      <c r="I198" s="8" t="inlineStr"/>
      <c r="J198" s="8" t="inlineStr"/>
    </row>
    <row r="199">
      <c r="A199" s="9" t="inlineStr">
        <is>
          <t>q86_eligible_patients</t>
        </is>
      </c>
      <c r="B199" s="10" t="inlineStr">
        <is>
          <t>86. How many patients in your catchment area are eligible to register to this YAKAP/Konsulta provider?</t>
        </is>
      </c>
      <c r="C199" s="10" t="inlineStr">
        <is>
          <t>86. How many patients in your catchment area are eligible to register to this YAKAP/Konsulta provider?</t>
        </is>
      </c>
      <c r="D199" s="10" t="inlineStr"/>
      <c r="E199" s="10" t="inlineStr"/>
      <c r="F199" s="10" t="inlineStr">
        <is>
          <t>D. YAKAP / Konsulta Package</t>
        </is>
      </c>
      <c r="G199" s="10" t="inlineStr">
        <is>
          <t>numeric 7</t>
        </is>
      </c>
      <c r="H199" s="10" t="inlineStr"/>
      <c r="I199" s="10" t="inlineStr"/>
      <c r="J199" s="10" t="inlineStr">
        <is>
          <t>[HARD] `0 ≤ n ≤ 1,000,000`</t>
        </is>
      </c>
    </row>
    <row r="200">
      <c r="A200" s="7" t="inlineStr">
        <is>
          <t>q87_registered_patients</t>
        </is>
      </c>
      <c r="B200" s="8" t="inlineStr">
        <is>
          <t>87. How many eligible patients in your catchment area are already registered to this YAKAP/Konsulta provider?</t>
        </is>
      </c>
      <c r="C200" s="8" t="inlineStr">
        <is>
          <t>87. How many eligible patients in your catchment area are already registered to this YAKAP/Konsulta provider?</t>
        </is>
      </c>
      <c r="D200" s="8" t="inlineStr"/>
      <c r="E200" s="8" t="inlineStr"/>
      <c r="F200" s="8" t="inlineStr">
        <is>
          <t>D. YAKAP / Konsulta Package</t>
        </is>
      </c>
      <c r="G200" s="8" t="inlineStr">
        <is>
          <t>numeric 7</t>
        </is>
      </c>
      <c r="H200" s="8" t="inlineStr"/>
      <c r="I200" s="8" t="inlineStr"/>
      <c r="J200" s="8" t="inlineStr">
        <is>
          <t>[HARD] `0 ≤ n ≤ Q86_ELIGIBLE_PATIENTS` (registered cannot exceed eligible)</t>
        </is>
      </c>
    </row>
    <row r="201">
      <c r="A201" s="9" t="inlineStr">
        <is>
          <t>q88_is_1700_enough</t>
        </is>
      </c>
      <c r="B201" s="10" t="inlineStr">
        <is>
          <t>88. The maximum per capita rate for YAKAP/Konsulta is Php 1,700 across private and public facilities (40% after first patient encounter, 60% based on registered catchment population by December). Based on your practice, is this enough?</t>
        </is>
      </c>
      <c r="C201" s="10" t="inlineStr">
        <is>
          <t>88. The maximum per capita rate for YAKAP/Konsulta is Php 1,700 across private and public facilities (40% after first patient encounter, 60% based on registered catchment population by December). Based on your practice, is this enough?</t>
        </is>
      </c>
      <c r="D201" s="10" t="inlineStr"/>
      <c r="E201" s="10" t="inlineStr"/>
      <c r="F201" s="10" t="inlineStr">
        <is>
          <t>D. YAKAP / Konsulta Package</t>
        </is>
      </c>
      <c r="G201" s="10" t="inlineStr">
        <is>
          <t>numeric 1</t>
        </is>
      </c>
      <c r="H201" s="10" t="inlineStr">
        <is>
          <t>1 = Yes
2 = No</t>
        </is>
      </c>
      <c r="I201" s="10" t="inlineStr">
        <is>
          <t>3 = I don't know</t>
        </is>
      </c>
      <c r="J201" s="10" t="inlineStr"/>
    </row>
    <row r="202">
      <c r="A202" s="7" t="inlineStr">
        <is>
          <t>q89_costing_done</t>
        </is>
      </c>
      <c r="B202" s="8" t="inlineStr">
        <is>
          <t>89. Did you go through a costing exercise to figure out if this was viable for your facility?</t>
        </is>
      </c>
      <c r="C202" s="8" t="inlineStr">
        <is>
          <t>89. Did you go through a costing exercise to figure out if this was viable for your facility?</t>
        </is>
      </c>
      <c r="D202" s="8" t="inlineStr"/>
      <c r="E202" s="8">
        <f> No → Q91 (skip Q90)</f>
        <v/>
      </c>
      <c r="F202" s="8" t="inlineStr">
        <is>
          <t>D. YAKAP / Konsulta Package</t>
        </is>
      </c>
      <c r="G202" s="8" t="inlineStr">
        <is>
          <t>numeric 1</t>
        </is>
      </c>
      <c r="H202" s="8" t="inlineStr">
        <is>
          <t>1 = Yes
2 = No</t>
        </is>
      </c>
      <c r="I202" s="8" t="inlineStr">
        <is>
          <t>3 = I don't know</t>
        </is>
      </c>
      <c r="J202" s="8" t="inlineStr"/>
    </row>
    <row r="203">
      <c r="A203" s="9" t="inlineStr">
        <is>
          <t>q90_costing_viable</t>
        </is>
      </c>
      <c r="B203" s="10" t="inlineStr">
        <is>
          <t>90. Did the costing exercise show that Php 1,700 was viable for your facility?</t>
        </is>
      </c>
      <c r="C203" s="10" t="inlineStr">
        <is>
          <t>90. Did the costing exercise show that Php 1,700 was viable for your facility?</t>
        </is>
      </c>
      <c r="D203" s="10" t="inlineStr">
        <is>
          <t>not asked when Q89 COSTING_DONE = No</t>
        </is>
      </c>
      <c r="E203" s="10">
        <f> Yes AND Q51 = Yes → Q91</f>
        <v/>
      </c>
      <c r="F203" s="10" t="inlineStr">
        <is>
          <t>D. YAKAP / Konsulta Package</t>
        </is>
      </c>
      <c r="G203" s="10" t="inlineStr">
        <is>
          <t>numeric 1</t>
        </is>
      </c>
      <c r="H203" s="10" t="inlineStr">
        <is>
          <t>1 = Yes
2 = No</t>
        </is>
      </c>
      <c r="I203" s="10" t="inlineStr">
        <is>
          <t>3 = I don't know</t>
        </is>
      </c>
      <c r="J203" s="10" t="inlineStr"/>
    </row>
    <row r="204">
      <c r="A204" s="7" t="inlineStr">
        <is>
          <t>q91_min_cap_value_acc</t>
        </is>
      </c>
      <c r="B204" s="8" t="inlineStr">
        <is>
          <t>91. What would be the minimum acceptable capitation value per patient per year for you as a YAKAP/Konsulta provider?</t>
        </is>
      </c>
      <c r="C204" s="8" t="inlineStr">
        <is>
          <t>91. What would be the minimum acceptable capitation value per patient per year for you as a YAKAP/Konsulta provider?</t>
        </is>
      </c>
      <c r="D204" s="8" t="inlineStr"/>
      <c r="E204" s="8" t="inlineStr"/>
      <c r="F204" s="8" t="inlineStr">
        <is>
          <t>D. YAKAP / Konsulta Package</t>
        </is>
      </c>
      <c r="G204" s="8" t="inlineStr">
        <is>
          <t>numeric 6</t>
        </is>
      </c>
      <c r="H204" s="8" t="inlineStr"/>
      <c r="I204" s="8" t="inlineStr"/>
      <c r="J204" s="8" t="inlineStr">
        <is>
          <t>[HARD / SOFT] `0 &lt; amt ≤ 50000`; warn if `&gt; 5000`</t>
        </is>
      </c>
    </row>
    <row r="205">
      <c r="A205" s="9" t="inlineStr">
        <is>
          <t>q92_min_cap_value_nonacc</t>
        </is>
      </c>
      <c r="B205" s="10" t="inlineStr">
        <is>
          <t>92. What would be the minimum acceptable capitation value per patient per year for you to consider being a YAKAP/Konsulta provider?</t>
        </is>
      </c>
      <c r="C205" s="10" t="inlineStr">
        <is>
          <t>92. What would be the minimum acceptable capitation value per patient per year for you to consider being a YAKAP/Konsulta provider?</t>
        </is>
      </c>
      <c r="D205" s="10" t="inlineStr"/>
      <c r="E205" s="10" t="inlineStr"/>
      <c r="F205" s="10" t="inlineStr">
        <is>
          <t>D. YAKAP / Konsulta Package</t>
        </is>
      </c>
      <c r="G205" s="10" t="inlineStr">
        <is>
          <t>numeric 6</t>
        </is>
      </c>
      <c r="H205" s="10" t="inlineStr"/>
      <c r="I205" s="10" t="inlineStr"/>
      <c r="J205" s="10" t="inlineStr">
        <is>
          <t>[HARD / SOFT] `0 &lt; amt ≤ 50000`; warn if `&gt; 5000`</t>
        </is>
      </c>
    </row>
    <row r="206">
      <c r="A206" s="7" t="inlineStr">
        <is>
          <t>q93_charge_addl_cap</t>
        </is>
      </c>
      <c r="B206" s="8" t="inlineStr">
        <is>
          <t>93. Does your facility charge additional capitation fees?</t>
        </is>
      </c>
      <c r="C206" s="8" t="inlineStr">
        <is>
          <t>93. Does your facility charge additional capitation fees?</t>
        </is>
      </c>
      <c r="D206" s="8" t="inlineStr"/>
      <c r="E206" s="8">
        <f> No → Q95 (skip Q94)</f>
        <v/>
      </c>
      <c r="F206" s="8" t="inlineStr">
        <is>
          <t>D. YAKAP / Konsulta Package</t>
        </is>
      </c>
      <c r="G206" s="8" t="inlineStr">
        <is>
          <t>numeric 1</t>
        </is>
      </c>
      <c r="H206" s="8" t="inlineStr">
        <is>
          <t>1 = Yes
2 = No</t>
        </is>
      </c>
      <c r="I206" s="8" t="inlineStr"/>
      <c r="J206" s="8" t="inlineStr"/>
    </row>
    <row r="207">
      <c r="A207" s="9" t="inlineStr">
        <is>
          <t>q94_charge_addl_cap_reasons</t>
        </is>
      </c>
      <c r="B207" s="10" t="inlineStr">
        <is>
          <t>94. What is/are the reason/s for the facility to charge additional capitation fees?</t>
        </is>
      </c>
      <c r="C207" s="10" t="inlineStr">
        <is>
          <t>94. What is/are the reason/s for the facility to charge additional capitation fees? DO NOT READ OPTIONS OUT LOUD. SELECT ALL THAT APPLY.</t>
        </is>
      </c>
      <c r="D207" s="10" t="inlineStr">
        <is>
          <t>not asked when Q93 CHARGE_ADDL_CAP = No</t>
        </is>
      </c>
      <c r="E207" s="10" t="inlineStr"/>
      <c r="F207" s="10" t="inlineStr">
        <is>
          <t>D. YAKAP / Konsulta Package</t>
        </is>
      </c>
      <c r="G207" s="10" t="inlineStr">
        <is>
          <t>alpha 12</t>
        </is>
      </c>
      <c r="H207" s="10" t="inlineStr">
        <is>
          <t>01 = Cover building maintenance, equipment, non-clinical staff
02 = Patient care costs exceed predetermined fixed payment
03 = Services excluded from capitation coverage
04 = Provide preventive care not adequately compensated
05 = Offset losses
99 = Other (specify)</t>
        </is>
      </c>
      <c r="I207" s="10" t="inlineStr"/>
      <c r="J207" s="10" t="inlineStr"/>
    </row>
    <row r="208">
      <c r="A208" s="7" t="inlineStr">
        <is>
          <t>q94_charge_addl_cap_reasons_other_txt</t>
        </is>
      </c>
      <c r="B208" s="8" t="inlineStr">
        <is>
          <t>94. What is/are the reason/s for the facility to charge additional capitation fees? — Other (specify) text</t>
        </is>
      </c>
      <c r="C208" s="8" t="inlineStr">
        <is>
          <t>94. What is/are the reason/s for the facility to charge additional capitation fees? — Other (specify) text</t>
        </is>
      </c>
      <c r="D208" s="8" t="inlineStr">
        <is>
          <t>not asked when Q93 CHARGE_ADDL_CAP = No</t>
        </is>
      </c>
      <c r="E208" s="8" t="inlineStr"/>
      <c r="F208" s="8" t="inlineStr">
        <is>
          <t>D. YAKAP / Konsulta Package</t>
        </is>
      </c>
      <c r="G208" s="8" t="inlineStr">
        <is>
          <t>alpha 120</t>
        </is>
      </c>
      <c r="H208" s="8" t="inlineStr"/>
      <c r="I208" s="8" t="inlineStr"/>
      <c r="J208" s="8" t="inlineStr"/>
    </row>
    <row r="209">
      <c r="A209" s="9" t="inlineStr">
        <is>
          <t>q95_received_payments</t>
        </is>
      </c>
      <c r="B209" s="10" t="inlineStr">
        <is>
          <t>95. Have you already received payments for patients enrolled?</t>
        </is>
      </c>
      <c r="C209" s="10" t="inlineStr">
        <is>
          <t>95. Have you already received payments for patients enrolled? READ OPTIONS OUT LOUD. SELECT ONE ANSWER ONLY.</t>
        </is>
      </c>
      <c r="D209" s="10" t="inlineStr"/>
      <c r="E209" s="10" t="inlineStr">
        <is>
          <t>∈ {Yes-all, Yes-some} → Q97 (skip Q96)</t>
        </is>
      </c>
      <c r="F209" s="10" t="inlineStr">
        <is>
          <t>D. YAKAP / Konsulta Package</t>
        </is>
      </c>
      <c r="G209" s="10" t="inlineStr">
        <is>
          <t>numeric 2</t>
        </is>
      </c>
      <c r="H209" s="10" t="inlineStr">
        <is>
          <t>1 = Yes, received all expected payments
2 = Yes, received some but not all expected
3 = No, have not received any expected payments
4 = No, have not expected any payments yet</t>
        </is>
      </c>
      <c r="I209" s="10" t="inlineStr"/>
      <c r="J209" s="10" t="inlineStr"/>
    </row>
    <row r="210">
      <c r="A210" s="7" t="inlineStr">
        <is>
          <t>q96_not_received_reasons</t>
        </is>
      </c>
      <c r="B210" s="8" t="inlineStr">
        <is>
          <t>96. Why not?</t>
        </is>
      </c>
      <c r="C210" s="8" t="inlineStr">
        <is>
          <t>96. Why not? DO NOT READ OPTIONS OUT LOUD. SELECT ALL THAT APPLY.</t>
        </is>
      </c>
      <c r="D210" s="8" t="inlineStr">
        <is>
          <t>not asked when Q95 RECEIVED_PAYMENTS ∈ {Yes-all, Yes-some}</t>
        </is>
      </c>
      <c r="E210" s="8" t="inlineStr"/>
      <c r="F210" s="8" t="inlineStr">
        <is>
          <t>D. YAKAP / Konsulta Package</t>
        </is>
      </c>
      <c r="G210" s="8" t="inlineStr">
        <is>
          <t>alpha 14</t>
        </is>
      </c>
      <c r="H210" s="8" t="inlineStr">
        <is>
          <t>01 = Delays in PhilHealth processing
02 = Delays in facility's tracking of patient enrollment
03 = Difficulties verifying patient enrollment (PhilHealth)
04 = Facility not active in meeting payment criteria
05 = Criteria for payments is unclear
99 = Other (specify)</t>
        </is>
      </c>
      <c r="I210" s="8" t="inlineStr">
        <is>
          <t>90 = I don't know</t>
        </is>
      </c>
      <c r="J210" s="8" t="inlineStr"/>
    </row>
    <row r="211">
      <c r="A211" s="9" t="inlineStr">
        <is>
          <t>q96_not_received_reasons_other_txt</t>
        </is>
      </c>
      <c r="B211" s="10" t="inlineStr">
        <is>
          <t>96. Why not? — Other (specify) text</t>
        </is>
      </c>
      <c r="C211" s="10" t="inlineStr">
        <is>
          <t>96. Why not? — Other (specify) text</t>
        </is>
      </c>
      <c r="D211" s="10" t="inlineStr">
        <is>
          <t>not asked when Q95 RECEIVED_PAYMENTS ∈ {Yes-all, Yes-some}</t>
        </is>
      </c>
      <c r="E211" s="10" t="inlineStr"/>
      <c r="F211" s="10" t="inlineStr">
        <is>
          <t>D. YAKAP / Konsulta Package</t>
        </is>
      </c>
      <c r="G211" s="10" t="inlineStr">
        <is>
          <t>alpha 120</t>
        </is>
      </c>
      <c r="H211" s="10" t="inlineStr"/>
      <c r="I211" s="10" t="inlineStr"/>
      <c r="J211" s="10" t="inlineStr"/>
    </row>
    <row r="212">
      <c r="A212" s="7" t="inlineStr">
        <is>
          <t>q97_payment_chall</t>
        </is>
      </c>
      <c r="B212" s="8" t="inlineStr">
        <is>
          <t>97. Did you face any challenges in getting these payments?</t>
        </is>
      </c>
      <c r="C212" s="8" t="inlineStr">
        <is>
          <t>97. Did you face any challenges in getting these payments?</t>
        </is>
      </c>
      <c r="D212" s="8" t="inlineStr"/>
      <c r="E212" s="8">
        <f> No → Q99 (skip Q98)</f>
        <v/>
      </c>
      <c r="F212" s="8" t="inlineStr">
        <is>
          <t>D. YAKAP / Konsulta Package</t>
        </is>
      </c>
      <c r="G212" s="8" t="inlineStr">
        <is>
          <t>numeric 1</t>
        </is>
      </c>
      <c r="H212" s="8" t="inlineStr">
        <is>
          <t>1 = Yes
2 = No</t>
        </is>
      </c>
      <c r="I212" s="8" t="inlineStr"/>
      <c r="J212" s="8" t="inlineStr"/>
    </row>
    <row r="213">
      <c r="A213" s="9" t="inlineStr">
        <is>
          <t>q98_payment_chall_list</t>
        </is>
      </c>
      <c r="B213" s="10" t="inlineStr">
        <is>
          <t>98. What were these challenges?</t>
        </is>
      </c>
      <c r="C213" s="10" t="inlineStr">
        <is>
          <t>98. What were these challenges? DO NOT READ OPTIONS OUT LOUD. SELECT ALL THAT APPLY.</t>
        </is>
      </c>
      <c r="D213" s="10" t="inlineStr">
        <is>
          <t>not asked when Q97 PAYMENT_CHALL = No</t>
        </is>
      </c>
      <c r="E213" s="10" t="inlineStr"/>
      <c r="F213" s="10" t="inlineStr">
        <is>
          <t>D. YAKAP / Konsulta Package</t>
        </is>
      </c>
      <c r="G213" s="10" t="inlineStr">
        <is>
          <t>alpha 12</t>
        </is>
      </c>
      <c r="H213" s="10" t="inlineStr">
        <is>
          <t>01 = Delayed payment process
02 = Unclear criteria for capitation
03 = Difficult to meet criteria for capitation
04 = PhilHealth process to apply for payments is difficult/unclear
99 = Other (specify)</t>
        </is>
      </c>
      <c r="I213" s="10" t="inlineStr">
        <is>
          <t>90 = I don't know</t>
        </is>
      </c>
      <c r="J213" s="10" t="inlineStr"/>
    </row>
    <row r="214">
      <c r="A214" s="7" t="inlineStr">
        <is>
          <t>q98_payment_chall_list_other_txt</t>
        </is>
      </c>
      <c r="B214" s="8" t="inlineStr">
        <is>
          <t>98. What were these challenges? — Other (specify) text</t>
        </is>
      </c>
      <c r="C214" s="8" t="inlineStr">
        <is>
          <t>98. What were these challenges? — Other (specify) text</t>
        </is>
      </c>
      <c r="D214" s="8" t="inlineStr">
        <is>
          <t>not asked when Q97 PAYMENT_CHALL = No</t>
        </is>
      </c>
      <c r="E214" s="8" t="inlineStr"/>
      <c r="F214" s="8" t="inlineStr">
        <is>
          <t>D. YAKAP / Konsulta Package</t>
        </is>
      </c>
      <c r="G214" s="8" t="inlineStr">
        <is>
          <t>alpha 120</t>
        </is>
      </c>
      <c r="H214" s="8" t="inlineStr"/>
      <c r="I214" s="8" t="inlineStr"/>
      <c r="J214" s="8" t="inlineStr"/>
    </row>
    <row r="215">
      <c r="A215" s="9" t="inlineStr">
        <is>
          <t>q99_expand_next</t>
        </is>
      </c>
      <c r="B215" s="10" t="inlineStr">
        <is>
          <t>99. If you were to expand the YAKAP/Konsulta package, what would you expand next?</t>
        </is>
      </c>
      <c r="C215" s="10" t="inlineStr">
        <is>
          <t>99. If you were to expand the YAKAP/Konsulta package, what would you expand next? READ OPTIONS OUT LOUD. SELECT ALL THAT APPLY.</t>
        </is>
      </c>
      <c r="D215" s="10" t="inlineStr"/>
      <c r="E215" s="10" t="inlineStr"/>
      <c r="F215" s="10" t="inlineStr">
        <is>
          <t>D. YAKAP / Konsulta Package</t>
        </is>
      </c>
      <c r="G215" s="10" t="inlineStr">
        <is>
          <t>alpha 10</t>
        </is>
      </c>
      <c r="H215" s="10" t="inlineStr">
        <is>
          <t>01 = Current list of medicines and drugs
02 = Current laboratory/diagnostic services
03 = Additional features
99 = Other (specify)</t>
        </is>
      </c>
      <c r="I215" s="10" t="inlineStr">
        <is>
          <t>90 = I don't know</t>
        </is>
      </c>
      <c r="J215" s="10" t="inlineStr"/>
    </row>
    <row r="216">
      <c r="A216" s="7" t="inlineStr">
        <is>
          <t>q99_expand_next_other_txt</t>
        </is>
      </c>
      <c r="B216" s="8" t="inlineStr">
        <is>
          <t>99. If you were to expand the YAKAP/Konsulta package, what would you expand next? — Other (specify) text</t>
        </is>
      </c>
      <c r="C216" s="8" t="inlineStr">
        <is>
          <t>99. If you were to expand the YAKAP/Konsulta package, what would you expand next? — Other (specify) text</t>
        </is>
      </c>
      <c r="D216" s="8" t="inlineStr"/>
      <c r="E216" s="8" t="inlineStr"/>
      <c r="F216" s="8" t="inlineStr">
        <is>
          <t>D. YAKAP / Konsulta Package</t>
        </is>
      </c>
      <c r="G216" s="8" t="inlineStr">
        <is>
          <t>alpha 120</t>
        </is>
      </c>
      <c r="H216" s="8" t="inlineStr"/>
      <c r="I216" s="8" t="inlineStr"/>
      <c r="J216" s="8" t="inlineStr"/>
    </row>
    <row r="217">
      <c r="A217" s="9" t="inlineStr">
        <is>
          <t>q100_addl_features</t>
        </is>
      </c>
      <c r="B217" s="10" t="inlineStr">
        <is>
          <t>100. What additional features would you add?</t>
        </is>
      </c>
      <c r="C217" s="10" t="inlineStr">
        <is>
          <t>100. What additional features would you add?</t>
        </is>
      </c>
      <c r="D217" s="10" t="inlineStr"/>
      <c r="E217" s="10" t="inlineStr"/>
      <c r="F217" s="10" t="inlineStr">
        <is>
          <t>D. YAKAP / Konsulta Package</t>
        </is>
      </c>
      <c r="G217" s="10" t="inlineStr">
        <is>
          <t>alpha 240</t>
        </is>
      </c>
      <c r="H217" s="10" t="inlineStr"/>
      <c r="I217" s="10" t="inlineStr"/>
      <c r="J217" s="10" t="inlineStr"/>
    </row>
    <row r="218">
      <c r="A218" s="7" t="inlineStr">
        <is>
          <t>q101_heard_bucas</t>
        </is>
      </c>
      <c r="B218" s="8" t="inlineStr">
        <is>
          <t>101. Have you heard about the Bagong Urgent Care and Ambulatory Service (BUCAS)?</t>
        </is>
      </c>
      <c r="C218" s="8" t="inlineStr">
        <is>
          <t>We will now ask questions related to BUCAS center and GAMOT package. 101. Have you heard about the Bagong Urgent Care and Ambulatory Service (BUCAS)?</t>
        </is>
      </c>
      <c r="D218" s="8" t="inlineStr"/>
      <c r="E218" s="8">
        <f> No → Q108 (skip Q102–Q107)</f>
        <v/>
      </c>
      <c r="F218" s="8" t="inlineStr">
        <is>
          <t>E. Awareness on Expanded Health Programs (BUCAS and GAMOT)</t>
        </is>
      </c>
      <c r="G218" s="8" t="inlineStr">
        <is>
          <t>numeric 1</t>
        </is>
      </c>
      <c r="H218" s="8" t="inlineStr">
        <is>
          <t>1 = Yes
2 = No</t>
        </is>
      </c>
      <c r="I218" s="8" t="inlineStr"/>
      <c r="J218" s="8" t="inlineStr"/>
    </row>
    <row r="219">
      <c r="A219" s="9" t="inlineStr">
        <is>
          <t>q102_has_bucas</t>
        </is>
      </c>
      <c r="B219" s="10" t="inlineStr">
        <is>
          <t>102. Do you have a BUCAS Center?</t>
        </is>
      </c>
      <c r="C219" s="10" t="inlineStr">
        <is>
          <t>102. Do you have a BUCAS Center?</t>
        </is>
      </c>
      <c r="D219" s="10" t="inlineStr">
        <is>
          <t>not asked when Q101 HEARD_BUCAS = No</t>
        </is>
      </c>
      <c r="E219" s="10">
        <f> Yes → Q104 (skip Q103)</f>
        <v/>
      </c>
      <c r="F219" s="10" t="inlineStr">
        <is>
          <t>E. Awareness on Expanded Health Programs (BUCAS and GAMOT)</t>
        </is>
      </c>
      <c r="G219" s="10" t="inlineStr">
        <is>
          <t>numeric 1</t>
        </is>
      </c>
      <c r="H219" s="10" t="inlineStr">
        <is>
          <t>1 = Yes
2 = No</t>
        </is>
      </c>
      <c r="I219" s="10" t="inlineStr">
        <is>
          <t>3 = I don't know</t>
        </is>
      </c>
      <c r="J219" s="10" t="inlineStr"/>
    </row>
    <row r="220">
      <c r="A220" s="7" t="inlineStr">
        <is>
          <t>q103_no_bucas_reason</t>
        </is>
      </c>
      <c r="B220" s="8" t="inlineStr">
        <is>
          <t>103. If none, what is the primary reason?</t>
        </is>
      </c>
      <c r="C220" s="8" t="inlineStr">
        <is>
          <t>103. If none, what is the primary reason? READ OPTIONS OUT LOUD. SELECT ONE ANSWER ONLY.</t>
        </is>
      </c>
      <c r="D220" s="8" t="inlineStr">
        <is>
          <t>not asked when Q102 HAS_BUCAS = Yes</t>
        </is>
      </c>
      <c r="E220" s="8" t="inlineStr">
        <is>
          <t>(any answer) → Q108</t>
        </is>
      </c>
      <c r="F220" s="8" t="inlineStr">
        <is>
          <t>E. Awareness on Expanded Health Programs (BUCAS and GAMOT)</t>
        </is>
      </c>
      <c r="G220" s="8" t="inlineStr">
        <is>
          <t>numeric 2</t>
        </is>
      </c>
      <c r="H220" s="8" t="inlineStr">
        <is>
          <t>1 = Proposal not yet submitted
2 = Limited information on establishment process
3 = Did not meet standard requirements
4 = Awaiting assessment or approval
5 = Other (specify)</t>
        </is>
      </c>
      <c r="I220" s="8" t="inlineStr">
        <is>
          <t>99 = Not applicable</t>
        </is>
      </c>
      <c r="J220" s="8" t="inlineStr"/>
    </row>
    <row r="221">
      <c r="A221" s="9" t="inlineStr">
        <is>
          <t>q103_other_txt</t>
        </is>
      </c>
      <c r="B221" s="10" t="inlineStr">
        <is>
          <t>103. If none, what is the primary reason? Other (specify)</t>
        </is>
      </c>
      <c r="C221" s="10" t="inlineStr">
        <is>
          <t>103. If none, what is the primary reason? Other (specify)</t>
        </is>
      </c>
      <c r="D221" s="10" t="inlineStr">
        <is>
          <t>not asked when Q102 HAS_BUCAS = Yes</t>
        </is>
      </c>
      <c r="E221" s="10" t="inlineStr"/>
      <c r="F221" s="10" t="inlineStr">
        <is>
          <t>E. Awareness on Expanded Health Programs (BUCAS and GAMOT)</t>
        </is>
      </c>
      <c r="G221" s="10" t="inlineStr">
        <is>
          <t>alpha 120</t>
        </is>
      </c>
      <c r="H221" s="10" t="inlineStr"/>
      <c r="I221" s="10" t="inlineStr"/>
      <c r="J221" s="10" t="inlineStr"/>
    </row>
    <row r="222">
      <c r="A222" s="7" t="inlineStr">
        <is>
          <t>q104_bucas_services</t>
        </is>
      </c>
      <c r="B222" s="8" t="inlineStr">
        <is>
          <t>104. What are the available services offered by your BUCAS Center?</t>
        </is>
      </c>
      <c r="C222" s="8" t="inlineStr">
        <is>
          <t>104. What are the available services offered by your BUCAS Center? READ OPTIONS OUT LOUD. SELECT ALL THAT APPLY.</t>
        </is>
      </c>
      <c r="D222" s="8" t="inlineStr"/>
      <c r="E222" s="8" t="inlineStr"/>
      <c r="F222" s="8" t="inlineStr">
        <is>
          <t>E. Awareness on Expanded Health Programs (BUCAS and GAMOT)</t>
        </is>
      </c>
      <c r="G222" s="8" t="inlineStr">
        <is>
          <t>alpha 10</t>
        </is>
      </c>
      <c r="H222" s="8" t="inlineStr">
        <is>
          <t>01 = Urgent care and consultation
02 = Minor surgical procedures
03 = Diagnostic and laboratory services
04 = Reproductive and special health services
99 = Other (specify)</t>
        </is>
      </c>
      <c r="I222" s="8" t="inlineStr"/>
      <c r="J222" s="8" t="inlineStr"/>
    </row>
    <row r="223">
      <c r="A223" s="9" t="inlineStr">
        <is>
          <t>q104_bucas_services_other_txt</t>
        </is>
      </c>
      <c r="B223" s="10" t="inlineStr">
        <is>
          <t>104. What are the available services offered by your BUCAS Center? — Other (specify) text</t>
        </is>
      </c>
      <c r="C223" s="10" t="inlineStr">
        <is>
          <t>104. What are the available services offered by your BUCAS Center? — Other (specify) text</t>
        </is>
      </c>
      <c r="D223" s="10" t="inlineStr"/>
      <c r="E223" s="10" t="inlineStr"/>
      <c r="F223" s="10" t="inlineStr">
        <is>
          <t>E. Awareness on Expanded Health Programs (BUCAS and GAMOT)</t>
        </is>
      </c>
      <c r="G223" s="10" t="inlineStr">
        <is>
          <t>alpha 120</t>
        </is>
      </c>
      <c r="H223" s="10" t="inlineStr"/>
      <c r="I223" s="10" t="inlineStr"/>
      <c r="J223" s="10" t="inlineStr"/>
    </row>
    <row r="224">
      <c r="A224" s="7" t="inlineStr">
        <is>
          <t>q105_bucas_factors</t>
        </is>
      </c>
      <c r="B224" s="8" t="inlineStr">
        <is>
          <t>105. In your assessment, what are the main factors affecting the utilization of BUCAS in your facility?</t>
        </is>
      </c>
      <c r="C224" s="8" t="inlineStr">
        <is>
          <t>105. In your assessment, what are the main factors affecting the utilization of BUCAS in your facility? READ OPTIONS OUT LOUD. SELECT ALL THAT APPLY.</t>
        </is>
      </c>
      <c r="D224" s="8" t="inlineStr"/>
      <c r="E224" s="8" t="inlineStr"/>
      <c r="F224" s="8" t="inlineStr">
        <is>
          <t>E. Awareness on Expanded Health Programs (BUCAS and GAMOT)</t>
        </is>
      </c>
      <c r="G224" s="8" t="inlineStr">
        <is>
          <t>alpha 12</t>
        </is>
      </c>
      <c r="H224" s="8" t="inlineStr">
        <is>
          <t>01 = Patient awareness
02 = Facility location and accessibility
03 = Referral patterns
04 = PhilHealth coverage and reimbursement
05 = Availability of staff/services
99 = Other (specify)</t>
        </is>
      </c>
      <c r="I224" s="8" t="inlineStr"/>
      <c r="J224" s="8" t="inlineStr"/>
    </row>
    <row r="225">
      <c r="A225" s="9" t="inlineStr">
        <is>
          <t>q105_bucas_factors_other_txt</t>
        </is>
      </c>
      <c r="B225" s="10" t="inlineStr">
        <is>
          <t>105. In your assessment, what are the main factors affecting the utilization of BUCAS in your facility? — Other (specify) text</t>
        </is>
      </c>
      <c r="C225" s="10" t="inlineStr">
        <is>
          <t>105. In your assessment, what are the main factors affecting the utilization of BUCAS in your facility? — Other (specify) text</t>
        </is>
      </c>
      <c r="D225" s="10" t="inlineStr"/>
      <c r="E225" s="10" t="inlineStr"/>
      <c r="F225" s="10" t="inlineStr">
        <is>
          <t>E. Awareness on Expanded Health Programs (BUCAS and GAMOT)</t>
        </is>
      </c>
      <c r="G225" s="10" t="inlineStr">
        <is>
          <t>alpha 120</t>
        </is>
      </c>
      <c r="H225" s="10" t="inlineStr"/>
      <c r="I225" s="10" t="inlineStr"/>
      <c r="J225" s="10" t="inlineStr"/>
    </row>
    <row r="226">
      <c r="A226" s="7" t="inlineStr">
        <is>
          <t>q106_bucas_resources_needed</t>
        </is>
      </c>
      <c r="B226" s="8" t="inlineStr">
        <is>
          <t>106. What are the resources you need to support/sustain the BUCAS center?</t>
        </is>
      </c>
      <c r="C226" s="8" t="inlineStr">
        <is>
          <t>106. What are the resources you need to support/sustain the BUCAS center?</t>
        </is>
      </c>
      <c r="D226" s="8" t="inlineStr"/>
      <c r="E226" s="8" t="inlineStr"/>
      <c r="F226" s="8" t="inlineStr">
        <is>
          <t>E. Awareness on Expanded Health Programs (BUCAS and GAMOT)</t>
        </is>
      </c>
      <c r="G226" s="8" t="inlineStr">
        <is>
          <t>alpha 240</t>
        </is>
      </c>
      <c r="H226" s="8" t="inlineStr"/>
      <c r="I226" s="8" t="inlineStr"/>
      <c r="J226" s="8" t="inlineStr"/>
    </row>
    <row r="227">
      <c r="A227" s="9" t="inlineStr">
        <is>
          <t>q107_bucas_decongest</t>
        </is>
      </c>
      <c r="B227" s="10" t="inlineStr">
        <is>
          <t>107. Based on your experience, does the BUCAS Center decongest your health facility of patients?</t>
        </is>
      </c>
      <c r="C227" s="10" t="inlineStr">
        <is>
          <t>107. Based on your experience, does the BUCAS Center decongest your health facility of patients?</t>
        </is>
      </c>
      <c r="D227" s="10" t="inlineStr">
        <is>
          <t>not asked when Q101 HEARD_BUCAS = No</t>
        </is>
      </c>
      <c r="E227" s="10" t="inlineStr">
        <is>
          <t>Only relevant if BUCAS center exists in area (Q102 = Yes) → —</t>
        </is>
      </c>
      <c r="F227" s="10" t="inlineStr">
        <is>
          <t>E. Awareness on Expanded Health Programs (BUCAS and GAMOT)</t>
        </is>
      </c>
      <c r="G227" s="10" t="inlineStr">
        <is>
          <t>numeric 1</t>
        </is>
      </c>
      <c r="H227" s="10" t="inlineStr">
        <is>
          <t>1 = Yes
2 = No</t>
        </is>
      </c>
      <c r="I227" s="10" t="inlineStr"/>
      <c r="J227" s="10" t="inlineStr"/>
    </row>
    <row r="228">
      <c r="A228" s="7" t="inlineStr">
        <is>
          <t>q108_heard_gamot</t>
        </is>
      </c>
      <c r="B228" s="8" t="inlineStr">
        <is>
          <t>108. Have you heard about the Guaranteed and Accessible Medications for Outpatient Treatment (GAMOT) package?</t>
        </is>
      </c>
      <c r="C228" s="8" t="inlineStr">
        <is>
          <t>108. Have you heard about the Guaranteed and Accessible Medications for Outpatient Treatment (GAMOT) package?</t>
        </is>
      </c>
      <c r="D228" s="8" t="inlineStr"/>
      <c r="E228" s="8">
        <f> No → Q112 (skip Q109–Q111)</f>
        <v/>
      </c>
      <c r="F228" s="8" t="inlineStr">
        <is>
          <t>E. Awareness on Expanded Health Programs (BUCAS and GAMOT)</t>
        </is>
      </c>
      <c r="G228" s="8" t="inlineStr">
        <is>
          <t>numeric 1</t>
        </is>
      </c>
      <c r="H228" s="8" t="inlineStr">
        <is>
          <t>1 = Yes
2 = No</t>
        </is>
      </c>
      <c r="I228" s="8" t="inlineStr"/>
      <c r="J228" s="8" t="inlineStr"/>
    </row>
    <row r="229">
      <c r="A229" s="9" t="inlineStr">
        <is>
          <t>q109_gamot_accred</t>
        </is>
      </c>
      <c r="B229" s="10" t="inlineStr">
        <is>
          <t>109. Is your facility an accredited GAMOT provider?</t>
        </is>
      </c>
      <c r="C229" s="10" t="inlineStr">
        <is>
          <t>109. Is your facility an accredited GAMOT provider?</t>
        </is>
      </c>
      <c r="D229" s="10" t="inlineStr">
        <is>
          <t>not asked when Q108 HEARD_GAMOT = No</t>
        </is>
      </c>
      <c r="E229" s="10">
        <f> Yes → Q111 (skip Q110)</f>
        <v/>
      </c>
      <c r="F229" s="10" t="inlineStr">
        <is>
          <t>E. Awareness on Expanded Health Programs (BUCAS and GAMOT)</t>
        </is>
      </c>
      <c r="G229" s="10" t="inlineStr">
        <is>
          <t>numeric 1</t>
        </is>
      </c>
      <c r="H229" s="10" t="inlineStr">
        <is>
          <t>1 = Yes
2 = No</t>
        </is>
      </c>
      <c r="I229" s="10" t="inlineStr"/>
      <c r="J229" s="10" t="inlineStr"/>
    </row>
    <row r="230">
      <c r="A230" s="7" t="inlineStr">
        <is>
          <t>q110_no_gamot_reason</t>
        </is>
      </c>
      <c r="B230" s="8" t="inlineStr">
        <is>
          <t>110. If no, what is the primary reason?</t>
        </is>
      </c>
      <c r="C230" s="8" t="inlineStr">
        <is>
          <t>110. If no, what is the primary reason? READ OPTIONS OUT LOUD. SELECT ONE ANSWER ONLY.</t>
        </is>
      </c>
      <c r="D230" s="8" t="inlineStr">
        <is>
          <t>not asked when Q109 GAMOT_ACCRED = Yes</t>
        </is>
      </c>
      <c r="E230" s="8" t="inlineStr">
        <is>
          <t>(any answer) → Q112</t>
        </is>
      </c>
      <c r="F230" s="8" t="inlineStr">
        <is>
          <t>E. Awareness on Expanded Health Programs (BUCAS and GAMOT)</t>
        </is>
      </c>
      <c r="G230" s="8" t="inlineStr">
        <is>
          <t>numeric 2</t>
        </is>
      </c>
      <c r="H230" s="8" t="inlineStr">
        <is>
          <t>1 = Application not yet submitted
2 = Limited information on accreditation process
3 = Did not meet accreditation requirements
4 = Awaiting assessment or approval
5 = Other (specify)</t>
        </is>
      </c>
      <c r="I230" s="8" t="inlineStr">
        <is>
          <t>99 = Not applicable</t>
        </is>
      </c>
      <c r="J230" s="8" t="inlineStr"/>
    </row>
    <row r="231">
      <c r="A231" s="9" t="inlineStr">
        <is>
          <t>q110_other_txt</t>
        </is>
      </c>
      <c r="B231" s="10" t="inlineStr">
        <is>
          <t>110. If no, what is the primary reason? Other (specify)</t>
        </is>
      </c>
      <c r="C231" s="10" t="inlineStr">
        <is>
          <t>110. If no, what is the primary reason? Other (specify)</t>
        </is>
      </c>
      <c r="D231" s="10" t="inlineStr">
        <is>
          <t>not asked when Q109 GAMOT_ACCRED = Yes</t>
        </is>
      </c>
      <c r="E231" s="10" t="inlineStr"/>
      <c r="F231" s="10" t="inlineStr">
        <is>
          <t>E. Awareness on Expanded Health Programs (BUCAS and GAMOT)</t>
        </is>
      </c>
      <c r="G231" s="10" t="inlineStr">
        <is>
          <t>alpha 120</t>
        </is>
      </c>
      <c r="H231" s="10" t="inlineStr"/>
      <c r="I231" s="10" t="inlineStr"/>
      <c r="J231" s="10" t="inlineStr"/>
    </row>
    <row r="232">
      <c r="A232" s="7" t="inlineStr">
        <is>
          <t>q111_gamot_factors</t>
        </is>
      </c>
      <c r="B232" s="8" t="inlineStr">
        <is>
          <t>111. In your assessment, what are the main factors affecting the utilization of the GAMOT Program in your facility?</t>
        </is>
      </c>
      <c r="C232" s="8" t="inlineStr">
        <is>
          <t>111. In your assessment, what are the main factors affecting the utilization of the GAMOT Program in your facility? READ OPTIONS OUT LOUD. SELECT ALL THAT APPLY.</t>
        </is>
      </c>
      <c r="D232" s="8" t="inlineStr">
        <is>
          <t>not asked when Q108 HEARD_GAMOT = No</t>
        </is>
      </c>
      <c r="E232" s="8" t="inlineStr"/>
      <c r="F232" s="8" t="inlineStr">
        <is>
          <t>E. Awareness on Expanded Health Programs (BUCAS and GAMOT)</t>
        </is>
      </c>
      <c r="G232" s="8" t="inlineStr">
        <is>
          <t>alpha 12</t>
        </is>
      </c>
      <c r="H232" s="8" t="inlineStr">
        <is>
          <t>01 = Availability of GAMOT medicines
02 = Pharmacy capacity
03 = Patient awareness of the program
04 = PhilHealth eligibility and reimbursement processes
05 = Prescribing practices of physicians
99 = Other (specify)</t>
        </is>
      </c>
      <c r="I232" s="8" t="inlineStr"/>
      <c r="J232" s="8" t="inlineStr"/>
    </row>
    <row r="233">
      <c r="A233" s="9" t="inlineStr">
        <is>
          <t>q111_gamot_factors_other_txt</t>
        </is>
      </c>
      <c r="B233" s="10" t="inlineStr">
        <is>
          <t>111. In your assessment, what are the main factors affecting the utilization of the GAMOT Program in your facility? — Other (specify) text</t>
        </is>
      </c>
      <c r="C233" s="10" t="inlineStr">
        <is>
          <t>111. In your assessment, what are the main factors affecting the utilization of the GAMOT Program in your facility? — Other (specify) text</t>
        </is>
      </c>
      <c r="D233" s="10" t="inlineStr">
        <is>
          <t>not asked when Q108 HEARD_GAMOT = No</t>
        </is>
      </c>
      <c r="E233" s="10" t="inlineStr"/>
      <c r="F233" s="10" t="inlineStr">
        <is>
          <t>E. Awareness on Expanded Health Programs (BUCAS and GAMOT)</t>
        </is>
      </c>
      <c r="G233" s="10" t="inlineStr">
        <is>
          <t>alpha 120</t>
        </is>
      </c>
      <c r="H233" s="10" t="inlineStr"/>
      <c r="I233" s="10" t="inlineStr"/>
      <c r="J233" s="10" t="inlineStr"/>
    </row>
    <row r="234">
      <c r="A234" s="7" t="inlineStr">
        <is>
          <t>q112_stockout</t>
        </is>
      </c>
      <c r="B234" s="8" t="inlineStr">
        <is>
          <t>112. In the past 3 months, has this facility experienced a stock-out (zero supply) of any tracer essential medicines?</t>
        </is>
      </c>
      <c r="C234" s="8" t="inlineStr">
        <is>
          <t>112. In the past 3 months, has this facility experienced a stock-out (zero supply) of any tracer essential medicines?</t>
        </is>
      </c>
      <c r="D234" s="8" t="inlineStr"/>
      <c r="E234" s="8">
        <f> No → Q118 (skip Q113–Q117)</f>
        <v/>
      </c>
      <c r="F234" s="8" t="inlineStr">
        <is>
          <t>E. Awareness on Expanded Health Programs (BUCAS and GAMOT)</t>
        </is>
      </c>
      <c r="G234" s="8" t="inlineStr">
        <is>
          <t>numeric 1</t>
        </is>
      </c>
      <c r="H234" s="8" t="inlineStr">
        <is>
          <t>1 = Yes
2 = No</t>
        </is>
      </c>
      <c r="I234" s="8" t="inlineStr"/>
      <c r="J234" s="8" t="inlineStr"/>
    </row>
    <row r="235">
      <c r="A235" s="9" t="inlineStr">
        <is>
          <t>q113_stockout_meds</t>
        </is>
      </c>
      <c r="B235" s="10" t="inlineStr">
        <is>
          <t>113. What specific medicines? (antihypertensives, antibiotics, etc.)</t>
        </is>
      </c>
      <c r="C235" s="10" t="inlineStr">
        <is>
          <t>113. What specific medicines? (antihypertensives, antibiotics, etc.)</t>
        </is>
      </c>
      <c r="D235" s="10" t="inlineStr">
        <is>
          <t>not asked when Q112 STOCKOUT = No</t>
        </is>
      </c>
      <c r="E235" s="10" t="inlineStr"/>
      <c r="F235" s="10" t="inlineStr">
        <is>
          <t>E. Awareness on Expanded Health Programs (BUCAS and GAMOT)</t>
        </is>
      </c>
      <c r="G235" s="10" t="inlineStr">
        <is>
          <t>alpha 240</t>
        </is>
      </c>
      <c r="H235" s="10" t="inlineStr"/>
      <c r="I235" s="10" t="inlineStr"/>
      <c r="J235" s="10" t="inlineStr"/>
    </row>
    <row r="236">
      <c r="A236" s="7" t="inlineStr">
        <is>
          <t>q114_stockout_duration</t>
        </is>
      </c>
      <c r="B236" s="8" t="inlineStr">
        <is>
          <t>114. How many days did the stock-out last?</t>
        </is>
      </c>
      <c r="C236" s="8" t="inlineStr">
        <is>
          <t>114. How many days did the stock-out last?</t>
        </is>
      </c>
      <c r="D236" s="8" t="inlineStr"/>
      <c r="E236" s="8" t="inlineStr"/>
      <c r="F236" s="8" t="inlineStr">
        <is>
          <t>E. Awareness on Expanded Health Programs (BUCAS and GAMOT)</t>
        </is>
      </c>
      <c r="G236" s="8" t="inlineStr">
        <is>
          <t>numeric 2</t>
        </is>
      </c>
      <c r="H236" s="8" t="inlineStr">
        <is>
          <t>1 = Less than 30 days
2 = 31-60 days
3 = More than 60 days</t>
        </is>
      </c>
      <c r="I236" s="8" t="inlineStr"/>
      <c r="J236" s="8" t="inlineStr">
        <is>
          <t>[HARD] If `Q114 = "More than 60 days"`, `Q115` should not be `"Less than a month"` (contradiction)</t>
        </is>
      </c>
    </row>
    <row r="237">
      <c r="A237" s="9" t="inlineStr">
        <is>
          <t>q115_stockout_avg</t>
        </is>
      </c>
      <c r="B237" s="10" t="inlineStr">
        <is>
          <t>115. On average, how many months do these stock-outs last?</t>
        </is>
      </c>
      <c r="C237" s="10" t="inlineStr">
        <is>
          <t>115. On average, how many months do these stock-outs last?</t>
        </is>
      </c>
      <c r="D237" s="10" t="inlineStr"/>
      <c r="E237" s="10" t="inlineStr"/>
      <c r="F237" s="10" t="inlineStr">
        <is>
          <t>E. Awareness on Expanded Health Programs (BUCAS and GAMOT)</t>
        </is>
      </c>
      <c r="G237" s="10" t="inlineStr">
        <is>
          <t>numeric 2</t>
        </is>
      </c>
      <c r="H237" s="10" t="inlineStr">
        <is>
          <t>1 = Less than a month
2 = 1-2 months
3 = 3-4 months
4 = 5-6 months
5 = More than 6 months</t>
        </is>
      </c>
      <c r="I237" s="10" t="inlineStr"/>
      <c r="J237" s="10" t="inlineStr">
        <is>
          <t>[HARD] If `Q114 = "More than 60 days"`, `Q115` should not be `"Less than a month"` (contradiction)</t>
        </is>
      </c>
    </row>
    <row r="238">
      <c r="A238" s="7" t="inlineStr">
        <is>
          <t>q116_addr_stockout</t>
        </is>
      </c>
      <c r="B238" s="8" t="inlineStr">
        <is>
          <t>116. Did you do anything to address the medicine stock-outs in the GAMOT Package?</t>
        </is>
      </c>
      <c r="C238" s="8" t="inlineStr">
        <is>
          <t>116. Did you do anything to address the medicine stock-outs in the GAMOT Package?</t>
        </is>
      </c>
      <c r="D238" s="8" t="inlineStr"/>
      <c r="E238" s="8" t="inlineStr">
        <is>
          <t>Gated on Q108 = Yes AND Q109 = Yes → —</t>
        </is>
      </c>
      <c r="F238" s="8" t="inlineStr">
        <is>
          <t>E. Awareness on Expanded Health Programs (BUCAS and GAMOT)</t>
        </is>
      </c>
      <c r="G238" s="8" t="inlineStr">
        <is>
          <t>numeric 2</t>
        </is>
      </c>
      <c r="H238" s="8" t="inlineStr">
        <is>
          <t>1 = Yes
2 = No
3 = Did not experience stock outs of medicines under the GAMOT package</t>
        </is>
      </c>
      <c r="I238" s="8" t="inlineStr"/>
      <c r="J238" s="8" t="inlineStr"/>
    </row>
    <row r="239">
      <c r="A239" s="9" t="inlineStr">
        <is>
          <t>q117_addr_stockout_how</t>
        </is>
      </c>
      <c r="B239" s="10" t="inlineStr">
        <is>
          <t>117. If yes, what did you do to address the medicine stock-outs in the GAMOT Package?</t>
        </is>
      </c>
      <c r="C239" s="10" t="inlineStr">
        <is>
          <t>117. If yes, what did you do to address the medicine stock-outs in the GAMOT Package? DO NOT READ OPTIONS OUT LOUD. SELECT ALL THAT APPLY.</t>
        </is>
      </c>
      <c r="D239" s="10" t="inlineStr">
        <is>
          <t>not asked when Q112 STOCKOUT = No</t>
        </is>
      </c>
      <c r="E239" s="10" t="inlineStr">
        <is>
          <t>Gated on Q108 = Yes AND Q109 = Yes → —</t>
        </is>
      </c>
      <c r="F239" s="10" t="inlineStr">
        <is>
          <t>E. Awareness on Expanded Health Programs (BUCAS and GAMOT)</t>
        </is>
      </c>
      <c r="G239" s="10" t="inlineStr">
        <is>
          <t>alpha 8</t>
        </is>
      </c>
      <c r="H239" s="10" t="inlineStr">
        <is>
          <t>01 = Resorted to alternative procurement
02 = Active inventory monitoring
03 = Improve forecasting and quantification
99 = Other (specify)</t>
        </is>
      </c>
      <c r="I239" s="10" t="inlineStr"/>
      <c r="J239" s="10" t="inlineStr"/>
    </row>
    <row r="240">
      <c r="A240" s="7" t="inlineStr">
        <is>
          <t>q117_addr_stockout_how_other_txt</t>
        </is>
      </c>
      <c r="B240" s="8" t="inlineStr">
        <is>
          <t>117. If yes, what did you do to address the medicine stock-outs in the GAMOT Package? — Other (specify) text</t>
        </is>
      </c>
      <c r="C240" s="8" t="inlineStr">
        <is>
          <t>117. If yes, what did you do to address the medicine stock-outs in the GAMOT Package? — Other (specify) text</t>
        </is>
      </c>
      <c r="D240" s="8" t="inlineStr">
        <is>
          <t>not asked when Q112 STOCKOUT = No</t>
        </is>
      </c>
      <c r="E240" s="8" t="inlineStr"/>
      <c r="F240" s="8" t="inlineStr">
        <is>
          <t>E. Awareness on Expanded Health Programs (BUCAS and GAMOT)</t>
        </is>
      </c>
      <c r="G240" s="8" t="inlineStr">
        <is>
          <t>alpha 120</t>
        </is>
      </c>
      <c r="H240" s="8" t="inlineStr"/>
      <c r="I240" s="8" t="inlineStr"/>
      <c r="J240" s="8" t="inlineStr"/>
    </row>
    <row r="241">
      <c r="A241" s="9" t="inlineStr">
        <is>
          <t>q118_doh_licensed</t>
        </is>
      </c>
      <c r="B241" s="10" t="inlineStr">
        <is>
          <t>118. Is this facility DOH licensed?</t>
        </is>
      </c>
      <c r="C241" s="10" t="inlineStr">
        <is>
          <t>We will now ask you about your facility’s experience with the licensing process. 118. Is this facility DOH licensed?</t>
        </is>
      </c>
      <c r="D241" s="10" t="inlineStr"/>
      <c r="E241" s="10">
        <f> No / Submitted-waiting / Don't know what licensing is (2, 3, 4) → Q135 (skip Q119–Q134)</f>
        <v/>
      </c>
      <c r="F241" s="10" t="inlineStr">
        <is>
          <t>F. DOH Licensing: Status and Barriers</t>
        </is>
      </c>
      <c r="G241" s="10" t="inlineStr">
        <is>
          <t>numeric 2</t>
        </is>
      </c>
      <c r="H241" s="10" t="inlineStr">
        <is>
          <t>1 = Yes
2 = No
3 = No, but submitted requirements and waiting</t>
        </is>
      </c>
      <c r="I241" s="10" t="inlineStr">
        <is>
          <t>4 = I don't know what DOH licensing is</t>
        </is>
      </c>
      <c r="J241" s="10" t="inlineStr"/>
    </row>
    <row r="242">
      <c r="A242" s="7" t="inlineStr">
        <is>
          <t>q119_lic_received_when</t>
        </is>
      </c>
      <c r="B242" s="8" t="inlineStr">
        <is>
          <t>119. When did you receive your DOH license from your most recent application?</t>
        </is>
      </c>
      <c r="C242" s="8" t="inlineStr">
        <is>
          <t>119. When did you receive your DOH license from your most recent application?</t>
        </is>
      </c>
      <c r="D242" s="8" t="inlineStr">
        <is>
          <t>not asked when Q118 DOH_LICENSED = No / Submitted-waiting / Don't know what licensing is (2, 3, 4)</t>
        </is>
      </c>
      <c r="E242" s="8" t="inlineStr"/>
      <c r="F242" s="8" t="inlineStr">
        <is>
          <t>F. DOH Licensing: Status and Barriers</t>
        </is>
      </c>
      <c r="G242" s="8" t="inlineStr">
        <is>
          <t>numeric 2</t>
        </is>
      </c>
      <c r="H242" s="8" t="inlineStr">
        <is>
          <t>1 = Within the last 1 to 3 months
2 = Within the last 4 to 6 months
3 = Over 6 months but within 1 year
4 = More than 1 year ago</t>
        </is>
      </c>
      <c r="I242" s="8" t="inlineStr">
        <is>
          <t>5 = I don't know</t>
        </is>
      </c>
      <c r="J242" s="8" t="inlineStr"/>
    </row>
    <row r="243">
      <c r="A243" s="9" t="inlineStr">
        <is>
          <t>q120_lic_days</t>
        </is>
      </c>
      <c r="B243" s="10" t="inlineStr">
        <is>
          <t>120. How many days did it take you to receive the license?</t>
        </is>
      </c>
      <c r="C243" s="10" t="inlineStr">
        <is>
          <t>120. How many days did it take you to receive the license?</t>
        </is>
      </c>
      <c r="D243" s="10" t="inlineStr"/>
      <c r="E243" s="10" t="inlineStr"/>
      <c r="F243" s="10" t="inlineStr">
        <is>
          <t>F. DOH Licensing: Status and Barriers</t>
        </is>
      </c>
      <c r="G243" s="10" t="inlineStr">
        <is>
          <t>numeric 2</t>
        </is>
      </c>
      <c r="H243" s="10" t="inlineStr">
        <is>
          <t>1 = Less than 30 days
2 = 31-60 days
3 = More than 60 days</t>
        </is>
      </c>
      <c r="I243" s="10" t="inlineStr"/>
      <c r="J243" s="10" t="inlineStr"/>
    </row>
    <row r="244">
      <c r="A244" s="7" t="inlineStr">
        <is>
          <t>q121_doh_lic_difficult</t>
        </is>
      </c>
      <c r="B244" s="8" t="inlineStr">
        <is>
          <t>121. Which of the following requirements were difficult to comply with in the DOH licensing process?</t>
        </is>
      </c>
      <c r="C244" s="8" t="inlineStr">
        <is>
          <t>121. Which of the following requirements were difficult to comply with in the DOH licensing process? READ OPTIONS OUT LOUD. SELECT ALL THAT APPLY.</t>
        </is>
      </c>
      <c r="D244" s="8" t="inlineStr"/>
      <c r="E244" s="8">
        <f> "None of the above" only → Q135 (skip Q122–Q134)</f>
        <v/>
      </c>
      <c r="F244" s="8" t="inlineStr">
        <is>
          <t>F. DOH Licensing: Status and Barriers</t>
        </is>
      </c>
      <c r="G244" s="8" t="inlineStr">
        <is>
          <t>alpha 28</t>
        </is>
      </c>
      <c r="H244" s="8" t="inlineStr">
        <is>
          <t>01 = Patient rights and organization ethics
02 = Patient care
03 = Leadership and management
04 = Human resource management
05 = Information management
06 = Safe practice and environment
07 = Improving performance
08 = Physical plant
09 = Equipment and instruments
10 = National laws and DOH issuances (hospitals only)
11 = Emergency cart contents (hospitals only)
12 = Add-on services (hospitals only)
13 = Public access to price information (PCF only)
90 = None of the above</t>
        </is>
      </c>
      <c r="I244" s="8" t="inlineStr"/>
      <c r="J244" s="8" t="inlineStr"/>
    </row>
    <row r="245">
      <c r="A245" s="9" t="inlineStr">
        <is>
          <t>q122_why_diff_pt_rights</t>
        </is>
      </c>
      <c r="B245" s="10" t="inlineStr">
        <is>
          <t>122. Why was it difficult to comply with the following? Patient rights and organization ethics</t>
        </is>
      </c>
      <c r="C245" s="10" t="inlineStr">
        <is>
          <t>122. Why was it difficult to comply with the following? Patient rights and organization ethics DO NOT READ OPTIONS OUT LOUD. SELECT ALL THAT APPLY.</t>
        </is>
      </c>
      <c r="D245" s="10" t="inlineStr">
        <is>
          <t>not asked when Q121 DOH_LIC_DIFFICULT = "None of the above" only</t>
        </is>
      </c>
      <c r="E245" s="10" t="inlineStr"/>
      <c r="F245" s="10" t="inlineStr">
        <is>
          <t>F. DOH Licensing: Status and Barriers</t>
        </is>
      </c>
      <c r="G245" s="10" t="inlineStr">
        <is>
          <t>alpha 18</t>
        </is>
      </c>
      <c r="H245" s="10" t="inlineStr">
        <is>
          <t>01 = Not enough budget / too expensive
02 = Time-consuming
03 = Limited human resources
04 = Legal processes
05 = Compiling documentary requirements
06 = Stringent standards
07 = Lack of training
08 = Lack of space
99 = Other (specify)</t>
        </is>
      </c>
      <c r="I245" s="10" t="inlineStr"/>
      <c r="J245" s="10" t="inlineStr"/>
    </row>
    <row r="246">
      <c r="A246" s="7" t="inlineStr">
        <is>
          <t>q122_why_diff_pt_rights_other_txt</t>
        </is>
      </c>
      <c r="B246" s="8" t="inlineStr">
        <is>
          <t>122. Why was it difficult to comply with the following? Patient rights and organization ethics — Other (specify) text</t>
        </is>
      </c>
      <c r="C246" s="8" t="inlineStr">
        <is>
          <t>122. Why was it difficult to comply with the following? Patient rights and organization ethics — Other (specify) text</t>
        </is>
      </c>
      <c r="D246" s="8" t="inlineStr">
        <is>
          <t>not asked when Q121 DOH_LIC_DIFFICULT = "None of the above" only</t>
        </is>
      </c>
      <c r="E246" s="8" t="inlineStr"/>
      <c r="F246" s="8" t="inlineStr">
        <is>
          <t>F. DOH Licensing: Status and Barriers</t>
        </is>
      </c>
      <c r="G246" s="8" t="inlineStr">
        <is>
          <t>alpha 120</t>
        </is>
      </c>
      <c r="H246" s="8" t="inlineStr"/>
      <c r="I246" s="8" t="inlineStr"/>
      <c r="J246" s="8" t="inlineStr"/>
    </row>
    <row r="247">
      <c r="A247" s="9" t="inlineStr">
        <is>
          <t>q123_why_diff_pt_care</t>
        </is>
      </c>
      <c r="B247" s="10" t="inlineStr">
        <is>
          <t>123. Why was it difficult to comply with the following? Patient care</t>
        </is>
      </c>
      <c r="C247" s="10" t="inlineStr">
        <is>
          <t>123. Why was it difficult to comply with the following? Patient care DO NOT READ OPTIONS OUT LOUD. SELECT ALL THAT APPLY.</t>
        </is>
      </c>
      <c r="D247" s="10" t="inlineStr"/>
      <c r="E247" s="10" t="inlineStr"/>
      <c r="F247" s="10" t="inlineStr">
        <is>
          <t>F. DOH Licensing: Status and Barriers</t>
        </is>
      </c>
      <c r="G247" s="10" t="inlineStr">
        <is>
          <t>alpha 18</t>
        </is>
      </c>
      <c r="H247" s="10" t="inlineStr">
        <is>
          <t>01 = Not enough budget / too expensive
02 = Time-consuming
03 = Limited human resources
04 = Legal processes
05 = Compiling documentary requirements
06 = Stringent standards
07 = Lack of training
08 = Lack of space
99 = Other (specify)</t>
        </is>
      </c>
      <c r="I247" s="10" t="inlineStr"/>
      <c r="J247" s="10" t="inlineStr"/>
    </row>
    <row r="248">
      <c r="A248" s="7" t="inlineStr">
        <is>
          <t>q123_why_diff_pt_care_other_txt</t>
        </is>
      </c>
      <c r="B248" s="8" t="inlineStr">
        <is>
          <t>123. Why was it difficult to comply with the following? Patient care — Other (specify) text</t>
        </is>
      </c>
      <c r="C248" s="8" t="inlineStr">
        <is>
          <t>123. Why was it difficult to comply with the following? Patient care — Other (specify) text</t>
        </is>
      </c>
      <c r="D248" s="8" t="inlineStr"/>
      <c r="E248" s="8" t="inlineStr"/>
      <c r="F248" s="8" t="inlineStr">
        <is>
          <t>F. DOH Licensing: Status and Barriers</t>
        </is>
      </c>
      <c r="G248" s="8" t="inlineStr">
        <is>
          <t>alpha 120</t>
        </is>
      </c>
      <c r="H248" s="8" t="inlineStr"/>
      <c r="I248" s="8" t="inlineStr"/>
      <c r="J248" s="8" t="inlineStr"/>
    </row>
    <row r="249">
      <c r="A249" s="9" t="inlineStr">
        <is>
          <t>q124_why_diff_leadership</t>
        </is>
      </c>
      <c r="B249" s="10" t="inlineStr">
        <is>
          <t>124. Why was it difficult to comply with the following? Leadership and management</t>
        </is>
      </c>
      <c r="C249" s="10" t="inlineStr">
        <is>
          <t>124. Why was it difficult to comply with the following? Leadership and management DO NOT READ OPTIONS OUT LOUD. SELECT ALL THAT APPLY.</t>
        </is>
      </c>
      <c r="D249" s="10" t="inlineStr"/>
      <c r="E249" s="10" t="inlineStr"/>
      <c r="F249" s="10" t="inlineStr">
        <is>
          <t>F. DOH Licensing: Status and Barriers</t>
        </is>
      </c>
      <c r="G249" s="10" t="inlineStr">
        <is>
          <t>alpha 18</t>
        </is>
      </c>
      <c r="H249" s="10" t="inlineStr">
        <is>
          <t>01 = Not enough budget / too expensive
02 = Time-consuming
03 = Limited human resources
04 = Legal processes
05 = Compiling documentary requirements
06 = Stringent standards
07 = Lack of training
08 = Lack of space
99 = Other (specify)</t>
        </is>
      </c>
      <c r="I249" s="10" t="inlineStr"/>
      <c r="J249" s="10" t="inlineStr"/>
    </row>
    <row r="250">
      <c r="A250" s="7" t="inlineStr">
        <is>
          <t>q124_why_diff_leadership_other_txt</t>
        </is>
      </c>
      <c r="B250" s="8" t="inlineStr">
        <is>
          <t>124. Why was it difficult to comply with the following? Leadership and management — Other (specify) text</t>
        </is>
      </c>
      <c r="C250" s="8" t="inlineStr">
        <is>
          <t>124. Why was it difficult to comply with the following? Leadership and management — Other (specify) text</t>
        </is>
      </c>
      <c r="D250" s="8" t="inlineStr"/>
      <c r="E250" s="8" t="inlineStr"/>
      <c r="F250" s="8" t="inlineStr">
        <is>
          <t>F. DOH Licensing: Status and Barriers</t>
        </is>
      </c>
      <c r="G250" s="8" t="inlineStr">
        <is>
          <t>alpha 120</t>
        </is>
      </c>
      <c r="H250" s="8" t="inlineStr"/>
      <c r="I250" s="8" t="inlineStr"/>
      <c r="J250" s="8" t="inlineStr"/>
    </row>
    <row r="251">
      <c r="A251" s="9" t="inlineStr">
        <is>
          <t>q125_why_diff_hrm</t>
        </is>
      </c>
      <c r="B251" s="10" t="inlineStr">
        <is>
          <t>125. Why was it difficult to comply with the following? Human resource management</t>
        </is>
      </c>
      <c r="C251" s="10" t="inlineStr">
        <is>
          <t>125. Why was it difficult to comply with the following? Human resource management DO NOT READ OPTIONS OUT LOUD. SELECT ALL THAT APPLY.</t>
        </is>
      </c>
      <c r="D251" s="10" t="inlineStr"/>
      <c r="E251" s="10" t="inlineStr"/>
      <c r="F251" s="10" t="inlineStr">
        <is>
          <t>F. DOH Licensing: Status and Barriers</t>
        </is>
      </c>
      <c r="G251" s="10" t="inlineStr">
        <is>
          <t>alpha 18</t>
        </is>
      </c>
      <c r="H251" s="10" t="inlineStr">
        <is>
          <t>01 = Not enough budget / too expensive
02 = Time-consuming
03 = Limited human resources
04 = Legal processes
05 = Compiling documentary requirements
06 = Stringent standards
07 = Lack of training
08 = Lack of space
99 = Other (specify)</t>
        </is>
      </c>
      <c r="I251" s="10" t="inlineStr"/>
      <c r="J251" s="10" t="inlineStr"/>
    </row>
    <row r="252">
      <c r="A252" s="7" t="inlineStr">
        <is>
          <t>q125_why_diff_hrm_other_txt</t>
        </is>
      </c>
      <c r="B252" s="8" t="inlineStr">
        <is>
          <t>125. Why was it difficult to comply with the following? Human resource management — Other (specify) text</t>
        </is>
      </c>
      <c r="C252" s="8" t="inlineStr">
        <is>
          <t>125. Why was it difficult to comply with the following? Human resource management — Other (specify) text</t>
        </is>
      </c>
      <c r="D252" s="8" t="inlineStr"/>
      <c r="E252" s="8" t="inlineStr"/>
      <c r="F252" s="8" t="inlineStr">
        <is>
          <t>F. DOH Licensing: Status and Barriers</t>
        </is>
      </c>
      <c r="G252" s="8" t="inlineStr">
        <is>
          <t>alpha 120</t>
        </is>
      </c>
      <c r="H252" s="8" t="inlineStr"/>
      <c r="I252" s="8" t="inlineStr"/>
      <c r="J252" s="8" t="inlineStr"/>
    </row>
    <row r="253">
      <c r="A253" s="9" t="inlineStr">
        <is>
          <t>q126_why_diff_info_mgmt</t>
        </is>
      </c>
      <c r="B253" s="10" t="inlineStr">
        <is>
          <t>126. Why was it difficult to comply with the following? Information management</t>
        </is>
      </c>
      <c r="C253" s="10" t="inlineStr">
        <is>
          <t>126. Why was it difficult to comply with the following? Information management DO NOT READ OPTIONS OUT LOUD. SELECT ALL THAT APPLY.</t>
        </is>
      </c>
      <c r="D253" s="10" t="inlineStr"/>
      <c r="E253" s="10" t="inlineStr"/>
      <c r="F253" s="10" t="inlineStr">
        <is>
          <t>F. DOH Licensing: Status and Barriers</t>
        </is>
      </c>
      <c r="G253" s="10" t="inlineStr">
        <is>
          <t>alpha 18</t>
        </is>
      </c>
      <c r="H253" s="10" t="inlineStr">
        <is>
          <t>01 = Not enough budget / too expensive
02 = Time-consuming
03 = Limited human resources
04 = Legal processes
05 = Compiling documentary requirements
06 = Stringent standards
07 = Lack of training
08 = Lack of space
99 = Other (specify)</t>
        </is>
      </c>
      <c r="I253" s="10" t="inlineStr"/>
      <c r="J253" s="10" t="inlineStr"/>
    </row>
    <row r="254">
      <c r="A254" s="7" t="inlineStr">
        <is>
          <t>q126_why_diff_info_mgmt_other_txt</t>
        </is>
      </c>
      <c r="B254" s="8" t="inlineStr">
        <is>
          <t>126. Why was it difficult to comply with the following? Information management — Other (specify) text</t>
        </is>
      </c>
      <c r="C254" s="8" t="inlineStr">
        <is>
          <t>126. Why was it difficult to comply with the following? Information management — Other (specify) text</t>
        </is>
      </c>
      <c r="D254" s="8" t="inlineStr"/>
      <c r="E254" s="8" t="inlineStr"/>
      <c r="F254" s="8" t="inlineStr">
        <is>
          <t>F. DOH Licensing: Status and Barriers</t>
        </is>
      </c>
      <c r="G254" s="8" t="inlineStr">
        <is>
          <t>alpha 120</t>
        </is>
      </c>
      <c r="H254" s="8" t="inlineStr"/>
      <c r="I254" s="8" t="inlineStr"/>
      <c r="J254" s="8" t="inlineStr"/>
    </row>
    <row r="255">
      <c r="A255" s="9" t="inlineStr">
        <is>
          <t>q127_why_diff_safe</t>
        </is>
      </c>
      <c r="B255" s="10" t="inlineStr">
        <is>
          <t>127. Why was it difficult to comply with the following? Safe practice and environment</t>
        </is>
      </c>
      <c r="C255" s="10" t="inlineStr">
        <is>
          <t>127. Why was it difficult to comply with the following? Safe practice and environment DO NOT READ OPTIONS OUT LOUD. SELECT ALL THAT APPLY.</t>
        </is>
      </c>
      <c r="D255" s="10" t="inlineStr"/>
      <c r="E255" s="10" t="inlineStr"/>
      <c r="F255" s="10" t="inlineStr">
        <is>
          <t>F. DOH Licensing: Status and Barriers</t>
        </is>
      </c>
      <c r="G255" s="10" t="inlineStr">
        <is>
          <t>alpha 18</t>
        </is>
      </c>
      <c r="H255" s="10" t="inlineStr">
        <is>
          <t>01 = Not enough budget / too expensive
02 = Time-consuming
03 = Limited human resources
04 = Legal processes
05 = Compiling documentary requirements
06 = Stringent standards
07 = Lack of training
08 = Lack of space
99 = Other (specify)</t>
        </is>
      </c>
      <c r="I255" s="10" t="inlineStr"/>
      <c r="J255" s="10" t="inlineStr"/>
    </row>
    <row r="256">
      <c r="A256" s="7" t="inlineStr">
        <is>
          <t>q127_why_diff_safe_other_txt</t>
        </is>
      </c>
      <c r="B256" s="8" t="inlineStr">
        <is>
          <t>127. Why was it difficult to comply with the following? Safe practice and environment — Other (specify) text</t>
        </is>
      </c>
      <c r="C256" s="8" t="inlineStr">
        <is>
          <t>127. Why was it difficult to comply with the following? Safe practice and environment — Other (specify) text</t>
        </is>
      </c>
      <c r="D256" s="8" t="inlineStr"/>
      <c r="E256" s="8" t="inlineStr"/>
      <c r="F256" s="8" t="inlineStr">
        <is>
          <t>F. DOH Licensing: Status and Barriers</t>
        </is>
      </c>
      <c r="G256" s="8" t="inlineStr">
        <is>
          <t>alpha 120</t>
        </is>
      </c>
      <c r="H256" s="8" t="inlineStr"/>
      <c r="I256" s="8" t="inlineStr"/>
      <c r="J256" s="8" t="inlineStr"/>
    </row>
    <row r="257">
      <c r="A257" s="9" t="inlineStr">
        <is>
          <t>q128_why_diff_perf</t>
        </is>
      </c>
      <c r="B257" s="10" t="inlineStr">
        <is>
          <t>128. Why was it difficult to comply with the following? Improving performance</t>
        </is>
      </c>
      <c r="C257" s="10" t="inlineStr">
        <is>
          <t>128. Why was it difficult to comply with the following? Improving performance DO NOT READ OPTIONS OUT LOUD. SELECT ALL THAT APPLY.</t>
        </is>
      </c>
      <c r="D257" s="10" t="inlineStr"/>
      <c r="E257" s="10" t="inlineStr"/>
      <c r="F257" s="10" t="inlineStr">
        <is>
          <t>F. DOH Licensing: Status and Barriers</t>
        </is>
      </c>
      <c r="G257" s="10" t="inlineStr">
        <is>
          <t>alpha 18</t>
        </is>
      </c>
      <c r="H257" s="10" t="inlineStr">
        <is>
          <t>01 = Not enough budget / too expensive
02 = Time-consuming
03 = Limited human resources
04 = Legal processes
05 = Compiling documentary requirements
06 = Stringent standards
07 = Lack of training
08 = Lack of space
99 = Other (specify)</t>
        </is>
      </c>
      <c r="I257" s="10" t="inlineStr"/>
      <c r="J257" s="10" t="inlineStr"/>
    </row>
    <row r="258">
      <c r="A258" s="7" t="inlineStr">
        <is>
          <t>q128_why_diff_perf_other_txt</t>
        </is>
      </c>
      <c r="B258" s="8" t="inlineStr">
        <is>
          <t>128. Why was it difficult to comply with the following? Improving performance — Other (specify) text</t>
        </is>
      </c>
      <c r="C258" s="8" t="inlineStr">
        <is>
          <t>128. Why was it difficult to comply with the following? Improving performance — Other (specify) text</t>
        </is>
      </c>
      <c r="D258" s="8" t="inlineStr"/>
      <c r="E258" s="8" t="inlineStr"/>
      <c r="F258" s="8" t="inlineStr">
        <is>
          <t>F. DOH Licensing: Status and Barriers</t>
        </is>
      </c>
      <c r="G258" s="8" t="inlineStr">
        <is>
          <t>alpha 120</t>
        </is>
      </c>
      <c r="H258" s="8" t="inlineStr"/>
      <c r="I258" s="8" t="inlineStr"/>
      <c r="J258" s="8" t="inlineStr"/>
    </row>
    <row r="259">
      <c r="A259" s="9" t="inlineStr">
        <is>
          <t>q129_why_diff_phys_plant</t>
        </is>
      </c>
      <c r="B259" s="10" t="inlineStr">
        <is>
          <t>129. Why was it difficult to comply with the following? Physical plant</t>
        </is>
      </c>
      <c r="C259" s="10" t="inlineStr">
        <is>
          <t>129. Why was it difficult to comply with the following? Physical plant DO NOT READ OPTIONS OUT LOUD. SELECT ALL THAT APPLY.</t>
        </is>
      </c>
      <c r="D259" s="10" t="inlineStr"/>
      <c r="E259" s="10" t="inlineStr"/>
      <c r="F259" s="10" t="inlineStr">
        <is>
          <t>F. DOH Licensing: Status and Barriers</t>
        </is>
      </c>
      <c r="G259" s="10" t="inlineStr">
        <is>
          <t>alpha 18</t>
        </is>
      </c>
      <c r="H259" s="10" t="inlineStr">
        <is>
          <t>01 = Not enough budget / too expensive
02 = Time-consuming
03 = Limited human resources
04 = Legal processes
05 = Compiling documentary requirements
06 = Stringent standards
07 = Lack of training
08 = Lack of space
99 = Other (specify)</t>
        </is>
      </c>
      <c r="I259" s="10" t="inlineStr"/>
      <c r="J259" s="10" t="inlineStr"/>
    </row>
    <row r="260">
      <c r="A260" s="7" t="inlineStr">
        <is>
          <t>q129_why_diff_phys_plant_other_txt</t>
        </is>
      </c>
      <c r="B260" s="8" t="inlineStr">
        <is>
          <t>129. Why was it difficult to comply with the following? Physical plant — Other (specify) text</t>
        </is>
      </c>
      <c r="C260" s="8" t="inlineStr">
        <is>
          <t>129. Why was it difficult to comply with the following? Physical plant — Other (specify) text</t>
        </is>
      </c>
      <c r="D260" s="8" t="inlineStr"/>
      <c r="E260" s="8" t="inlineStr"/>
      <c r="F260" s="8" t="inlineStr">
        <is>
          <t>F. DOH Licensing: Status and Barriers</t>
        </is>
      </c>
      <c r="G260" s="8" t="inlineStr">
        <is>
          <t>alpha 120</t>
        </is>
      </c>
      <c r="H260" s="8" t="inlineStr"/>
      <c r="I260" s="8" t="inlineStr"/>
      <c r="J260" s="8" t="inlineStr"/>
    </row>
    <row r="261">
      <c r="A261" s="9" t="inlineStr">
        <is>
          <t>q130_why_diff_price_info</t>
        </is>
      </c>
      <c r="B261" s="10" t="inlineStr">
        <is>
          <t>130. Why was it difficult to comply with the following? Public access to price information</t>
        </is>
      </c>
      <c r="C261" s="10" t="inlineStr">
        <is>
          <t>130. Why was it difficult to comply with the following? Public access to price information DO NOT READ OPTIONS OUT LOUD. SELECT ALL THAT APPLY.</t>
        </is>
      </c>
      <c r="D261" s="10" t="inlineStr"/>
      <c r="E261" s="10" t="inlineStr"/>
      <c r="F261" s="10" t="inlineStr">
        <is>
          <t>F. DOH Licensing: Status and Barriers</t>
        </is>
      </c>
      <c r="G261" s="10" t="inlineStr">
        <is>
          <t>alpha 18</t>
        </is>
      </c>
      <c r="H261" s="10" t="inlineStr">
        <is>
          <t>01 = Not enough budget / too expensive
02 = Time-consuming
03 = Limited human resources
04 = Legal processes
05 = Compiling documentary requirements
06 = Stringent standards
07 = Lack of training
08 = Lack of space
99 = Other (specify)</t>
        </is>
      </c>
      <c r="I261" s="10" t="inlineStr"/>
      <c r="J261" s="10" t="inlineStr"/>
    </row>
    <row r="262">
      <c r="A262" s="7" t="inlineStr">
        <is>
          <t>q130_why_diff_price_info_other_txt</t>
        </is>
      </c>
      <c r="B262" s="8" t="inlineStr">
        <is>
          <t>130. Why was it difficult to comply with the following? Public access to price information — Other (specify) text</t>
        </is>
      </c>
      <c r="C262" s="8" t="inlineStr">
        <is>
          <t>130. Why was it difficult to comply with the following? Public access to price information — Other (specify) text</t>
        </is>
      </c>
      <c r="D262" s="8" t="inlineStr"/>
      <c r="E262" s="8" t="inlineStr"/>
      <c r="F262" s="8" t="inlineStr">
        <is>
          <t>F. DOH Licensing: Status and Barriers</t>
        </is>
      </c>
      <c r="G262" s="8" t="inlineStr">
        <is>
          <t>alpha 120</t>
        </is>
      </c>
      <c r="H262" s="8" t="inlineStr"/>
      <c r="I262" s="8" t="inlineStr"/>
      <c r="J262" s="8" t="inlineStr"/>
    </row>
    <row r="263">
      <c r="A263" s="9" t="inlineStr">
        <is>
          <t>q131_why_diff_equipment</t>
        </is>
      </c>
      <c r="B263" s="10" t="inlineStr">
        <is>
          <t>131. Why was it difficult to comply with the following? Equipment and instruments</t>
        </is>
      </c>
      <c r="C263" s="10" t="inlineStr">
        <is>
          <t>131. Why was it difficult to comply with the following? Equipment and instruments DO NOT READ OPTIONS OUT LOUD. SELECT ALL THAT APPLY.</t>
        </is>
      </c>
      <c r="D263" s="10" t="inlineStr"/>
      <c r="E263" s="10" t="inlineStr"/>
      <c r="F263" s="10" t="inlineStr">
        <is>
          <t>F. DOH Licensing: Status and Barriers</t>
        </is>
      </c>
      <c r="G263" s="10" t="inlineStr">
        <is>
          <t>alpha 18</t>
        </is>
      </c>
      <c r="H263" s="10" t="inlineStr">
        <is>
          <t>01 = Not enough budget / too expensive
02 = Time-consuming
03 = Limited human resources
04 = Legal processes
05 = Compiling documentary requirements
06 = Stringent standards
07 = Lack of training
08 = Lack of space
99 = Other (specify)</t>
        </is>
      </c>
      <c r="I263" s="10" t="inlineStr"/>
      <c r="J263" s="10" t="inlineStr"/>
    </row>
    <row r="264">
      <c r="A264" s="7" t="inlineStr">
        <is>
          <t>q131_why_diff_equipment_other_txt</t>
        </is>
      </c>
      <c r="B264" s="8" t="inlineStr">
        <is>
          <t>131. Why was it difficult to comply with the following? Equipment and instruments — Other (specify) text</t>
        </is>
      </c>
      <c r="C264" s="8" t="inlineStr">
        <is>
          <t>131. Why was it difficult to comply with the following? Equipment and instruments — Other (specify) text</t>
        </is>
      </c>
      <c r="D264" s="8" t="inlineStr"/>
      <c r="E264" s="8" t="inlineStr"/>
      <c r="F264" s="8" t="inlineStr">
        <is>
          <t>F. DOH Licensing: Status and Barriers</t>
        </is>
      </c>
      <c r="G264" s="8" t="inlineStr">
        <is>
          <t>alpha 120</t>
        </is>
      </c>
      <c r="H264" s="8" t="inlineStr"/>
      <c r="I264" s="8" t="inlineStr"/>
      <c r="J264" s="8" t="inlineStr"/>
    </row>
    <row r="265">
      <c r="A265" s="9" t="inlineStr">
        <is>
          <t>q132_why_diff_nat_laws</t>
        </is>
      </c>
      <c r="B265" s="10" t="inlineStr">
        <is>
          <t>132. Why was it difficult to comply with the following? National laws and DOH issuances implemented in hospitals and other health facilities</t>
        </is>
      </c>
      <c r="C265" s="10" t="inlineStr">
        <is>
          <t>132. Why was it difficult to comply with the following? National laws and DOH issuances implemented in hospitals and other health facilities DO NOT READ OPTIONS OUT LOUD. SELECT ALL THAT APPLY.</t>
        </is>
      </c>
      <c r="D265" s="10" t="inlineStr"/>
      <c r="E265" s="10" t="inlineStr"/>
      <c r="F265" s="10" t="inlineStr">
        <is>
          <t>F. DOH Licensing: Status and Barriers</t>
        </is>
      </c>
      <c r="G265" s="10" t="inlineStr">
        <is>
          <t>alpha 18</t>
        </is>
      </c>
      <c r="H265" s="10" t="inlineStr">
        <is>
          <t>01 = Not enough budget / too expensive
02 = Time-consuming
03 = Limited human resources
04 = Legal processes
05 = Compiling documentary requirements
06 = Stringent standards
07 = Lack of training
08 = Lack of space
99 = Other (specify)</t>
        </is>
      </c>
      <c r="I265" s="10" t="inlineStr"/>
      <c r="J265" s="10" t="inlineStr"/>
    </row>
    <row r="266">
      <c r="A266" s="7" t="inlineStr">
        <is>
          <t>q132_why_diff_nat_laws_other_txt</t>
        </is>
      </c>
      <c r="B266" s="8" t="inlineStr">
        <is>
          <t>132. Why was it difficult to comply with the following? National laws and DOH issuances implemented in hospitals and other health facilities — Other (specify) text</t>
        </is>
      </c>
      <c r="C266" s="8" t="inlineStr">
        <is>
          <t>132. Why was it difficult to comply with the following? National laws and DOH issuances implemented in hospitals and other health facilities — Other (specify) text</t>
        </is>
      </c>
      <c r="D266" s="8" t="inlineStr"/>
      <c r="E266" s="8" t="inlineStr"/>
      <c r="F266" s="8" t="inlineStr">
        <is>
          <t>F. DOH Licensing: Status and Barriers</t>
        </is>
      </c>
      <c r="G266" s="8" t="inlineStr">
        <is>
          <t>alpha 120</t>
        </is>
      </c>
      <c r="H266" s="8" t="inlineStr"/>
      <c r="I266" s="8" t="inlineStr"/>
      <c r="J266" s="8" t="inlineStr"/>
    </row>
    <row r="267">
      <c r="A267" s="9" t="inlineStr">
        <is>
          <t>q133_why_diff_emerg_cart</t>
        </is>
      </c>
      <c r="B267" s="10" t="inlineStr">
        <is>
          <t>133. Why was it difficult to comply with the following? Emergency Cart Contents</t>
        </is>
      </c>
      <c r="C267" s="10" t="inlineStr">
        <is>
          <t>133. Why was it difficult to comply with the following? Emergency Cart Contents DO NOT READ OPTIONS OUT LOUD. SELECT ALL THAT APPLY.</t>
        </is>
      </c>
      <c r="D267" s="10" t="inlineStr"/>
      <c r="E267" s="10" t="inlineStr"/>
      <c r="F267" s="10" t="inlineStr">
        <is>
          <t>F. DOH Licensing: Status and Barriers</t>
        </is>
      </c>
      <c r="G267" s="10" t="inlineStr">
        <is>
          <t>alpha 18</t>
        </is>
      </c>
      <c r="H267" s="10" t="inlineStr">
        <is>
          <t>01 = Not enough budget / too expensive
02 = Time-consuming
03 = Limited human resources
04 = Legal processes
05 = Compiling documentary requirements
06 = Stringent standards
07 = Lack of training
08 = Lack of space
99 = Other (specify)</t>
        </is>
      </c>
      <c r="I267" s="10" t="inlineStr"/>
      <c r="J267" s="10" t="inlineStr"/>
    </row>
    <row r="268">
      <c r="A268" s="7" t="inlineStr">
        <is>
          <t>q133_why_diff_emerg_cart_other_txt</t>
        </is>
      </c>
      <c r="B268" s="8" t="inlineStr">
        <is>
          <t>133. Why was it difficult to comply with the following? Emergency Cart Contents — Other (specify) text</t>
        </is>
      </c>
      <c r="C268" s="8" t="inlineStr">
        <is>
          <t>133. Why was it difficult to comply with the following? Emergency Cart Contents — Other (specify) text</t>
        </is>
      </c>
      <c r="D268" s="8" t="inlineStr"/>
      <c r="E268" s="8" t="inlineStr"/>
      <c r="F268" s="8" t="inlineStr">
        <is>
          <t>F. DOH Licensing: Status and Barriers</t>
        </is>
      </c>
      <c r="G268" s="8" t="inlineStr">
        <is>
          <t>alpha 120</t>
        </is>
      </c>
      <c r="H268" s="8" t="inlineStr"/>
      <c r="I268" s="8" t="inlineStr"/>
      <c r="J268" s="8" t="inlineStr"/>
    </row>
    <row r="269">
      <c r="A269" s="9" t="inlineStr">
        <is>
          <t>q134_why_diff_addons</t>
        </is>
      </c>
      <c r="B269" s="10" t="inlineStr">
        <is>
          <t>134. Why was it difficult to comply with the following? Add-on services</t>
        </is>
      </c>
      <c r="C269" s="10" t="inlineStr">
        <is>
          <t>134. Why was it difficult to comply with the following? Add-on services DO NOT READ OPTIONS OUT LOUD. SELECT ALL THAT APPLY.</t>
        </is>
      </c>
      <c r="D269" s="10" t="inlineStr">
        <is>
          <t>not asked when Q118 DOH_LICENSED = No / Submitted-waiting / Don't know what licensing is (2, 3, 4)
not asked when Q121 DOH_LIC_DIFFICULT = "None of the above" only</t>
        </is>
      </c>
      <c r="E269" s="10" t="inlineStr"/>
      <c r="F269" s="10" t="inlineStr">
        <is>
          <t>F. DOH Licensing: Status and Barriers</t>
        </is>
      </c>
      <c r="G269" s="10" t="inlineStr">
        <is>
          <t>alpha 18</t>
        </is>
      </c>
      <c r="H269" s="10" t="inlineStr">
        <is>
          <t>01 = Not enough budget / too expensive
02 = Time-consuming
03 = Limited human resources
04 = Legal processes
05 = Compiling documentary requirements
06 = Stringent standards
07 = Lack of training
08 = Lack of space
99 = Other (specify)</t>
        </is>
      </c>
      <c r="I269" s="10" t="inlineStr"/>
      <c r="J269" s="10" t="inlineStr"/>
    </row>
    <row r="270">
      <c r="A270" s="7" t="inlineStr">
        <is>
          <t>q134_why_diff_addons_other_txt</t>
        </is>
      </c>
      <c r="B270" s="8" t="inlineStr">
        <is>
          <t>134. Why was it difficult to comply with the following? Add-on services — Other (specify) text</t>
        </is>
      </c>
      <c r="C270" s="8" t="inlineStr">
        <is>
          <t>134. Why was it difficult to comply with the following? Add-on services — Other (specify) text</t>
        </is>
      </c>
      <c r="D270" s="8" t="inlineStr">
        <is>
          <t>not asked when Q118 DOH_LICENSED = No / Submitted-waiting / Don't know what licensing is (2, 3, 4)
not asked when Q121 DOH_LIC_DIFFICULT = "None of the above" only</t>
        </is>
      </c>
      <c r="E270" s="8" t="inlineStr"/>
      <c r="F270" s="8" t="inlineStr">
        <is>
          <t>F. DOH Licensing: Status and Barriers</t>
        </is>
      </c>
      <c r="G270" s="8" t="inlineStr">
        <is>
          <t>alpha 120</t>
        </is>
      </c>
      <c r="H270" s="8" t="inlineStr"/>
      <c r="I270" s="8" t="inlineStr"/>
      <c r="J270" s="8" t="inlineStr"/>
    </row>
    <row r="271">
      <c r="A271" s="9" t="inlineStr">
        <is>
          <t>q135_nbb_curr</t>
        </is>
      </c>
      <c r="B271" s="10" t="inlineStr">
        <is>
          <t>135. Do you currently implement the "no balance billing" policy for your patients?</t>
        </is>
      </c>
      <c r="C271" s="10" t="inlineStr">
        <is>
          <t>The next set of questions covers the service delivery process. This section covers the implementation of NBB and ZBB, LGU support, and the Referral System. 135. Do you currently implement the "no balance billing" policy for your patients?</t>
        </is>
      </c>
      <c r="D271" s="10" t="inlineStr"/>
      <c r="E271" s="10">
        <f> No → Q138 (skip Q136, Q137)</f>
        <v/>
      </c>
      <c r="F271" s="10" t="inlineStr">
        <is>
          <t>G. Service Delivery Process</t>
        </is>
      </c>
      <c r="G271" s="10" t="inlineStr">
        <is>
          <t>numeric 1</t>
        </is>
      </c>
      <c r="H271" s="10" t="inlineStr">
        <is>
          <t>1 = Yes
2 = No</t>
        </is>
      </c>
      <c r="I271" s="10" t="inlineStr"/>
      <c r="J271" s="10" t="inlineStr"/>
    </row>
    <row r="272">
      <c r="A272" s="7" t="inlineStr">
        <is>
          <t>q136_nbb_all_patients</t>
        </is>
      </c>
      <c r="B272" s="8" t="inlineStr">
        <is>
          <t>136. Are you able to implement it for all patients, to the best of your knowledge, for the last 6 months?</t>
        </is>
      </c>
      <c r="C272" s="8" t="inlineStr">
        <is>
          <t>136. Are you able to implement it for all patients, to the best of your knowledge, for the last 6 months?</t>
        </is>
      </c>
      <c r="D272" s="8" t="inlineStr">
        <is>
          <t>not asked when Q135 NBB_CURR = No</t>
        </is>
      </c>
      <c r="E272" s="8" t="inlineStr"/>
      <c r="F272" s="8" t="inlineStr">
        <is>
          <t>G. Service Delivery Process</t>
        </is>
      </c>
      <c r="G272" s="8" t="inlineStr">
        <is>
          <t>numeric 1</t>
        </is>
      </c>
      <c r="H272" s="8" t="inlineStr">
        <is>
          <t>1 = Yes
2 = No</t>
        </is>
      </c>
      <c r="I272" s="8" t="inlineStr"/>
      <c r="J272" s="8" t="inlineStr"/>
    </row>
    <row r="273">
      <c r="A273" s="9" t="inlineStr">
        <is>
          <t>q137_nbb_barriers</t>
        </is>
      </c>
      <c r="B273" s="10" t="inlineStr">
        <is>
          <t>137. In your view, what are some of the barriers to implementing the no balance billing (NBB) policy?</t>
        </is>
      </c>
      <c r="C273" s="10" t="inlineStr">
        <is>
          <t>137. In your view, what are some of the barriers to implementing the no balance billing (NBB) policy? READ OPTIONS OUT LOUD. SELECT ALL THAT APPLY.</t>
        </is>
      </c>
      <c r="D273" s="10" t="inlineStr">
        <is>
          <t>not asked when Q135 NBB_CURR = No</t>
        </is>
      </c>
      <c r="E273" s="10" t="inlineStr"/>
      <c r="F273" s="10" t="inlineStr">
        <is>
          <t>G. Service Delivery Process</t>
        </is>
      </c>
      <c r="G273" s="10" t="inlineStr">
        <is>
          <t>alpha 16</t>
        </is>
      </c>
      <c r="H273" s="10" t="inlineStr">
        <is>
          <t>01 = Complying with no fees for basic/ward accommodation
02 = Complying with prescribed allocation ratio (basic vs non-basic)
03 = Patients do not go through the process of availing it
04 = Insufficient PhilHealth support value
05 = Insufficient other sources (MAIFIP, DSWD, PCSO)
06 = PhilHealth delayed payment
90 = None of the above
99 = Other (specify)</t>
        </is>
      </c>
      <c r="I273" s="10" t="inlineStr"/>
      <c r="J273" s="10" t="inlineStr"/>
    </row>
    <row r="274">
      <c r="A274" s="7" t="inlineStr">
        <is>
          <t>q137_nbb_barriers_other_txt</t>
        </is>
      </c>
      <c r="B274" s="8" t="inlineStr">
        <is>
          <t>137. In your view, what are some of the barriers to implementing the no balance billing (NBB) policy? — Other (specify) text</t>
        </is>
      </c>
      <c r="C274" s="8" t="inlineStr">
        <is>
          <t>137. In your view, what are some of the barriers to implementing the no balance billing (NBB) policy? — Other (specify) text</t>
        </is>
      </c>
      <c r="D274" s="8" t="inlineStr">
        <is>
          <t>not asked when Q135 NBB_CURR = No</t>
        </is>
      </c>
      <c r="E274" s="8" t="inlineStr"/>
      <c r="F274" s="8" t="inlineStr">
        <is>
          <t>G. Service Delivery Process</t>
        </is>
      </c>
      <c r="G274" s="8" t="inlineStr">
        <is>
          <t>alpha 120</t>
        </is>
      </c>
      <c r="H274" s="8" t="inlineStr"/>
      <c r="I274" s="8" t="inlineStr"/>
      <c r="J274" s="8" t="inlineStr"/>
    </row>
    <row r="275">
      <c r="A275" s="9" t="inlineStr">
        <is>
          <t>q138_zbb_curr</t>
        </is>
      </c>
      <c r="B275" s="10" t="inlineStr">
        <is>
          <t>138. Do you currently implement the "Zero Balance Billing" policy for your patients?</t>
        </is>
      </c>
      <c r="C275" s="10" t="inlineStr">
        <is>
          <t>138. Do you currently implement the "Zero Balance Billing" policy for your patients?</t>
        </is>
      </c>
      <c r="D275" s="10" t="inlineStr"/>
      <c r="E275" s="10">
        <f> No → Q141 (skip Q139, Q140)</f>
        <v/>
      </c>
      <c r="F275" s="10" t="inlineStr">
        <is>
          <t>G. Service Delivery Process</t>
        </is>
      </c>
      <c r="G275" s="10" t="inlineStr">
        <is>
          <t>numeric 1</t>
        </is>
      </c>
      <c r="H275" s="10" t="inlineStr">
        <is>
          <t>1 = Yes
2 = No</t>
        </is>
      </c>
      <c r="I275" s="10" t="inlineStr"/>
      <c r="J275" s="10" t="inlineStr"/>
    </row>
    <row r="276">
      <c r="A276" s="7" t="inlineStr">
        <is>
          <t>q139_zbb_all_patients</t>
        </is>
      </c>
      <c r="B276" s="8" t="inlineStr">
        <is>
          <t>139. If currently implementing ZBB, are you able to implement it for all patients, to the best of your knowledge, for the last six months?</t>
        </is>
      </c>
      <c r="C276" s="8" t="inlineStr">
        <is>
          <t>139. If currently implementing ZBB, are you able to implement it for all patients, to the best of your knowledge, for the last six months?</t>
        </is>
      </c>
      <c r="D276" s="8" t="inlineStr">
        <is>
          <t>not asked when Q138 ZBB_CURR = No</t>
        </is>
      </c>
      <c r="E276" s="8" t="inlineStr"/>
      <c r="F276" s="8" t="inlineStr">
        <is>
          <t>G. Service Delivery Process</t>
        </is>
      </c>
      <c r="G276" s="8" t="inlineStr">
        <is>
          <t>numeric 1</t>
        </is>
      </c>
      <c r="H276" s="8" t="inlineStr">
        <is>
          <t>1 = Yes
2 = No</t>
        </is>
      </c>
      <c r="I276" s="8" t="inlineStr"/>
      <c r="J276" s="8" t="inlineStr"/>
    </row>
    <row r="277">
      <c r="A277" s="9" t="inlineStr">
        <is>
          <t>q140_zbb_barriers</t>
        </is>
      </c>
      <c r="B277" s="10" t="inlineStr">
        <is>
          <t>140. In your view, what are some of the barriers to implementing the "zero balance billing" policy?</t>
        </is>
      </c>
      <c r="C277" s="10" t="inlineStr">
        <is>
          <t>140. In your view, what are some of the barriers to implementing the "zero balance billing" policy? READ OPTIONS OUT LOUD. SELECT ALL THAT APPLY.</t>
        </is>
      </c>
      <c r="D277" s="10" t="inlineStr">
        <is>
          <t>not asked when Q138 ZBB_CURR = No</t>
        </is>
      </c>
      <c r="E277" s="10" t="inlineStr"/>
      <c r="F277" s="10" t="inlineStr">
        <is>
          <t>G. Service Delivery Process</t>
        </is>
      </c>
      <c r="G277" s="10" t="inlineStr">
        <is>
          <t>alpha 16</t>
        </is>
      </c>
      <c r="H277" s="10" t="inlineStr">
        <is>
          <t>01 = Complying with no fees for basic/ward accommodation
02 = Complying with prescribed allocation ratio (basic vs non-basic)
03 = Patients do not go through the process of availing it
04 = Insufficient PhilHealth support value
05 = Insufficient other sources (MAIFIP, DSWD, PCSO)
06 = PhilHealth delayed payment
90 = None of the above
99 = Other (specify)</t>
        </is>
      </c>
      <c r="I277" s="10" t="inlineStr"/>
      <c r="J277" s="10" t="inlineStr"/>
    </row>
    <row r="278">
      <c r="A278" s="7" t="inlineStr">
        <is>
          <t>q140_zbb_barriers_other_txt</t>
        </is>
      </c>
      <c r="B278" s="8" t="inlineStr">
        <is>
          <t>140. In your view, what are some of the barriers to implementing the "zero balance billing" policy? — Other (specify) text</t>
        </is>
      </c>
      <c r="C278" s="8" t="inlineStr">
        <is>
          <t>140. In your view, what are some of the barriers to implementing the "zero balance billing" policy? — Other (specify) text</t>
        </is>
      </c>
      <c r="D278" s="8" t="inlineStr">
        <is>
          <t>not asked when Q138 ZBB_CURR = No</t>
        </is>
      </c>
      <c r="E278" s="8" t="inlineStr"/>
      <c r="F278" s="8" t="inlineStr">
        <is>
          <t>G. Service Delivery Process</t>
        </is>
      </c>
      <c r="G278" s="8" t="inlineStr">
        <is>
          <t>alpha 120</t>
        </is>
      </c>
      <c r="H278" s="8" t="inlineStr"/>
      <c r="I278" s="8" t="inlineStr"/>
      <c r="J278" s="8" t="inlineStr"/>
    </row>
    <row r="279">
      <c r="A279" s="9" t="inlineStr">
        <is>
          <t>q141_allow_oop_basic</t>
        </is>
      </c>
      <c r="B279" s="10" t="inlineStr">
        <is>
          <t>141. Does the facility allow out-of-pocket (OOP) expenses for basic accommodation?</t>
        </is>
      </c>
      <c r="C279" s="10" t="inlineStr">
        <is>
          <t>141. Does the facility allow out-of-pocket (OOP) expenses for basic accommodation?</t>
        </is>
      </c>
      <c r="D279" s="10" t="inlineStr"/>
      <c r="E279" s="10">
        <f> No → Q143 (skip Q142)</f>
        <v/>
      </c>
      <c r="F279" s="10" t="inlineStr">
        <is>
          <t>G. Service Delivery Process</t>
        </is>
      </c>
      <c r="G279" s="10" t="inlineStr">
        <is>
          <t>numeric 1</t>
        </is>
      </c>
      <c r="H279" s="10" t="inlineStr">
        <is>
          <t>1 = Yes
2 = No</t>
        </is>
      </c>
      <c r="I279" s="10" t="inlineStr"/>
      <c r="J279" s="10" t="inlineStr"/>
    </row>
    <row r="280">
      <c r="A280" s="7" t="inlineStr">
        <is>
          <t>q142_oop_reason</t>
        </is>
      </c>
      <c r="B280" s="8" t="inlineStr">
        <is>
          <t>142. Why does the facility allow OOP expenses for basic accommodation? Specify your reason.</t>
        </is>
      </c>
      <c r="C280" s="8" t="inlineStr">
        <is>
          <t>142. Why does the facility allow OOP expenses for basic accommodation? Specify your reason.</t>
        </is>
      </c>
      <c r="D280" s="8" t="inlineStr">
        <is>
          <t>not asked when Q141 ALLOW_OOP_BASIC = No</t>
        </is>
      </c>
      <c r="E280" s="8" t="inlineStr"/>
      <c r="F280" s="8" t="inlineStr">
        <is>
          <t>G. Service Delivery Process</t>
        </is>
      </c>
      <c r="G280" s="8" t="inlineStr">
        <is>
          <t>alpha 240</t>
        </is>
      </c>
      <c r="H280" s="8" t="inlineStr"/>
      <c r="I280" s="8" t="inlineStr"/>
      <c r="J280" s="8" t="inlineStr"/>
    </row>
    <row r="281">
      <c r="A281" s="9" t="inlineStr">
        <is>
          <t>q143_difficult_benefit</t>
        </is>
      </c>
      <c r="B281" s="10" t="inlineStr">
        <is>
          <t>143. Which of the UHC benefits do you find most difficult to implement?</t>
        </is>
      </c>
      <c r="C281" s="10" t="inlineStr">
        <is>
          <t>143. Which of the UHC benefits do you find most difficult to implement?</t>
        </is>
      </c>
      <c r="D281" s="10" t="inlineStr"/>
      <c r="E281" s="10" t="inlineStr"/>
      <c r="F281" s="10" t="inlineStr">
        <is>
          <t>G. Service Delivery Process</t>
        </is>
      </c>
      <c r="G281" s="10" t="inlineStr">
        <is>
          <t>numeric 2</t>
        </is>
      </c>
      <c r="H281" s="10" t="inlineStr">
        <is>
          <t>1 = PhilHealth/financial protection benefits
2 = Establishment of health care provider networks (HCPNs / referral system)
3 = Human resources for health reforms
4 = Other (specify)</t>
        </is>
      </c>
      <c r="I281" s="10" t="inlineStr"/>
      <c r="J281" s="10" t="inlineStr"/>
    </row>
    <row r="282">
      <c r="A282" s="7" t="inlineStr">
        <is>
          <t>q143_other_txt</t>
        </is>
      </c>
      <c r="B282" s="8" t="inlineStr">
        <is>
          <t>143. Which of the UHC benefits do you find most difficult to implement? Other (specify)</t>
        </is>
      </c>
      <c r="C282" s="8" t="inlineStr">
        <is>
          <t>143. Which of the UHC benefits do you find most difficult to implement? Other (specify)</t>
        </is>
      </c>
      <c r="D282" s="8" t="inlineStr"/>
      <c r="E282" s="8" t="inlineStr"/>
      <c r="F282" s="8" t="inlineStr">
        <is>
          <t>G. Service Delivery Process</t>
        </is>
      </c>
      <c r="G282" s="8" t="inlineStr">
        <is>
          <t>alpha 120</t>
        </is>
      </c>
      <c r="H282" s="8" t="inlineStr"/>
      <c r="I282" s="8" t="inlineStr"/>
      <c r="J282" s="8" t="inlineStr"/>
    </row>
    <row r="283">
      <c r="A283" s="9" t="inlineStr">
        <is>
          <t>q144_difficult_reason</t>
        </is>
      </c>
      <c r="B283" s="10" t="inlineStr">
        <is>
          <t>144. Why is this difficult to implement?</t>
        </is>
      </c>
      <c r="C283" s="10" t="inlineStr">
        <is>
          <t>144. Why is this difficult to implement?</t>
        </is>
      </c>
      <c r="D283" s="10" t="inlineStr"/>
      <c r="E283" s="10" t="inlineStr"/>
      <c r="F283" s="10" t="inlineStr">
        <is>
          <t>G. Service Delivery Process</t>
        </is>
      </c>
      <c r="G283" s="10" t="inlineStr">
        <is>
          <t>alpha 8</t>
        </is>
      </c>
      <c r="H283" s="10" t="inlineStr">
        <is>
          <t>01 = UHC implementation heavily reliant on LGU decisions
02 = Not enough funding/budget
03 = Technical/system issues of PhilHealth
99 = Other (specify)</t>
        </is>
      </c>
      <c r="I283" s="10" t="inlineStr"/>
      <c r="J283" s="10" t="inlineStr"/>
    </row>
    <row r="284">
      <c r="A284" s="7" t="inlineStr">
        <is>
          <t>q144_difficult_reason_other_txt</t>
        </is>
      </c>
      <c r="B284" s="8" t="inlineStr">
        <is>
          <t>144. Why is this difficult to implement? — Other (specify) text</t>
        </is>
      </c>
      <c r="C284" s="8" t="inlineStr">
        <is>
          <t>144. Why is this difficult to implement? — Other (specify) text</t>
        </is>
      </c>
      <c r="D284" s="8" t="inlineStr"/>
      <c r="E284" s="8" t="inlineStr"/>
      <c r="F284" s="8" t="inlineStr">
        <is>
          <t>G. Service Delivery Process</t>
        </is>
      </c>
      <c r="G284" s="8" t="inlineStr">
        <is>
          <t>alpha 120</t>
        </is>
      </c>
      <c r="H284" s="8" t="inlineStr"/>
      <c r="I284" s="8" t="inlineStr"/>
      <c r="J284" s="8" t="inlineStr"/>
    </row>
    <row r="285">
      <c r="A285" s="9" t="inlineStr">
        <is>
          <t>q145_malasakit_provided</t>
        </is>
      </c>
      <c r="B285" s="10" t="inlineStr">
        <is>
          <t>145. Has the facility been providing medical social welfare or assistance (e.g., through Malasakit Centers, MAIFIP)?</t>
        </is>
      </c>
      <c r="C285" s="10" t="inlineStr">
        <is>
          <t>145. Has the facility been providing medical social welfare or assistance (e.g., through Malasakit Centers, MAIFIP)?</t>
        </is>
      </c>
      <c r="D285" s="10" t="inlineStr"/>
      <c r="E285" s="10">
        <f> Yes → Q146 → Q148 (skip Q147)</f>
        <v/>
      </c>
      <c r="F285" s="10" t="inlineStr">
        <is>
          <t>G. Service Delivery Process</t>
        </is>
      </c>
      <c r="G285" s="10" t="inlineStr">
        <is>
          <t>numeric 1</t>
        </is>
      </c>
      <c r="H285" s="10" t="inlineStr">
        <is>
          <t>1 = Yes
2 = No</t>
        </is>
      </c>
      <c r="I285" s="10" t="inlineStr"/>
      <c r="J285" s="10" t="inlineStr"/>
    </row>
    <row r="286">
      <c r="A286" s="7" t="inlineStr">
        <is>
          <t>q146_malasakit_why</t>
        </is>
      </c>
      <c r="B286" s="8" t="inlineStr">
        <is>
          <t>146. Why is the facility providing medical social welfare or assistance through Malasakit Centers or MAIFIP?</t>
        </is>
      </c>
      <c r="C286" s="8" t="inlineStr">
        <is>
          <t>146. Why is the facility providing medical social welfare or assistance through Malasakit Centers or MAIFIP? READ OPTIONS OUT LOUD. SELECT ALL THAT APPLY.</t>
        </is>
      </c>
      <c r="D286" s="8" t="inlineStr"/>
      <c r="E286" s="8" t="inlineStr"/>
      <c r="F286" s="8" t="inlineStr">
        <is>
          <t>G. Service Delivery Process</t>
        </is>
      </c>
      <c r="G286" s="8" t="inlineStr">
        <is>
          <t>alpha 10</t>
        </is>
      </c>
      <c r="H286" s="8" t="inlineStr">
        <is>
          <t>01 = Streamline access to medical and financial aid for indigent patients
02 = Reduce out-of-pocket expenses
03 = Eliminate the need to travel to multiple government agencies
04 = Foster a more compassionate approach to healthcare
99 = Other (specify)</t>
        </is>
      </c>
      <c r="I286" s="8" t="inlineStr"/>
      <c r="J286" s="8" t="inlineStr"/>
    </row>
    <row r="287">
      <c r="A287" s="9" t="inlineStr">
        <is>
          <t>q146_malasakit_why_other_txt</t>
        </is>
      </c>
      <c r="B287" s="10" t="inlineStr">
        <is>
          <t>146. Why is the facility providing medical social welfare or assistance through Malasakit Centers or MAIFIP? — Other (specify) text</t>
        </is>
      </c>
      <c r="C287" s="10" t="inlineStr">
        <is>
          <t>146. Why is the facility providing medical social welfare or assistance through Malasakit Centers or MAIFIP? — Other (specify) text</t>
        </is>
      </c>
      <c r="D287" s="10" t="inlineStr"/>
      <c r="E287" s="10" t="inlineStr"/>
      <c r="F287" s="10" t="inlineStr">
        <is>
          <t>G. Service Delivery Process</t>
        </is>
      </c>
      <c r="G287" s="10" t="inlineStr">
        <is>
          <t>alpha 120</t>
        </is>
      </c>
      <c r="H287" s="10" t="inlineStr"/>
      <c r="I287" s="10" t="inlineStr"/>
      <c r="J287" s="10" t="inlineStr"/>
    </row>
    <row r="288">
      <c r="A288" s="7" t="inlineStr">
        <is>
          <t>q147_no_malasakit_why</t>
        </is>
      </c>
      <c r="B288" s="8" t="inlineStr">
        <is>
          <t>147. Why is the facility not providing medical social welfare or assistance through Malasakit Centers or MAIFIP?</t>
        </is>
      </c>
      <c r="C288" s="8" t="inlineStr">
        <is>
          <t>147. Why is the facility not providing medical social welfare or assistance through Malasakit Centers or MAIFIP? READ OPTIONS OUT LOUD. SELECT ALL THAT APPLY.</t>
        </is>
      </c>
      <c r="D288" s="8" t="inlineStr">
        <is>
          <t>not asked when Q145 MALASAKIT_PROVIDED = Yes</t>
        </is>
      </c>
      <c r="E288" s="8" t="inlineStr"/>
      <c r="F288" s="8" t="inlineStr">
        <is>
          <t>G. Service Delivery Process</t>
        </is>
      </c>
      <c r="G288" s="8" t="inlineStr">
        <is>
          <t>alpha 10</t>
        </is>
      </c>
      <c r="H288" s="8" t="inlineStr">
        <is>
          <t>01 = Limited budget
02 = Stringent eligibility requirements
03 = Incomplete documentation from patients
04 = High patient volume / service bottlenecks
99 = Other (specify)</t>
        </is>
      </c>
      <c r="I288" s="8" t="inlineStr"/>
      <c r="J288" s="8" t="inlineStr"/>
    </row>
    <row r="289">
      <c r="A289" s="9" t="inlineStr">
        <is>
          <t>q147_no_malasakit_why_other_txt</t>
        </is>
      </c>
      <c r="B289" s="10" t="inlineStr">
        <is>
          <t>147. Why is the facility not providing medical social welfare or assistance through Malasakit Centers or MAIFIP? — Other (specify) text</t>
        </is>
      </c>
      <c r="C289" s="10" t="inlineStr">
        <is>
          <t>147. Why is the facility not providing medical social welfare or assistance through Malasakit Centers or MAIFIP? — Other (specify) text</t>
        </is>
      </c>
      <c r="D289" s="10" t="inlineStr">
        <is>
          <t>not asked when Q145 MALASAKIT_PROVIDED = Yes</t>
        </is>
      </c>
      <c r="E289" s="10" t="inlineStr"/>
      <c r="F289" s="10" t="inlineStr">
        <is>
          <t>G. Service Delivery Process</t>
        </is>
      </c>
      <c r="G289" s="10" t="inlineStr">
        <is>
          <t>alpha 120</t>
        </is>
      </c>
      <c r="H289" s="10" t="inlineStr"/>
      <c r="I289" s="10" t="inlineStr"/>
      <c r="J289" s="10" t="inlineStr"/>
    </row>
    <row r="290">
      <c r="A290" s="7" t="inlineStr">
        <is>
          <t>q148_lgu_support</t>
        </is>
      </c>
      <c r="B290" s="8" t="inlineStr">
        <is>
          <t>148. Do you receive any support from your LGU to implement UHC reforms?</t>
        </is>
      </c>
      <c r="C290" s="8" t="inlineStr">
        <is>
          <t>148. Do you receive any support from your LGU to implement UHC reforms?</t>
        </is>
      </c>
      <c r="D290" s="8" t="inlineStr"/>
      <c r="E290" s="8">
        <f> No → Q152 (skip Q149, Q150, Q151)</f>
        <v/>
      </c>
      <c r="F290" s="8" t="inlineStr">
        <is>
          <t>G. Service Delivery Process</t>
        </is>
      </c>
      <c r="G290" s="8" t="inlineStr">
        <is>
          <t>numeric 1</t>
        </is>
      </c>
      <c r="H290" s="8" t="inlineStr">
        <is>
          <t>1 = Yes
2 = No</t>
        </is>
      </c>
      <c r="I290" s="8" t="inlineStr"/>
      <c r="J290" s="8" t="inlineStr"/>
    </row>
    <row r="291">
      <c r="A291" s="9" t="inlineStr">
        <is>
          <t>q149_lgu_support_forms</t>
        </is>
      </c>
      <c r="B291" s="10" t="inlineStr">
        <is>
          <t>149. What forms of support do you receive?</t>
        </is>
      </c>
      <c r="C291" s="10" t="inlineStr">
        <is>
          <t>149. What forms of support do you receive? READ OPTIONS OUT LOUD. SELECT ALL THAT APPLY.</t>
        </is>
      </c>
      <c r="D291" s="10" t="inlineStr">
        <is>
          <t>not asked when Q148 LGU_SUPPORT = No</t>
        </is>
      </c>
      <c r="E291" s="10" t="inlineStr"/>
      <c r="F291" s="10" t="inlineStr">
        <is>
          <t>G. Service Delivery Process</t>
        </is>
      </c>
      <c r="G291" s="10" t="inlineStr">
        <is>
          <t>alpha 10</t>
        </is>
      </c>
      <c r="H291" s="10" t="inlineStr">
        <is>
          <t>01 = Financial assistance
02 = Technical assistance
03 = Medical supplies and equipment
04 = Manpower support
99 = Other (specify)</t>
        </is>
      </c>
      <c r="I291" s="10" t="inlineStr"/>
      <c r="J291" s="10" t="inlineStr"/>
    </row>
    <row r="292">
      <c r="A292" s="7" t="inlineStr">
        <is>
          <t>q149_lgu_support_forms_other_txt</t>
        </is>
      </c>
      <c r="B292" s="8" t="inlineStr">
        <is>
          <t>149. What forms of support do you receive? — Other (specify) text</t>
        </is>
      </c>
      <c r="C292" s="8" t="inlineStr">
        <is>
          <t>149. What forms of support do you receive? — Other (specify) text</t>
        </is>
      </c>
      <c r="D292" s="8" t="inlineStr">
        <is>
          <t>not asked when Q148 LGU_SUPPORT = No</t>
        </is>
      </c>
      <c r="E292" s="8" t="inlineStr"/>
      <c r="F292" s="8" t="inlineStr">
        <is>
          <t>G. Service Delivery Process</t>
        </is>
      </c>
      <c r="G292" s="8" t="inlineStr">
        <is>
          <t>alpha 120</t>
        </is>
      </c>
      <c r="H292" s="8" t="inlineStr"/>
      <c r="I292" s="8" t="inlineStr"/>
      <c r="J292" s="8" t="inlineStr"/>
    </row>
    <row r="293">
      <c r="A293" s="9" t="inlineStr">
        <is>
          <t>q150_lgu_satisfied</t>
        </is>
      </c>
      <c r="B293" s="10" t="inlineStr">
        <is>
          <t>150. Are you satisfied with the support you receive from your LGU?</t>
        </is>
      </c>
      <c r="C293" s="10" t="inlineStr">
        <is>
          <t>150. Are you satisfied with the support you receive from your LGU?</t>
        </is>
      </c>
      <c r="D293" s="10" t="inlineStr">
        <is>
          <t>not asked when Q148 LGU_SUPPORT = No</t>
        </is>
      </c>
      <c r="E293" s="10">
        <f> Yes → Q154 (skip Q151)</f>
        <v/>
      </c>
      <c r="F293" s="10" t="inlineStr">
        <is>
          <t>G. Service Delivery Process</t>
        </is>
      </c>
      <c r="G293" s="10" t="inlineStr">
        <is>
          <t>numeric 1</t>
        </is>
      </c>
      <c r="H293" s="10" t="inlineStr">
        <is>
          <t>1 = Yes
2 = No</t>
        </is>
      </c>
      <c r="I293" s="10" t="inlineStr"/>
      <c r="J293" s="10" t="inlineStr"/>
    </row>
    <row r="294">
      <c r="A294" s="7" t="inlineStr">
        <is>
          <t>q151_lgu_not_sat_why</t>
        </is>
      </c>
      <c r="B294" s="8" t="inlineStr">
        <is>
          <t>151. Why not?</t>
        </is>
      </c>
      <c r="C294" s="8" t="inlineStr">
        <is>
          <t>151. Why not? DO NOT READ OPTIONS OUT LOUD. SELECT ALL THAT APPLY.</t>
        </is>
      </c>
      <c r="D294" s="8" t="inlineStr">
        <is>
          <t>not asked when Q148 LGU_SUPPORT = No
not asked when Q150 LGU_SATISFIED = Yes</t>
        </is>
      </c>
      <c r="E294" s="8" t="inlineStr"/>
      <c r="F294" s="8" t="inlineStr">
        <is>
          <t>G. Service Delivery Process</t>
        </is>
      </c>
      <c r="G294" s="8" t="inlineStr">
        <is>
          <t>alpha 10</t>
        </is>
      </c>
      <c r="H294" s="8" t="inlineStr">
        <is>
          <t>01 = Insufficient
02 = Hard to coordinate
03 = Support given is not aligned with the needs
99 = Other (specify)</t>
        </is>
      </c>
      <c r="I294" s="8" t="inlineStr">
        <is>
          <t>90 = I don't know</t>
        </is>
      </c>
      <c r="J294" s="8" t="inlineStr"/>
    </row>
    <row r="295">
      <c r="A295" s="9" t="inlineStr">
        <is>
          <t>q151_lgu_not_sat_why_other_txt</t>
        </is>
      </c>
      <c r="B295" s="10" t="inlineStr">
        <is>
          <t>151. Why not? — Other (specify) text</t>
        </is>
      </c>
      <c r="C295" s="10" t="inlineStr">
        <is>
          <t>151. Why not? — Other (specify) text</t>
        </is>
      </c>
      <c r="D295" s="10" t="inlineStr">
        <is>
          <t>not asked when Q148 LGU_SUPPORT = No
not asked when Q150 LGU_SATISFIED = Yes</t>
        </is>
      </c>
      <c r="E295" s="10" t="inlineStr"/>
      <c r="F295" s="10" t="inlineStr">
        <is>
          <t>G. Service Delivery Process</t>
        </is>
      </c>
      <c r="G295" s="10" t="inlineStr">
        <is>
          <t>alpha 120</t>
        </is>
      </c>
      <c r="H295" s="10" t="inlineStr"/>
      <c r="I295" s="10" t="inlineStr"/>
      <c r="J295" s="10" t="inlineStr"/>
    </row>
    <row r="296">
      <c r="A296" s="7" t="inlineStr">
        <is>
          <t>q152_pho_protocol_clarity</t>
        </is>
      </c>
      <c r="B296" s="8" t="inlineStr">
        <is>
          <t>152. How clear are the protocols regarding which decisions require Provincial Health Office approval versus those you can decide at the facility level?</t>
        </is>
      </c>
      <c r="C296" s="8" t="inlineStr">
        <is>
          <t>152. How clear are the protocols regarding which decisions require Provincial Health Office approval versus those you can decide at the facility level?</t>
        </is>
      </c>
      <c r="D296" s="8" t="inlineStr"/>
      <c r="E296" s="8" t="inlineStr">
        <is>
          <t>∈ {Very Clear, Clear} → Q154 (skip Q153) — *implied; confirm with ASPSI*</t>
        </is>
      </c>
      <c r="F296" s="8" t="inlineStr">
        <is>
          <t>G. Service Delivery Process</t>
        </is>
      </c>
      <c r="G296" s="8" t="inlineStr">
        <is>
          <t>numeric 2</t>
        </is>
      </c>
      <c r="H296" s="8" t="inlineStr">
        <is>
          <t>1 = Very Clear
2 = Clear
3 = Neither
4 = Unclear
5 = Very Unclear</t>
        </is>
      </c>
      <c r="I296" s="8" t="inlineStr"/>
      <c r="J296" s="8" t="inlineStr"/>
    </row>
    <row r="297">
      <c r="A297" s="9" t="inlineStr">
        <is>
          <t>q153_unclear_protocol</t>
        </is>
      </c>
      <c r="B297" s="10" t="inlineStr">
        <is>
          <t>153. Which specific protocol that you consider as unclear?</t>
        </is>
      </c>
      <c r="C297" s="10" t="inlineStr">
        <is>
          <t>153. Which specific protocol that you consider as unclear?</t>
        </is>
      </c>
      <c r="D297" s="10" t="inlineStr">
        <is>
          <t>not asked when Q152 PHO_PROTOCOL_CLARITY ∈ {Very Clear, Clear}</t>
        </is>
      </c>
      <c r="E297" s="10" t="inlineStr"/>
      <c r="F297" s="10" t="inlineStr">
        <is>
          <t>G. Service Delivery Process</t>
        </is>
      </c>
      <c r="G297" s="10" t="inlineStr">
        <is>
          <t>alpha 240</t>
        </is>
      </c>
      <c r="H297" s="10" t="inlineStr"/>
      <c r="I297" s="10" t="inlineStr"/>
      <c r="J297" s="10" t="inlineStr"/>
    </row>
    <row r="298">
      <c r="A298" s="7" t="inlineStr">
        <is>
          <t>q154_num_referred_out</t>
        </is>
      </c>
      <c r="B298" s="8" t="inlineStr">
        <is>
          <t>154. In the past 6 months, how many patients were referred to a higher-level facility within the referral network?</t>
        </is>
      </c>
      <c r="C298" s="8" t="inlineStr">
        <is>
          <t>154. In the past 6 months, how many patients were referred to a higher-level facility within the referral network?</t>
        </is>
      </c>
      <c r="D298" s="8" t="inlineStr"/>
      <c r="E298" s="8" t="inlineStr"/>
      <c r="F298" s="8" t="inlineStr">
        <is>
          <t>G. Service Delivery Process</t>
        </is>
      </c>
      <c r="G298" s="8" t="inlineStr">
        <is>
          <t>numeric 6</t>
        </is>
      </c>
      <c r="H298" s="8" t="inlineStr"/>
      <c r="I298" s="8" t="inlineStr"/>
      <c r="J298" s="8" t="inlineStr">
        <is>
          <t>[HARD / SOFT] `0 ≤ n ≤ 100,000` (over 6 months); warn if `&gt; 10,000`</t>
        </is>
      </c>
    </row>
    <row r="299">
      <c r="A299" s="9" t="inlineStr">
        <is>
          <t>q155_send_referral_how</t>
        </is>
      </c>
      <c r="B299" s="10" t="inlineStr">
        <is>
          <t>155. What are the most common ways you send referrals to higher level facilities/specialists?</t>
        </is>
      </c>
      <c r="C299" s="10" t="inlineStr">
        <is>
          <t>155. What are the most common ways you send referrals to higher level facilities/specialists? Our focus is specifically on referrals external to the facility, excluding internal referrals. READ OPTIONS OUT LOUD. SELECT ALL THAT APPLY.</t>
        </is>
      </c>
      <c r="D299" s="10" t="inlineStr"/>
      <c r="E299" s="10" t="inlineStr"/>
      <c r="F299" s="10" t="inlineStr">
        <is>
          <t>G. Service Delivery Process</t>
        </is>
      </c>
      <c r="G299" s="10" t="inlineStr">
        <is>
          <t>alpha 8</t>
        </is>
      </c>
      <c r="H299" s="10" t="inlineStr">
        <is>
          <t>01 = Physical referral slip
02 = E-referral
03 = Referring facility calls receiving facility
99 = Other (specify)</t>
        </is>
      </c>
      <c r="I299" s="10" t="inlineStr"/>
      <c r="J299" s="10" t="inlineStr"/>
    </row>
    <row r="300">
      <c r="A300" s="7" t="inlineStr">
        <is>
          <t>q155_send_referral_how_other_txt</t>
        </is>
      </c>
      <c r="B300" s="8" t="inlineStr">
        <is>
          <t>155. What are the most common ways you send referrals to higher level facilities/specialists? — Other (specify) text</t>
        </is>
      </c>
      <c r="C300" s="8" t="inlineStr">
        <is>
          <t>155. What are the most common ways you send referrals to higher level facilities/specialists? — Other (specify) text</t>
        </is>
      </c>
      <c r="D300" s="8" t="inlineStr"/>
      <c r="E300" s="8" t="inlineStr"/>
      <c r="F300" s="8" t="inlineStr">
        <is>
          <t>G. Service Delivery Process</t>
        </is>
      </c>
      <c r="G300" s="8" t="inlineStr">
        <is>
          <t>alpha 120</t>
        </is>
      </c>
      <c r="H300" s="8" t="inlineStr"/>
      <c r="I300" s="8" t="inlineStr"/>
      <c r="J300" s="8" t="inlineStr"/>
    </row>
    <row r="301">
      <c r="A301" s="9" t="inlineStr">
        <is>
          <t>q156_referral_form_type</t>
        </is>
      </c>
      <c r="B301" s="10" t="inlineStr">
        <is>
          <t>156. What type of referral form do you use to send to higher level facilities?</t>
        </is>
      </c>
      <c r="C301" s="10" t="inlineStr">
        <is>
          <t>156. What type of referral form do you use to send to higher level facilities? READ OPTIONS OUT LOUD. SELECT ALL THAT APPLY.</t>
        </is>
      </c>
      <c r="D301" s="10" t="inlineStr"/>
      <c r="E301" s="10" t="inlineStr"/>
      <c r="F301" s="10" t="inlineStr">
        <is>
          <t>G. Service Delivery Process</t>
        </is>
      </c>
      <c r="G301" s="10" t="inlineStr">
        <is>
          <t>alpha 12</t>
        </is>
      </c>
      <c r="H301" s="10" t="inlineStr">
        <is>
          <t>01 = DOH standard referral form
02 = Facility's standard referral form
03 = Province's standard referral form
04 = City / LGU standard referral form
05 = No standard referral form
99 = Other (specify)</t>
        </is>
      </c>
      <c r="I301" s="10" t="inlineStr"/>
      <c r="J301" s="10" t="inlineStr"/>
    </row>
    <row r="302">
      <c r="A302" s="7" t="inlineStr">
        <is>
          <t>q156_referral_form_type_other_txt</t>
        </is>
      </c>
      <c r="B302" s="8" t="inlineStr">
        <is>
          <t>156. What type of referral form do you use to send to higher level facilities? — Other (specify) text</t>
        </is>
      </c>
      <c r="C302" s="8" t="inlineStr">
        <is>
          <t>156. What type of referral form do you use to send to higher level facilities? — Other (specify) text</t>
        </is>
      </c>
      <c r="D302" s="8" t="inlineStr"/>
      <c r="E302" s="8" t="inlineStr"/>
      <c r="F302" s="8" t="inlineStr">
        <is>
          <t>G. Service Delivery Process</t>
        </is>
      </c>
      <c r="G302" s="8" t="inlineStr">
        <is>
          <t>alpha 120</t>
        </is>
      </c>
      <c r="H302" s="8" t="inlineStr"/>
      <c r="I302" s="8" t="inlineStr"/>
      <c r="J302" s="8" t="inlineStr"/>
    </row>
    <row r="303">
      <c r="A303" s="9" t="inlineStr">
        <is>
          <t>q157_specialist_network</t>
        </is>
      </c>
      <c r="B303" s="10" t="inlineStr">
        <is>
          <t>157. Do you have a network of specialist providers to refer patients to, if needed?</t>
        </is>
      </c>
      <c r="C303" s="10" t="inlineStr">
        <is>
          <t>157. Do you have a network of specialist providers to refer patients to, if needed? READ OPTIONS OUT LOUD. SELECT ONE ANSWER ONLY.</t>
        </is>
      </c>
      <c r="D303" s="10" t="inlineStr"/>
      <c r="E303" s="10" t="inlineStr"/>
      <c r="F303" s="10" t="inlineStr">
        <is>
          <t>G. Service Delivery Process</t>
        </is>
      </c>
      <c r="G303" s="10" t="inlineStr">
        <is>
          <t>numeric 2</t>
        </is>
      </c>
      <c r="H303" s="10" t="inlineStr">
        <is>
          <t>1 = Yes
2 = No
3 = I've never heard of it</t>
        </is>
      </c>
      <c r="I303" s="10" t="inlineStr">
        <is>
          <t>4 = I don't know</t>
        </is>
      </c>
      <c r="J303" s="10" t="inlineStr"/>
    </row>
    <row r="304">
      <c r="A304" s="7" t="inlineStr">
        <is>
          <t>q158_ref_proportion</t>
        </is>
      </c>
      <c r="B304" s="8" t="inlineStr">
        <is>
          <t>158. Considering all patients who come to your facility for the past 6 months, what is the proportion of patients referred by another facility compared to those who self-refer/walk-in?</t>
        </is>
      </c>
      <c r="C304" s="8" t="inlineStr">
        <is>
          <t>158. Considering all patients who come to your facility for the past 6 months, what is the proportion of patients referred by another facility compared to those who self-refer/walk-in? READ OPTIONS OUT LOUD. SELECT ONE ANSWER ONLY.</t>
        </is>
      </c>
      <c r="D304" s="8" t="inlineStr"/>
      <c r="E304" s="8" t="inlineStr"/>
      <c r="F304" s="8" t="inlineStr">
        <is>
          <t>G. Service Delivery Process</t>
        </is>
      </c>
      <c r="G304" s="8" t="inlineStr">
        <is>
          <t>numeric 2</t>
        </is>
      </c>
      <c r="H304" s="8" t="inlineStr">
        <is>
          <t>1 = Almost all patients are referred, very few walk-in
2 = Majority referred, some walk-in
3 = Proportion of referrals about equal to walk-ins
4 = Majority walk-in, some referred
5 = Almost all walk-in, very few referred
6 = Unsure about the typical ratio</t>
        </is>
      </c>
      <c r="I304" s="8" t="inlineStr"/>
      <c r="J304" s="8" t="inlineStr"/>
    </row>
    <row r="305">
      <c r="A305" s="9" t="inlineStr">
        <is>
          <t>q159_receive_referral_how</t>
        </is>
      </c>
      <c r="B305" s="10" t="inlineStr">
        <is>
          <t>159. Of those referred, which of the following are the most common ways you receive referrals from lower-level health facilities?</t>
        </is>
      </c>
      <c r="C305" s="10" t="inlineStr">
        <is>
          <t>159. Of those referred, which of the following are the most common ways you receive referrals from lower-level health facilities? READ OPTIONS OUT LOUD. SELECT ALL THAT APPLY.</t>
        </is>
      </c>
      <c r="D305" s="10" t="inlineStr"/>
      <c r="E305" s="10" t="inlineStr"/>
      <c r="F305" s="10" t="inlineStr">
        <is>
          <t>G. Service Delivery Process</t>
        </is>
      </c>
      <c r="G305" s="10" t="inlineStr">
        <is>
          <t>alpha 8</t>
        </is>
      </c>
      <c r="H305" s="10" t="inlineStr">
        <is>
          <t>01 = Physical referral slip
02 = E-referral
03 = Referring facility calls receiving facility
99 = Other (specify)</t>
        </is>
      </c>
      <c r="I305" s="10" t="inlineStr"/>
      <c r="J305" s="10" t="inlineStr"/>
    </row>
    <row r="306">
      <c r="A306" s="7" t="inlineStr">
        <is>
          <t>q159_receive_referral_how_other_txt</t>
        </is>
      </c>
      <c r="B306" s="8" t="inlineStr">
        <is>
          <t>159. Of those referred, which of the following are the most common ways you receive referrals from lower-level health facilities? — Other (specify) text</t>
        </is>
      </c>
      <c r="C306" s="8" t="inlineStr">
        <is>
          <t>159. Of those referred, which of the following are the most common ways you receive referrals from lower-level health facilities? — Other (specify) text</t>
        </is>
      </c>
      <c r="D306" s="8" t="inlineStr"/>
      <c r="E306" s="8" t="inlineStr"/>
      <c r="F306" s="8" t="inlineStr">
        <is>
          <t>G. Service Delivery Process</t>
        </is>
      </c>
      <c r="G306" s="8" t="inlineStr">
        <is>
          <t>alpha 120</t>
        </is>
      </c>
      <c r="H306" s="8" t="inlineStr"/>
      <c r="I306" s="8" t="inlineStr"/>
      <c r="J306" s="8" t="inlineStr"/>
    </row>
    <row r="307">
      <c r="A307" s="9" t="inlineStr">
        <is>
          <t>q160_external_services_go</t>
        </is>
      </c>
      <c r="B307" s="10" t="inlineStr">
        <is>
          <t>160. Where do your patients go to get the services not available at this facility?</t>
        </is>
      </c>
      <c r="C307" s="10" t="inlineStr">
        <is>
          <t>160. Where do your patients go to get the services not available at this facility?</t>
        </is>
      </c>
      <c r="D307" s="10" t="inlineStr"/>
      <c r="E307" s="10" t="inlineStr"/>
      <c r="F307" s="10" t="inlineStr">
        <is>
          <t>G. Service Delivery Process</t>
        </is>
      </c>
      <c r="G307" s="10" t="inlineStr">
        <is>
          <t>alpha 10</t>
        </is>
      </c>
      <c r="H307" s="10" t="inlineStr">
        <is>
          <t>01 = External laboratory
02 = Other private facility
03 = Other public facility
99 = Other (specify)</t>
        </is>
      </c>
      <c r="I307" s="10" t="inlineStr">
        <is>
          <t>90 = I don't know</t>
        </is>
      </c>
      <c r="J307" s="10" t="inlineStr"/>
    </row>
    <row r="308">
      <c r="A308" s="7" t="inlineStr">
        <is>
          <t>q161_ref_satisfaction</t>
        </is>
      </c>
      <c r="B308" s="8" t="inlineStr">
        <is>
          <t>161. How would you rate your satisfaction with your current referral system?</t>
        </is>
      </c>
      <c r="C308" s="8" t="inlineStr">
        <is>
          <t>161. How would you rate your satisfaction with your current referral system? READ OPTIONS OUT LOUD. SELECT ONE ANSWER ONLY.</t>
        </is>
      </c>
      <c r="D308" s="8" t="inlineStr"/>
      <c r="E308" s="8" t="inlineStr">
        <is>
          <t>∈ {Very Satisfied, Satisfied} → Q163 (skip Q162)</t>
        </is>
      </c>
      <c r="F308" s="8" t="inlineStr">
        <is>
          <t>G. Service Delivery Process</t>
        </is>
      </c>
      <c r="G308" s="8" t="inlineStr">
        <is>
          <t>numeric 2</t>
        </is>
      </c>
      <c r="H308" s="8" t="inlineStr">
        <is>
          <t>1 = Very Satisfied
2 = Satisfied
3 = Neither
4 = Dissatisfied
5 = Very Dissatisfied</t>
        </is>
      </c>
      <c r="I308" s="8" t="inlineStr"/>
      <c r="J308" s="8" t="inlineStr"/>
    </row>
    <row r="309">
      <c r="A309" s="9" t="inlineStr">
        <is>
          <t>q162_not_satisfied_why</t>
        </is>
      </c>
      <c r="B309" s="10" t="inlineStr">
        <is>
          <t>162. Why are you not satisfied with the current referral system?</t>
        </is>
      </c>
      <c r="C309" s="10" t="inlineStr">
        <is>
          <t>162. Why are you not satisfied with the current referral system? DO NOT READ OPTIONS OUT LOUD. SELECT ALL THAT APPLY.</t>
        </is>
      </c>
      <c r="D309" s="10" t="inlineStr">
        <is>
          <t>not asked when Q161 REF_SATISFACTION ∈ {Very Satisfied, Satisfied}</t>
        </is>
      </c>
      <c r="E309" s="10" t="inlineStr"/>
      <c r="F309" s="10" t="inlineStr">
        <is>
          <t>G. Service Delivery Process</t>
        </is>
      </c>
      <c r="G309" s="10" t="inlineStr">
        <is>
          <t>alpha 8</t>
        </is>
      </c>
      <c r="H309" s="10" t="inlineStr">
        <is>
          <t>01 = Facilities overcrowded / do not accept our patient referrals
02 = Referral process is slow
03 = Poor coordination between facilities
99 = Other (specify)</t>
        </is>
      </c>
      <c r="I309" s="10" t="inlineStr"/>
      <c r="J309" s="10" t="inlineStr"/>
    </row>
    <row r="310">
      <c r="A310" s="7" t="inlineStr">
        <is>
          <t>q162_not_satisfied_why_other_txt</t>
        </is>
      </c>
      <c r="B310" s="8" t="inlineStr">
        <is>
          <t>162. Why are you not satisfied with the current referral system? — Other (specify) text</t>
        </is>
      </c>
      <c r="C310" s="8" t="inlineStr">
        <is>
          <t>162. Why are you not satisfied with the current referral system? — Other (specify) text</t>
        </is>
      </c>
      <c r="D310" s="8" t="inlineStr">
        <is>
          <t>not asked when Q161 REF_SATISFACTION ∈ {Very Satisfied, Satisfied}</t>
        </is>
      </c>
      <c r="E310" s="8" t="inlineStr"/>
      <c r="F310" s="8" t="inlineStr">
        <is>
          <t>G. Service Delivery Process</t>
        </is>
      </c>
      <c r="G310" s="8" t="inlineStr">
        <is>
          <t>alpha 120</t>
        </is>
      </c>
      <c r="H310" s="8" t="inlineStr"/>
      <c r="I310" s="8" t="inlineStr"/>
      <c r="J310" s="8" t="inlineStr"/>
    </row>
    <row r="311">
      <c r="A311" s="9" t="inlineStr">
        <is>
          <t>q163_hr_chall</t>
        </is>
      </c>
      <c r="B311" s="10" t="inlineStr">
        <is>
          <t>163. What challenges in human resources do you have?</t>
        </is>
      </c>
      <c r="C311" s="10" t="inlineStr">
        <is>
          <t>We will now proceed to the last section of this survey, which focuses on human resources. 163. What challenges in human resources do you have? READ OPTIONS OUT LOUD. SELECT ALL THAT APPLY.</t>
        </is>
      </c>
      <c r="D311" s="10" t="inlineStr"/>
      <c r="E311" s="10" t="inlineStr"/>
      <c r="F311" s="10" t="inlineStr">
        <is>
          <t>H. Human Resources for Health</t>
        </is>
      </c>
      <c r="G311" s="10" t="inlineStr">
        <is>
          <t>alpha 10</t>
        </is>
      </c>
      <c r="H311" s="10" t="inlineStr">
        <is>
          <t>01 = Understaffing
02 = Skills mismatch / lack of skills
03 = Retention / high staff turnover
99 = Other (specify)</t>
        </is>
      </c>
      <c r="I311" s="10" t="inlineStr">
        <is>
          <t>90 = I don't know</t>
        </is>
      </c>
      <c r="J311" s="10" t="inlineStr"/>
    </row>
    <row r="312">
      <c r="A312" s="7" t="inlineStr">
        <is>
          <t>q163_hr_chall_other_txt</t>
        </is>
      </c>
      <c r="B312" s="8" t="inlineStr">
        <is>
          <t>163. What challenges in human resources do you have? — Other (specify) text</t>
        </is>
      </c>
      <c r="C312" s="8" t="inlineStr">
        <is>
          <t>163. What challenges in human resources do you have? — Other (specify) text</t>
        </is>
      </c>
      <c r="D312" s="8" t="inlineStr"/>
      <c r="E312" s="8" t="inlineStr"/>
      <c r="F312" s="8" t="inlineStr">
        <is>
          <t>H. Human Resources for Health</t>
        </is>
      </c>
      <c r="G312" s="8" t="inlineStr">
        <is>
          <t>alpha 120</t>
        </is>
      </c>
      <c r="H312" s="8" t="inlineStr"/>
      <c r="I312" s="8" t="inlineStr"/>
      <c r="J312" s="8" t="inlineStr"/>
    </row>
    <row r="313">
      <c r="A313" s="9" t="inlineStr">
        <is>
          <t>q164_improvement_area</t>
        </is>
      </c>
      <c r="B313" s="10" t="inlineStr">
        <is>
          <t>164. What area do you find the most room for improvement in your staff?</t>
        </is>
      </c>
      <c r="C313" s="10" t="inlineStr">
        <is>
          <t>164. What area do you find the most room for improvement in your staff?</t>
        </is>
      </c>
      <c r="D313" s="10" t="inlineStr"/>
      <c r="E313" s="10" t="inlineStr"/>
      <c r="F313" s="10" t="inlineStr">
        <is>
          <t>H. Human Resources for Health</t>
        </is>
      </c>
      <c r="G313" s="10" t="inlineStr">
        <is>
          <t>alpha 240</t>
        </is>
      </c>
      <c r="H313" s="10" t="inlineStr"/>
      <c r="I313" s="10" t="inlineStr"/>
      <c r="J313" s="10" t="inlineStr"/>
    </row>
    <row r="314">
      <c r="A314" s="7" t="inlineStr">
        <is>
          <t>q165_pd_doctors</t>
        </is>
      </c>
      <c r="B314" s="8" t="inlineStr">
        <is>
          <t>165. What forms of professional development do you provide to your doctors?</t>
        </is>
      </c>
      <c r="C314" s="8" t="inlineStr">
        <is>
          <t>165. What forms of professional development do you provide to your doctors? READ OPTIONS OUT LOUD. SELECT ALL THAT APPLY.</t>
        </is>
      </c>
      <c r="D314" s="8" t="inlineStr"/>
      <c r="E314" s="8" t="inlineStr"/>
      <c r="F314" s="8" t="inlineStr">
        <is>
          <t>H. Human Resources for Health</t>
        </is>
      </c>
      <c r="G314" s="8" t="inlineStr">
        <is>
          <t>alpha 18</t>
        </is>
      </c>
      <c r="H314" s="8" t="inlineStr">
        <is>
          <t>01 = Clinical audits
02 = Surgical audits
03 = Quality assurance meetings
04 = Seminars, conferences, workshops
05 = Independent professional development: scholarships
06 = Independent professional development: research grants
07 = LGU/DOH led workshops/initiatives
08 = No forms of professional development are provided
99 = Other (specify)</t>
        </is>
      </c>
      <c r="I314" s="8" t="inlineStr"/>
      <c r="J314" s="8" t="inlineStr"/>
    </row>
    <row r="315">
      <c r="A315" s="9" t="inlineStr">
        <is>
          <t>q165_pd_doctors_other_txt</t>
        </is>
      </c>
      <c r="B315" s="10" t="inlineStr">
        <is>
          <t>165. What forms of professional development do you provide to your doctors? — Other (specify) text</t>
        </is>
      </c>
      <c r="C315" s="10" t="inlineStr">
        <is>
          <t>165. What forms of professional development do you provide to your doctors? — Other (specify) text</t>
        </is>
      </c>
      <c r="D315" s="10" t="inlineStr"/>
      <c r="E315" s="10" t="inlineStr"/>
      <c r="F315" s="10" t="inlineStr">
        <is>
          <t>H. Human Resources for Health</t>
        </is>
      </c>
      <c r="G315" s="10" t="inlineStr">
        <is>
          <t>alpha 120</t>
        </is>
      </c>
      <c r="H315" s="10" t="inlineStr"/>
      <c r="I315" s="10" t="inlineStr"/>
      <c r="J315" s="10" t="inlineStr"/>
    </row>
    <row r="316">
      <c r="A316" s="7" t="inlineStr">
        <is>
          <t>q166_pd_nurses</t>
        </is>
      </c>
      <c r="B316" s="8" t="inlineStr">
        <is>
          <t>166. What forms of professional development do you provide to your nurses?</t>
        </is>
      </c>
      <c r="C316" s="8" t="inlineStr">
        <is>
          <t>166. What forms of professional development do you provide to your nurses? READ OPTIONS OUT LOUD. SELECT ALL THAT APPLY.</t>
        </is>
      </c>
      <c r="D316" s="8" t="inlineStr"/>
      <c r="E316" s="8" t="inlineStr"/>
      <c r="F316" s="8" t="inlineStr">
        <is>
          <t>H. Human Resources for Health</t>
        </is>
      </c>
      <c r="G316" s="8" t="inlineStr">
        <is>
          <t>alpha 14</t>
        </is>
      </c>
      <c r="H316" s="8" t="inlineStr">
        <is>
          <t>01 = Quality assurance meetings
02 = Seminars, conferences, workshops
03 = Independent professional development: scholarships
04 = Independent professional development: research grants
05 = LGU/DOH led workshops/initiatives
06 = No forms of professional development are provided
99 = Other (specify)</t>
        </is>
      </c>
      <c r="I316" s="8" t="inlineStr"/>
      <c r="J316" s="8" t="inlineStr"/>
    </row>
    <row r="317">
      <c r="A317" s="9" t="inlineStr">
        <is>
          <t>q166_pd_nurses_other_txt</t>
        </is>
      </c>
      <c r="B317" s="10" t="inlineStr">
        <is>
          <t>166. What forms of professional development do you provide to your nurses? — Other (specify) text</t>
        </is>
      </c>
      <c r="C317" s="10" t="inlineStr">
        <is>
          <t>166. What forms of professional development do you provide to your nurses? — Other (specify) text</t>
        </is>
      </c>
      <c r="D317" s="10" t="inlineStr"/>
      <c r="E317" s="10" t="inlineStr"/>
      <c r="F317" s="10" t="inlineStr">
        <is>
          <t>H. Human Resources for Health</t>
        </is>
      </c>
      <c r="G317" s="10" t="inlineStr">
        <is>
          <t>alpha 120</t>
        </is>
      </c>
      <c r="H317" s="10" t="inlineStr"/>
      <c r="I317" s="10" t="inlineStr"/>
      <c r="J317"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2"/>
  <sheetViews>
    <sheetView workbookViewId="0">
      <pane ySplit="1" topLeftCell="A2" activePane="bottomLeft" state="frozen"/>
      <selection pane="bottomLeft" activeCell="A1" sqref="A1"/>
    </sheetView>
  </sheetViews>
  <sheetFormatPr baseColWidth="8" defaultRowHeight="15"/>
  <cols>
    <col width="44" customWidth="1" min="1" max="1"/>
    <col width="90" customWidth="1" min="2" max="2"/>
    <col width="20" customWidth="1" min="3" max="3"/>
  </cols>
  <sheetData>
    <row r="1">
      <c r="A1" s="11" t="inlineStr">
        <is>
          <t>Item(s)</t>
        </is>
      </c>
      <c r="B1" s="11" t="inlineStr">
        <is>
          <t>Rule</t>
        </is>
      </c>
      <c r="C1" s="11" t="inlineStr">
        <is>
          <t>Severity</t>
        </is>
      </c>
    </row>
    <row r="2">
      <c r="A2" s="9" t="inlineStr">
        <is>
          <t>Q66–Q74</t>
        </is>
      </c>
      <c r="B2" s="10" t="inlineStr">
        <is>
          <t>Each is gated on the corresponding option being selected in Q65 (not a jump skip — display-time gate; see §3)</t>
        </is>
      </c>
      <c r="C2" s="10" t="inlineStr">
        <is>
          <t>—</t>
        </is>
      </c>
    </row>
    <row r="3">
      <c r="A3" s="9" t="inlineStr">
        <is>
          <t>Q79–Q84</t>
        </is>
      </c>
      <c r="B3" s="10" t="inlineStr">
        <is>
          <t>Only entered if Q51 = No</t>
        </is>
      </c>
      <c r="C3" s="10" t="inlineStr">
        <is>
          <t>—</t>
        </is>
      </c>
    </row>
    <row r="4">
      <c r="A4" s="9" t="inlineStr">
        <is>
          <t>Q99, Q100</t>
        </is>
      </c>
      <c r="B4" s="10" t="inlineStr">
        <is>
          <t>Only if Q51 = Yes; otherwise → Q101</t>
        </is>
      </c>
      <c r="C4" s="10" t="inlineStr">
        <is>
          <t>—</t>
        </is>
      </c>
    </row>
    <row r="5">
      <c r="A5" s="9" t="inlineStr">
        <is>
          <t>Q104–Q107</t>
        </is>
      </c>
      <c r="B5" s="10" t="inlineStr">
        <is>
          <t>Only entered if Q102 = Yes</t>
        </is>
      </c>
      <c r="C5" s="10" t="inlineStr">
        <is>
          <t>—</t>
        </is>
      </c>
    </row>
    <row r="6">
      <c r="A6" s="9" t="inlineStr">
        <is>
          <t>Q107 BUCAS_DECONGEST</t>
        </is>
      </c>
      <c r="B6" s="10" t="inlineStr">
        <is>
          <t>Only relevant if BUCAS center exists in area (Q102 = Yes)</t>
        </is>
      </c>
      <c r="C6" s="10" t="inlineStr">
        <is>
          <t>—</t>
        </is>
      </c>
    </row>
    <row r="7">
      <c r="A7" s="9" t="inlineStr">
        <is>
          <t>Q116 ADDR_STOCKOUT</t>
        </is>
      </c>
      <c r="B7" s="10" t="inlineStr">
        <is>
          <t>Gated on Q108 = Yes AND Q109 = Yes</t>
        </is>
      </c>
      <c r="C7" s="10" t="inlineStr">
        <is>
          <t>—</t>
        </is>
      </c>
    </row>
    <row r="8">
      <c r="A8" s="9" t="inlineStr">
        <is>
          <t>Q117 ADDR_STOCKOUT_HOW</t>
        </is>
      </c>
      <c r="B8" s="10" t="inlineStr">
        <is>
          <t>Gated on Q108 = Yes AND Q109 = Yes</t>
        </is>
      </c>
      <c r="C8" s="10" t="inlineStr">
        <is>
          <t>—</t>
        </is>
      </c>
    </row>
    <row r="9">
      <c r="A9" s="9" t="inlineStr">
        <is>
          <t>Q122–Q134</t>
        </is>
      </c>
      <c r="B9" s="10" t="inlineStr">
        <is>
          <t>Each gated on corresponding option in Q121</t>
        </is>
      </c>
      <c r="C9" s="10" t="inlineStr">
        <is>
          <t>—</t>
        </is>
      </c>
    </row>
    <row r="10">
      <c r="A10" s="9" t="inlineStr">
        <is>
          <t>Q132, Q133, Q134</t>
        </is>
      </c>
      <c r="B10" s="10" t="inlineStr">
        <is>
          <t>Hospital-only — gated on Q8 SERVICE_LEVEL ∈ {Level 1, 2, 3 Hospital} AND corresponding Q121 option</t>
        </is>
      </c>
      <c r="C10" s="10" t="inlineStr">
        <is>
          <t>—</t>
        </is>
      </c>
    </row>
    <row r="11">
      <c r="A11" s="9" t="inlineStr">
        <is>
          <t>Q130</t>
        </is>
      </c>
      <c r="B11" s="10" t="inlineStr">
        <is>
          <t>Primary-care-only — gated on Q8 = Primary Care Facility AND Q121 price-info option</t>
        </is>
      </c>
      <c r="C11" s="10" t="inlineStr">
        <is>
          <t>—</t>
        </is>
      </c>
    </row>
    <row r="12">
      <c r="A12" s="9" t="inlineStr">
        <is>
          <t>DATE_FIRST_VISITED_THE_FACILITY</t>
        </is>
      </c>
      <c r="B12" s="10" t="inlineStr">
        <is>
          <t>Valid date (YYYYMMDD); `20260101 ≤ d ≤ today + 1`</t>
        </is>
      </c>
      <c r="C12" s="10" t="inlineStr">
        <is>
          <t>HARD</t>
        </is>
      </c>
    </row>
    <row r="13">
      <c r="A13" s="9" t="inlineStr">
        <is>
          <t>DATE_OF_FINAL_VISIT_TO_THE_FACILITY</t>
        </is>
      </c>
      <c r="B13" s="10" t="inlineStr">
        <is>
          <t>Valid date; `≥ DATE_FIRST_VISITED_THE_FACILITY`; `≤ today + 1`</t>
        </is>
      </c>
      <c r="C13" s="10" t="inlineStr">
        <is>
          <t>HARD</t>
        </is>
      </c>
    </row>
    <row r="14">
      <c r="A14" s="9" t="inlineStr">
        <is>
          <t>TOTAL_NUMBER_OF_VISITS</t>
        </is>
      </c>
      <c r="B14" s="10" t="inlineStr">
        <is>
          <t>`≥ 1` when `ENUM_RESULT_FIRST_VISIT` or `ENUM_RESULT_FINAL_VISIT = Completed`</t>
        </is>
      </c>
      <c r="C14" s="10" t="inlineStr">
        <is>
          <t>HARD</t>
        </is>
      </c>
    </row>
    <row r="15">
      <c r="A15" s="9" t="inlineStr">
        <is>
          <t>BREAKOFF</t>
        </is>
      </c>
      <c r="B15" s="10" t="inlineStr">
        <is>
          <t>Required; defaults to `1 — Continue interview`. If ≠ Continue → terminate; sets `ENUM_RESULT_FINAL_VISIT` (2 Withdrew → 3 Refused; 3 Postponed → 2 Postponed; 4 Stop-other → 4 Incomplete) and `CASE_DISPOSITION = 2`</t>
        </is>
      </c>
      <c r="C15" s="10" t="inlineStr">
        <is>
          <t>HARD</t>
        </is>
      </c>
    </row>
    <row r="16">
      <c r="A16" s="9" t="inlineStr">
        <is>
          <t>CASE_DISPOSITION</t>
        </is>
      </c>
      <c r="B16" s="10" t="inlineStr">
        <is>
          <t>Auto-written by logic, never typed: 0 In progress / 1 Completed / 2 Partial / not completed</t>
        </is>
      </c>
      <c r="C16" s="10" t="inlineStr">
        <is>
          <t>—</t>
        </is>
      </c>
    </row>
    <row r="17">
      <c r="A17" s="9" t="inlineStr">
        <is>
          <t>CLASSIFICATION, REGION, PROVINCE_HUC, CITY_MUNICIPALITY, BARANGAY</t>
        </is>
      </c>
      <c r="B17" s="10" t="inlineStr">
        <is>
          <t>Required, non-blank; must exist in the loaded PSGC external lookup dictionaries (`shared/psgc_*.dcf`)</t>
        </is>
      </c>
      <c r="C17" s="10" t="inlineStr">
        <is>
          <t>HARD</t>
        </is>
      </c>
    </row>
    <row r="18">
      <c r="A18" s="9" t="inlineStr">
        <is>
          <t>Child PSGC parent consistency</t>
        </is>
      </c>
      <c r="B18" s="10" t="inlineStr">
        <is>
          <t>Enforced at pick-time by `PSGC-Cascade.apc` — `onfocus` on each child filters its value set to children of the chosen parent, so an inconsistent pair is unrepresentable</t>
        </is>
      </c>
      <c r="C18" s="10" t="inlineStr">
        <is>
          <t>HARD — cascade enforces</t>
        </is>
      </c>
    </row>
    <row r="19">
      <c r="A19" s="9" t="inlineStr">
        <is>
          <t>ENUM_RESULT_FIRST_VISIT = Completed / ENUM_RESULT_FINAL_VISIT = Completed</t>
        </is>
      </c>
      <c r="B19" s="10" t="inlineStr">
        <is>
          <t>All Section A–H mandatory items must be non-blank</t>
        </is>
      </c>
      <c r="C19" s="10" t="inlineStr">
        <is>
          <t>HARD</t>
        </is>
      </c>
    </row>
    <row r="20">
      <c r="A20" s="9" t="inlineStr">
        <is>
          <t>FACILITY_CAPTURE_GPS</t>
        </is>
      </c>
      <c r="B20" s="10" t="inlineStr">
        <is>
          <t>Trigger; auto-resets to blank after each successful read (so the button re-arms for retry)</t>
        </is>
      </c>
      <c r="C20" s="10" t="inlineStr">
        <is>
          <t>—</t>
        </is>
      </c>
    </row>
    <row r="21">
      <c r="A21" s="9" t="inlineStr">
        <is>
          <t>FACILITY_GPS_LATITUDE</t>
        </is>
      </c>
      <c r="B21" s="10" t="inlineStr">
        <is>
          <t>Alpha; after capture, `tonumber()` must be in `[4.5, 21.5]` (Philippine bounding box)</t>
        </is>
      </c>
      <c r="C21" s="10" t="inlineStr">
        <is>
          <t>HARD</t>
        </is>
      </c>
    </row>
    <row r="22">
      <c r="A22" s="9" t="inlineStr">
        <is>
          <t>FACILITY_GPS_LONGITUDE</t>
        </is>
      </c>
      <c r="B22" s="10" t="inlineStr">
        <is>
          <t>After capture, `tonumber()` in `[116.5, 127.0]`</t>
        </is>
      </c>
      <c r="C22" s="10" t="inlineStr">
        <is>
          <t>HARD</t>
        </is>
      </c>
    </row>
    <row r="23">
      <c r="A23" s="9" t="inlineStr">
        <is>
          <t>FACILITY_GPS_ALTITUDE</t>
        </is>
      </c>
      <c r="B23" s="10" t="inlineStr">
        <is>
          <t>Alpha; captured from `gps(altitude)`; no bounds enforced</t>
        </is>
      </c>
      <c r="C23" s="10" t="inlineStr">
        <is>
          <t>—</t>
        </is>
      </c>
    </row>
    <row r="24">
      <c r="A24" s="9" t="inlineStr">
        <is>
          <t>FACILITY_GPS_ACCURACY</t>
        </is>
      </c>
      <c r="B24" s="10" t="inlineStr">
        <is>
          <t>Numeric, metres. Warn if `&gt; 30` — re-read outdoors recommended</t>
        </is>
      </c>
      <c r="C24" s="10" t="inlineStr">
        <is>
          <t>SOFT</t>
        </is>
      </c>
    </row>
    <row r="25">
      <c r="A25" s="9" t="inlineStr">
        <is>
          <t>FACILITY_GPS_SATELLITES</t>
        </is>
      </c>
      <c r="B25" s="10" t="inlineStr">
        <is>
          <t>Numeric. Warn if `&lt; 4` (fix is below minimum for reliable lat/lon)</t>
        </is>
      </c>
      <c r="C25" s="10" t="inlineStr">
        <is>
          <t>SOFT</t>
        </is>
      </c>
    </row>
    <row r="26">
      <c r="A26" s="9" t="inlineStr">
        <is>
          <t>FACILITY_GPS_READTIME</t>
        </is>
      </c>
      <c r="B26" s="10" t="inlineStr">
        <is>
          <t>Alpha UTC timestamp; must parse and be within `±24 h` of `DATE_OF_FINAL_VISIT_TO_THE_FACILITY`</t>
        </is>
      </c>
      <c r="C26" s="10" t="inlineStr">
        <is>
          <t>SOFT</t>
        </is>
      </c>
    </row>
    <row r="27">
      <c r="A27" s="9" t="inlineStr">
        <is>
          <t>FACILITY_GPS_* non-blank required</t>
        </is>
      </c>
      <c r="B27" s="10" t="inlineStr">
        <is>
          <t>When `ENUM_RESULT_FINAL_VISIT = Completed`</t>
        </is>
      </c>
      <c r="C27" s="10" t="inlineStr">
        <is>
          <t>HARD</t>
        </is>
      </c>
    </row>
    <row r="28">
      <c r="A28" s="9" t="inlineStr">
        <is>
          <t>CAPTURE_VERIFICATION_PHOTO</t>
        </is>
      </c>
      <c r="B28" s="10" t="inlineStr">
        <is>
          <t>Trigger; auto-resets to blank after each successful capture</t>
        </is>
      </c>
      <c r="C28" s="10" t="inlineStr">
        <is>
          <t>—</t>
        </is>
      </c>
    </row>
    <row r="29">
      <c r="A29" s="9" t="inlineStr">
        <is>
          <t>VERIFICATION_PHOTO_FILENAME</t>
        </is>
      </c>
      <c r="B29" s="10" t="inlineStr">
        <is>
          <t>Non-blank when `ENUM_RESULT_FINAL_VISIT = Completed`; 120-char alpha populated by `TakeVerificationPhoto()`</t>
        </is>
      </c>
      <c r="C29" s="10" t="inlineStr">
        <is>
          <t>HARD</t>
        </is>
      </c>
    </row>
    <row r="30">
      <c r="A30" s="9" t="inlineStr">
        <is>
          <t>Filename pattern</t>
        </is>
      </c>
      <c r="B30" s="10" t="inlineStr">
        <is>
          <t>Matches `case-{QUESTIONNAIRE_NO}-verification.jpg` (enforced by the PROC that assigns it)</t>
        </is>
      </c>
      <c r="C30" s="10" t="inlineStr">
        <is>
          <t>HARD</t>
        </is>
      </c>
    </row>
    <row r="31">
      <c r="A31" s="9" t="inlineStr">
        <is>
          <t>File reachability</t>
        </is>
      </c>
      <c r="B31" s="10" t="inlineStr">
        <is>
          <t>CSEntry attachment must sync to CSWeb before the case can be marked final; enforced by sync workflow, not dictionary validation</t>
        </is>
      </c>
      <c r="C31" s="10" t="inlineStr">
        <is>
          <t>—</t>
        </is>
      </c>
    </row>
    <row r="32">
      <c r="A32" s="9" t="inlineStr">
        <is>
          <t>Q3_AGE</t>
        </is>
      </c>
      <c r="B32" s="10" t="inlineStr">
        <is>
          <t>`18 ≤ age ≤ 90`</t>
        </is>
      </c>
      <c r="C32" s="10" t="inlineStr">
        <is>
          <t>HARD</t>
        </is>
      </c>
    </row>
    <row r="33">
      <c r="A33" s="9" t="inlineStr">
        <is>
          <t>Q3_AGE &gt; 75</t>
        </is>
      </c>
      <c r="B33" s="10" t="inlineStr">
        <is>
          <t>Warn ("Unusually old for an active facility head — confirm")</t>
        </is>
      </c>
      <c r="C33" s="10" t="inlineStr">
        <is>
          <t>SOFT</t>
        </is>
      </c>
    </row>
    <row r="34">
      <c r="A34" s="9" t="inlineStr">
        <is>
          <t>Q5_YEARS_AT_FACILITY</t>
        </is>
      </c>
      <c r="B34" s="10" t="inlineStr">
        <is>
          <t>`0 ≤ y ≤ 60`</t>
        </is>
      </c>
      <c r="C34" s="10" t="inlineStr">
        <is>
          <t>HARD</t>
        </is>
      </c>
    </row>
    <row r="35">
      <c r="A35" s="9" t="inlineStr">
        <is>
          <t>Q5_MONTHS_AT_FACILITY</t>
        </is>
      </c>
      <c r="B35" s="10" t="inlineStr">
        <is>
          <t>`0 ≤ m ≤ 11`</t>
        </is>
      </c>
      <c r="C35" s="10" t="inlineStr">
        <is>
          <t>HARD</t>
        </is>
      </c>
    </row>
    <row r="36">
      <c r="A36" s="9" t="inlineStr">
        <is>
          <t>Tenure ≥ 6 months</t>
        </is>
      </c>
      <c r="B36" s="10" t="inlineStr">
        <is>
          <t>`Q5_YEARS_AT_FACILITY * 12 + Q5_MONTHS_AT_FACILITY ≥ 6` (per IR eligibility)</t>
        </is>
      </c>
      <c r="C36" s="10" t="inlineStr">
        <is>
          <t>HARD — terminate interview if violated</t>
        </is>
      </c>
    </row>
    <row r="37">
      <c r="A37" s="9" t="inlineStr">
        <is>
          <t>Q5_YEARS_AT_FACILITY ≤ Q3_AGE − 18</t>
        </is>
      </c>
      <c r="B37" s="10" t="inlineStr">
        <is>
          <t>Can't have started working before age 18</t>
        </is>
      </c>
      <c r="C37" s="10" t="inlineStr">
        <is>
          <t>HARD</t>
        </is>
      </c>
    </row>
    <row r="38">
      <c r="A38" s="9" t="inlineStr">
        <is>
          <t>Q6_YEARS_HEALTH</t>
        </is>
      </c>
      <c r="B38" s="10" t="inlineStr">
        <is>
          <t>`0 ≤ y ≤ 70`</t>
        </is>
      </c>
      <c r="C38" s="10" t="inlineStr">
        <is>
          <t>HARD</t>
        </is>
      </c>
    </row>
    <row r="39">
      <c r="A39" s="9" t="inlineStr">
        <is>
          <t>Q6_YEARS_HEALTH ≤ Q3_AGE − 18</t>
        </is>
      </c>
      <c r="B39" s="10" t="inlineStr">
        <is>
          <t>Same age-floor rule</t>
        </is>
      </c>
      <c r="C39" s="10" t="inlineStr">
        <is>
          <t>HARD</t>
        </is>
      </c>
    </row>
    <row r="40">
      <c r="A40" s="9" t="inlineStr">
        <is>
          <t>Tenure consistency</t>
        </is>
      </c>
      <c r="B40" s="10" t="inlineStr">
        <is>
          <t>`Q5_total ≤ Q6_total` (years at this facility cannot exceed total years in any health-related role)</t>
        </is>
      </c>
      <c r="C40" s="10" t="inlineStr">
        <is>
          <t>HARD</t>
        </is>
      </c>
    </row>
    <row r="41">
      <c r="A41" s="9" t="inlineStr">
        <is>
          <t>Q4_SEX</t>
        </is>
      </c>
      <c r="B41" s="10" t="inlineStr">
        <is>
          <t>Required, ∈ {1, 2}</t>
        </is>
      </c>
      <c r="C41" s="10" t="inlineStr">
        <is>
          <t>HARD</t>
        </is>
      </c>
    </row>
    <row r="42">
      <c r="A42" s="9" t="inlineStr">
        <is>
          <t>Q2_DESIGNATION = "Other"</t>
        </is>
      </c>
      <c r="B42" s="10" t="inlineStr">
        <is>
          <t>`Q2_DESIGNATION_OTHER_TXT` is required, non-blank</t>
        </is>
      </c>
      <c r="C42" s="10" t="inlineStr">
        <is>
          <t>HARD</t>
        </is>
      </c>
    </row>
    <row r="43">
      <c r="A43" s="9" t="inlineStr">
        <is>
          <t>Q7_OWNERSHIP</t>
        </is>
      </c>
      <c r="B43" s="10" t="inlineStr">
        <is>
          <t>Required</t>
        </is>
      </c>
      <c r="C43" s="10" t="inlineStr">
        <is>
          <t>HARD</t>
        </is>
      </c>
    </row>
    <row r="44">
      <c r="A44" s="9" t="inlineStr">
        <is>
          <t>Q8_SERVICE_LEVEL</t>
        </is>
      </c>
      <c r="B44" s="10" t="inlineStr">
        <is>
          <t>Required; drives Q121 / Q130 / Q132–134 gates</t>
        </is>
      </c>
      <c r="C44" s="10" t="inlineStr">
        <is>
          <t>HARD</t>
        </is>
      </c>
    </row>
    <row r="45">
      <c r="A45" s="9" t="inlineStr">
        <is>
          <t>Q11 enabled</t>
        </is>
      </c>
      <c r="B45" s="10" t="inlineStr">
        <is>
          <t>Q10 = Yes</t>
        </is>
      </c>
      <c r="C45" s="10" t="inlineStr">
        <is>
          <t>GATE</t>
        </is>
      </c>
    </row>
    <row r="46">
      <c r="A46" s="9" t="inlineStr">
        <is>
          <t>Q14, Q15 enabled</t>
        </is>
      </c>
      <c r="B46" s="10" t="inlineStr">
        <is>
          <t>Q13 = Yes</t>
        </is>
      </c>
      <c r="C46" s="10" t="inlineStr">
        <is>
          <t>GATE</t>
        </is>
      </c>
    </row>
    <row r="47">
      <c r="A47" s="9" t="inlineStr">
        <is>
          <t>Q15 enabled</t>
        </is>
      </c>
      <c r="B47" s="10" t="inlineStr">
        <is>
          <t>Q14 ∈ {1–4} ("Yes" branches)</t>
        </is>
      </c>
      <c r="C47" s="10" t="inlineStr">
        <is>
          <t>GATE</t>
        </is>
      </c>
    </row>
    <row r="48">
      <c r="A48" s="9" t="inlineStr">
        <is>
          <t>Q17, Q18 enabled</t>
        </is>
      </c>
      <c r="B48" s="10" t="inlineStr">
        <is>
          <t>Q16 = Yes</t>
        </is>
      </c>
      <c r="C48" s="10" t="inlineStr">
        <is>
          <t>GATE</t>
        </is>
      </c>
    </row>
    <row r="49">
      <c r="A49" s="9" t="inlineStr">
        <is>
          <t>Q18 enabled</t>
        </is>
      </c>
      <c r="B49" s="10" t="inlineStr">
        <is>
          <t>Q17 ∈ {1–4}</t>
        </is>
      </c>
      <c r="C49" s="10" t="inlineStr">
        <is>
          <t>GATE</t>
        </is>
      </c>
    </row>
    <row r="50">
      <c r="A50" s="9" t="inlineStr">
        <is>
          <t>Q20 enabled</t>
        </is>
      </c>
      <c r="B50" s="10" t="inlineStr">
        <is>
          <t>Q19 ∈ {1–4}</t>
        </is>
      </c>
      <c r="C50" s="10" t="inlineStr">
        <is>
          <t>GATE</t>
        </is>
      </c>
    </row>
    <row r="51">
      <c r="A51" s="9" t="inlineStr">
        <is>
          <t>Q22 enabled</t>
        </is>
      </c>
      <c r="B51" s="10" t="inlineStr">
        <is>
          <t>Q21 ∈ {1–4}</t>
        </is>
      </c>
      <c r="C51" s="10" t="inlineStr">
        <is>
          <t>GATE</t>
        </is>
      </c>
    </row>
    <row r="52">
      <c r="A52" s="9" t="inlineStr">
        <is>
          <t>Q24 enabled</t>
        </is>
      </c>
      <c r="B52" s="10" t="inlineStr">
        <is>
          <t>Q23 ∈ {1–4}</t>
        </is>
      </c>
      <c r="C52" s="10" t="inlineStr">
        <is>
          <t>GATE</t>
        </is>
      </c>
    </row>
    <row r="53">
      <c r="A53" s="9" t="inlineStr">
        <is>
          <t>Q26 enabled</t>
        </is>
      </c>
      <c r="B53" s="10" t="inlineStr">
        <is>
          <t>Q25 ∈ {1–4}</t>
        </is>
      </c>
      <c r="C53" s="10" t="inlineStr">
        <is>
          <t>GATE</t>
        </is>
      </c>
    </row>
    <row r="54">
      <c r="A54" s="9" t="inlineStr">
        <is>
          <t>Q28 enabled</t>
        </is>
      </c>
      <c r="B54" s="10" t="inlineStr">
        <is>
          <t>Q27 ∈ {1–4}</t>
        </is>
      </c>
      <c r="C54" s="10" t="inlineStr">
        <is>
          <t>GATE</t>
        </is>
      </c>
    </row>
    <row r="55">
      <c r="A55" s="9" t="inlineStr">
        <is>
          <t>Q30 enabled</t>
        </is>
      </c>
      <c r="B55" s="10" t="inlineStr">
        <is>
          <t>Q29 ∈ {1–4}</t>
        </is>
      </c>
      <c r="C55" s="10" t="inlineStr">
        <is>
          <t>GATE</t>
        </is>
      </c>
    </row>
    <row r="56">
      <c r="A56" s="9" t="inlineStr">
        <is>
          <t>Q33, Q34 enabled</t>
        </is>
      </c>
      <c r="B56" s="10" t="inlineStr">
        <is>
          <t>Q32 ∈ {1, 2, 3}</t>
        </is>
      </c>
      <c r="C56" s="10" t="inlineStr">
        <is>
          <t>GATE</t>
        </is>
      </c>
    </row>
    <row r="57">
      <c r="A57" s="9" t="inlineStr">
        <is>
          <t>Q36 enabled</t>
        </is>
      </c>
      <c r="B57" s="10" t="inlineStr">
        <is>
          <t>Q35 = Yes</t>
        </is>
      </c>
      <c r="C57" s="10" t="inlineStr">
        <is>
          <t>GATE</t>
        </is>
      </c>
    </row>
    <row r="58">
      <c r="A58" s="9" t="inlineStr">
        <is>
          <t>Q38 enabled</t>
        </is>
      </c>
      <c r="B58" s="10" t="inlineStr">
        <is>
          <t>Q37 = Yes</t>
        </is>
      </c>
      <c r="C58" s="10" t="inlineStr">
        <is>
          <t>GATE</t>
        </is>
      </c>
    </row>
    <row r="59">
      <c r="A59" s="9" t="inlineStr">
        <is>
          <t>Q49, Q50 select-all</t>
        </is>
      </c>
      <c r="B59" s="10" t="inlineStr">
        <is>
          <t>Cannot combine "I don't know" with substantive options</t>
        </is>
      </c>
      <c r="C59" s="10" t="inlineStr">
        <is>
          <t>HARD</t>
        </is>
      </c>
    </row>
    <row r="60">
      <c r="A60" s="9" t="inlineStr">
        <is>
          <t>Q49, Q50 select-all</t>
        </is>
      </c>
      <c r="B60" s="10" t="inlineStr">
        <is>
          <t>Cannot combine "Other" without `_OTHER_TXT` filled</t>
        </is>
      </c>
      <c r="C60" s="10" t="inlineStr">
        <is>
          <t>HARD</t>
        </is>
      </c>
    </row>
    <row r="61">
      <c r="A61" s="9" t="inlineStr">
        <is>
          <t>All Q*_OTHER_TXT</t>
        </is>
      </c>
      <c r="B61" s="10" t="inlineStr">
        <is>
          <t>Required if "Other" option selected</t>
        </is>
      </c>
      <c r="C61" s="10" t="inlineStr">
        <is>
          <t>HARD</t>
        </is>
      </c>
    </row>
    <row r="62">
      <c r="A62" s="9" t="inlineStr">
        <is>
          <t>All Q*_YES_OTHER_TXT</t>
        </is>
      </c>
      <c r="B62" s="10" t="inlineStr">
        <is>
          <t>Required if main = 4 ("Yes, other reason")</t>
        </is>
      </c>
      <c r="C62" s="10" t="inlineStr">
        <is>
          <t>HARD</t>
        </is>
      </c>
    </row>
    <row r="63">
      <c r="A63" s="9" t="inlineStr">
        <is>
          <t>All Q*_NO_OTHER_TXT</t>
        </is>
      </c>
      <c r="B63" s="10" t="inlineStr">
        <is>
          <t>Required if main = 7 ("No, other reason")</t>
        </is>
      </c>
      <c r="C63" s="10" t="inlineStr">
        <is>
          <t>HARD</t>
        </is>
      </c>
    </row>
    <row r="64">
      <c r="A64" s="9" t="inlineStr">
        <is>
          <t>Q52–Q78 entered</t>
        </is>
      </c>
      <c r="B64" s="10" t="inlineStr">
        <is>
          <t>Q51 = Yes</t>
        </is>
      </c>
      <c r="C64" s="10" t="inlineStr">
        <is>
          <t>GATE</t>
        </is>
      </c>
    </row>
    <row r="65">
      <c r="A65" s="9" t="inlineStr">
        <is>
          <t>Q79–Q84 entered</t>
        </is>
      </c>
      <c r="B65" s="10" t="inlineStr">
        <is>
          <t>Q51 = No</t>
        </is>
      </c>
      <c r="C65" s="10" t="inlineStr">
        <is>
          <t>GATE</t>
        </is>
      </c>
    </row>
    <row r="66">
      <c r="A66" s="9" t="inlineStr">
        <is>
          <t>Q52_YK_SINCE_YEAR</t>
        </is>
      </c>
      <c r="B66" s="10" t="inlineStr">
        <is>
          <t>`2019 ≤ year ≤ current_year` (UHC Act passed 2019)</t>
        </is>
      </c>
      <c r="C66" s="10" t="inlineStr">
        <is>
          <t>HARD</t>
        </is>
      </c>
    </row>
    <row r="67">
      <c r="A67" s="9" t="inlineStr">
        <is>
          <t>Q52_YK_SINCE_MONTH</t>
        </is>
      </c>
      <c r="B67" s="10" t="inlineStr">
        <is>
          <t>`1 ≤ m ≤ 12`</t>
        </is>
      </c>
      <c r="C67" s="10" t="inlineStr">
        <is>
          <t>HARD</t>
        </is>
      </c>
    </row>
    <row r="68">
      <c r="A68" s="9" t="inlineStr">
        <is>
          <t>Q52 not in future</t>
        </is>
      </c>
      <c r="B68" s="10" t="inlineStr">
        <is>
          <t>`(year, month) ≤ (current_year, current_month)`</t>
        </is>
      </c>
      <c r="C68" s="10" t="inlineStr">
        <is>
          <t>HARD</t>
        </is>
      </c>
    </row>
    <row r="69">
      <c r="A69" s="9" t="inlineStr">
        <is>
          <t>Q52 vs head's career</t>
        </is>
      </c>
      <c r="B69" s="10" t="inlineStr">
        <is>
          <t>Accreditation date should be after head turned 18 — `current_year - Q52_YK_SINCE_YEAR ≤ Q3_AGE - 18`</t>
        </is>
      </c>
      <c r="C69" s="10" t="inlineStr">
        <is>
          <t>SOFT</t>
        </is>
      </c>
    </row>
    <row r="70">
      <c r="A70" s="9" t="inlineStr">
        <is>
          <t>Q57_CAPITATION_AMT</t>
        </is>
      </c>
      <c r="B70" s="10" t="inlineStr">
        <is>
          <t>`0 &lt; amt ≤ 5000` (PHP)</t>
        </is>
      </c>
      <c r="C70" s="10" t="inlineStr">
        <is>
          <t>HARD</t>
        </is>
      </c>
    </row>
    <row r="71">
      <c r="A71" s="9" t="inlineStr">
        <is>
          <t>Q57_CAPITATION_AMT &gt; 1700</t>
        </is>
      </c>
      <c r="B71" s="10" t="inlineStr">
        <is>
          <t>Warn ("Above PhilHealth max — confirm")</t>
        </is>
      </c>
      <c r="C71" s="10" t="inlineStr">
        <is>
          <t>SOFT</t>
        </is>
      </c>
    </row>
    <row r="72">
      <c r="A72" s="9" t="inlineStr">
        <is>
          <t>Q60 enabled</t>
        </is>
      </c>
      <c r="B72" s="10" t="inlineStr">
        <is>
          <t>Q59 = Yes</t>
        </is>
      </c>
      <c r="C72" s="10" t="inlineStr">
        <is>
          <t>GATE</t>
        </is>
      </c>
    </row>
    <row r="73">
      <c r="A73" s="9" t="inlineStr">
        <is>
          <t>Q61 reason text</t>
        </is>
      </c>
      <c r="B73" s="10" t="inlineStr">
        <is>
          <t>Q61 = Yes</t>
        </is>
      </c>
      <c r="C73" s="10" t="inlineStr">
        <is>
          <t>GATE</t>
        </is>
      </c>
    </row>
    <row r="74">
      <c r="A74" s="9" t="inlineStr">
        <is>
          <t>Q66–Q74 each</t>
        </is>
      </c>
      <c r="B74" s="10" t="inlineStr">
        <is>
          <t>Q65 has the corresponding option selected</t>
        </is>
      </c>
      <c r="C74" s="10" t="inlineStr">
        <is>
          <t>GATE</t>
        </is>
      </c>
    </row>
    <row r="75">
      <c r="A75" s="9" t="inlineStr">
        <is>
          <t>Q78 enabled</t>
        </is>
      </c>
      <c r="B75" s="10" t="inlineStr">
        <is>
          <t>Q77 = Yes</t>
        </is>
      </c>
      <c r="C75" s="10" t="inlineStr">
        <is>
          <t>GATE</t>
        </is>
      </c>
    </row>
    <row r="76">
      <c r="A76" s="9" t="inlineStr">
        <is>
          <t>Q80 routing</t>
        </is>
      </c>
      <c r="B76" s="10" t="inlineStr">
        <is>
          <t>See skip table; only one of Q81/Q82/Q83/Q84 should be answered per case</t>
        </is>
      </c>
      <c r="C76" s="10" t="inlineStr">
        <is>
          <t>HARD</t>
        </is>
      </c>
    </row>
    <row r="77">
      <c r="A77" s="9" t="inlineStr">
        <is>
          <t>Q86_ELIGIBLE_PATIENTS</t>
        </is>
      </c>
      <c r="B77" s="10" t="inlineStr">
        <is>
          <t>`0 ≤ n ≤ 1,000,000`</t>
        </is>
      </c>
      <c r="C77" s="10" t="inlineStr">
        <is>
          <t>HARD</t>
        </is>
      </c>
    </row>
    <row r="78">
      <c r="A78" s="9" t="inlineStr">
        <is>
          <t>Q87_REGISTERED_PATIENTS</t>
        </is>
      </c>
      <c r="B78" s="10" t="inlineStr">
        <is>
          <t>`0 ≤ n ≤ Q86_ELIGIBLE_PATIENTS` (registered cannot exceed eligible)</t>
        </is>
      </c>
      <c r="C78" s="10" t="inlineStr">
        <is>
          <t>HARD</t>
        </is>
      </c>
    </row>
    <row r="79">
      <c r="A79" s="9" t="inlineStr">
        <is>
          <t>Q87 / Q86 &gt; 1.0</t>
        </is>
      </c>
      <c r="B79" s="10" t="inlineStr">
        <is>
          <t>Block with reentry</t>
        </is>
      </c>
      <c r="C79" s="10" t="inlineStr">
        <is>
          <t>HARD</t>
        </is>
      </c>
    </row>
    <row r="80">
      <c r="A80" s="9" t="inlineStr">
        <is>
          <t>Q90 enabled</t>
        </is>
      </c>
      <c r="B80" s="10" t="inlineStr">
        <is>
          <t>Q89 = Yes</t>
        </is>
      </c>
      <c r="C80" s="10" t="inlineStr">
        <is>
          <t>GATE</t>
        </is>
      </c>
    </row>
    <row r="81">
      <c r="A81" s="9" t="inlineStr">
        <is>
          <t>Q91_MIN_CAP_VALUE_ACC</t>
        </is>
      </c>
      <c r="B81" s="10" t="inlineStr">
        <is>
          <t>`0 &lt; amt ≤ 50000`; warn if `&gt; 5000`</t>
        </is>
      </c>
      <c r="C81" s="10" t="inlineStr">
        <is>
          <t>HARD / SOFT</t>
        </is>
      </c>
    </row>
    <row r="82">
      <c r="A82" s="9" t="inlineStr">
        <is>
          <t>Q92_MIN_CAP_VALUE_NONACC</t>
        </is>
      </c>
      <c r="B82" s="10" t="inlineStr">
        <is>
          <t>`0 &lt; amt ≤ 50000`; warn if `&gt; 5000`</t>
        </is>
      </c>
      <c r="C82" s="10" t="inlineStr">
        <is>
          <t>HARD / SOFT</t>
        </is>
      </c>
    </row>
    <row r="83">
      <c r="A83" s="9" t="inlineStr">
        <is>
          <t>Q94 enabled</t>
        </is>
      </c>
      <c r="B83" s="10" t="inlineStr">
        <is>
          <t>Q93 = Yes</t>
        </is>
      </c>
      <c r="C83" s="10" t="inlineStr">
        <is>
          <t>GATE</t>
        </is>
      </c>
    </row>
    <row r="84">
      <c r="A84" s="9" t="inlineStr">
        <is>
          <t>Q96 enabled</t>
        </is>
      </c>
      <c r="B84" s="10" t="inlineStr">
        <is>
          <t>Q95 ∈ {3, 4} (No options)</t>
        </is>
      </c>
      <c r="C84" s="10" t="inlineStr">
        <is>
          <t>GATE</t>
        </is>
      </c>
    </row>
    <row r="85">
      <c r="A85" s="9" t="inlineStr">
        <is>
          <t>Q98 enabled</t>
        </is>
      </c>
      <c r="B85" s="10" t="inlineStr">
        <is>
          <t>Q97 = Yes</t>
        </is>
      </c>
      <c r="C85" s="10" t="inlineStr">
        <is>
          <t>GATE</t>
        </is>
      </c>
    </row>
    <row r="86">
      <c r="A86" s="9" t="inlineStr">
        <is>
          <t>Q99, Q100 enabled</t>
        </is>
      </c>
      <c r="B86" s="10" t="inlineStr">
        <is>
          <t>Q51 = Yes</t>
        </is>
      </c>
      <c r="C86" s="10" t="inlineStr">
        <is>
          <t>GATE</t>
        </is>
      </c>
    </row>
    <row r="87">
      <c r="A87" s="9" t="inlineStr">
        <is>
          <t>Q102–Q107 enabled</t>
        </is>
      </c>
      <c r="B87" s="10" t="inlineStr">
        <is>
          <t>Q101 = Yes</t>
        </is>
      </c>
      <c r="C87" s="10" t="inlineStr">
        <is>
          <t>GATE</t>
        </is>
      </c>
    </row>
    <row r="88">
      <c r="A88" s="9" t="inlineStr">
        <is>
          <t>Q103 enabled</t>
        </is>
      </c>
      <c r="B88" s="10" t="inlineStr">
        <is>
          <t>Q102 = No</t>
        </is>
      </c>
      <c r="C88" s="10" t="inlineStr">
        <is>
          <t>GATE</t>
        </is>
      </c>
    </row>
    <row r="89">
      <c r="A89" s="9" t="inlineStr">
        <is>
          <t>Q104–Q107 enabled</t>
        </is>
      </c>
      <c r="B89" s="10" t="inlineStr">
        <is>
          <t>Q102 = Yes</t>
        </is>
      </c>
      <c r="C89" s="10" t="inlineStr">
        <is>
          <t>GATE</t>
        </is>
      </c>
    </row>
    <row r="90">
      <c r="A90" s="9" t="inlineStr">
        <is>
          <t>Q109–Q111 enabled</t>
        </is>
      </c>
      <c r="B90" s="10" t="inlineStr">
        <is>
          <t>Q108 = Yes</t>
        </is>
      </c>
      <c r="C90" s="10" t="inlineStr">
        <is>
          <t>GATE</t>
        </is>
      </c>
    </row>
    <row r="91">
      <c r="A91" s="9" t="inlineStr">
        <is>
          <t>Q110 enabled</t>
        </is>
      </c>
      <c r="B91" s="10" t="inlineStr">
        <is>
          <t>Q109 = No</t>
        </is>
      </c>
      <c r="C91" s="10" t="inlineStr">
        <is>
          <t>GATE</t>
        </is>
      </c>
    </row>
    <row r="92">
      <c r="A92" s="9" t="inlineStr">
        <is>
          <t>Q111 enabled</t>
        </is>
      </c>
      <c r="B92" s="10" t="inlineStr">
        <is>
          <t>Q109 = Yes</t>
        </is>
      </c>
      <c r="C92" s="10" t="inlineStr">
        <is>
          <t>GATE</t>
        </is>
      </c>
    </row>
    <row r="93">
      <c r="A93" s="9" t="inlineStr">
        <is>
          <t>Q113–Q117 enabled</t>
        </is>
      </c>
      <c r="B93" s="10" t="inlineStr">
        <is>
          <t>Q112 = Yes</t>
        </is>
      </c>
      <c r="C93" s="10" t="inlineStr">
        <is>
          <t>GATE</t>
        </is>
      </c>
    </row>
    <row r="94">
      <c r="A94" s="9" t="inlineStr">
        <is>
          <t>Q116, Q117 enabled</t>
        </is>
      </c>
      <c r="B94" s="10" t="inlineStr">
        <is>
          <t>Q108 = Yes AND Q109 = Yes AND Q112 = Yes</t>
        </is>
      </c>
      <c r="C94" s="10" t="inlineStr">
        <is>
          <t>GATE</t>
        </is>
      </c>
    </row>
    <row r="95">
      <c r="A95" s="9" t="inlineStr">
        <is>
          <t>Q114_STOCKOUT_DURATION vs Q115_STOCKOUT_AVG</t>
        </is>
      </c>
      <c r="B95" s="10" t="inlineStr">
        <is>
          <t>If `Q114 = "More than 60 days"`, `Q115` should not be `"Less than a month"` (contradiction)</t>
        </is>
      </c>
      <c r="C95" s="10" t="inlineStr">
        <is>
          <t>HARD</t>
        </is>
      </c>
    </row>
    <row r="96">
      <c r="A96" s="9" t="inlineStr">
        <is>
          <t>Q119–Q134 enabled</t>
        </is>
      </c>
      <c r="B96" s="10" t="inlineStr">
        <is>
          <t>Q118 = Yes (1)</t>
        </is>
      </c>
      <c r="C96" s="10" t="inlineStr">
        <is>
          <t>GATE</t>
        </is>
      </c>
    </row>
    <row r="97">
      <c r="A97" s="9" t="inlineStr">
        <is>
          <t>Q122–Q134 enabled</t>
        </is>
      </c>
      <c r="B97" s="10" t="inlineStr">
        <is>
          <t>Corresponding Q121 option selected</t>
        </is>
      </c>
      <c r="C97" s="10" t="inlineStr">
        <is>
          <t>GATE</t>
        </is>
      </c>
    </row>
    <row r="98">
      <c r="A98" s="9" t="inlineStr">
        <is>
          <t>Q132, Q133, Q134 enabled</t>
        </is>
      </c>
      <c r="B98" s="10" t="inlineStr">
        <is>
          <t>Q8 ∈ {Level 1, 2, 3 Hospital} AND corresponding Q121 option</t>
        </is>
      </c>
      <c r="C98" s="10" t="inlineStr">
        <is>
          <t>GATE</t>
        </is>
      </c>
    </row>
    <row r="99">
      <c r="A99" s="9" t="inlineStr">
        <is>
          <t>Q130 enabled</t>
        </is>
      </c>
      <c r="B99" s="10" t="inlineStr">
        <is>
          <t>Q8 = Primary Care Facility AND Q121 price-info option</t>
        </is>
      </c>
      <c r="C99" s="10" t="inlineStr">
        <is>
          <t>GATE</t>
        </is>
      </c>
    </row>
    <row r="100">
      <c r="A100" s="9" t="inlineStr">
        <is>
          <t>Q121 hospital-only options selectable</t>
        </is>
      </c>
      <c r="B100" s="10" t="inlineStr">
        <is>
          <t>Only if Q8 ∈ hospital levels</t>
        </is>
      </c>
      <c r="C100" s="10" t="inlineStr">
        <is>
          <t>GATE</t>
        </is>
      </c>
    </row>
    <row r="101">
      <c r="A101" s="9" t="inlineStr">
        <is>
          <t>Q121 PCF-only option selectable</t>
        </is>
      </c>
      <c r="B101" s="10" t="inlineStr">
        <is>
          <t>Only if Q8 = Primary Care Facility</t>
        </is>
      </c>
      <c r="C101" s="10" t="inlineStr">
        <is>
          <t>GATE</t>
        </is>
      </c>
    </row>
    <row r="102">
      <c r="A102" s="9" t="inlineStr">
        <is>
          <t>Q136, Q137 enabled</t>
        </is>
      </c>
      <c r="B102" s="10" t="inlineStr">
        <is>
          <t>Q135 = Yes</t>
        </is>
      </c>
      <c r="C102" s="10" t="inlineStr">
        <is>
          <t>GATE</t>
        </is>
      </c>
    </row>
    <row r="103">
      <c r="A103" s="9" t="inlineStr">
        <is>
          <t>Q139, Q140 enabled</t>
        </is>
      </c>
      <c r="B103" s="10" t="inlineStr">
        <is>
          <t>Q138 = Yes</t>
        </is>
      </c>
      <c r="C103" s="10" t="inlineStr">
        <is>
          <t>GATE</t>
        </is>
      </c>
    </row>
    <row r="104">
      <c r="A104" s="9" t="inlineStr">
        <is>
          <t>Q142 enabled</t>
        </is>
      </c>
      <c r="B104" s="10" t="inlineStr">
        <is>
          <t>Q141 = Yes</t>
        </is>
      </c>
      <c r="C104" s="10" t="inlineStr">
        <is>
          <t>GATE</t>
        </is>
      </c>
    </row>
    <row r="105">
      <c r="A105" s="9" t="inlineStr">
        <is>
          <t>Q146 enabled</t>
        </is>
      </c>
      <c r="B105" s="10" t="inlineStr">
        <is>
          <t>Q145 = Yes</t>
        </is>
      </c>
      <c r="C105" s="10" t="inlineStr">
        <is>
          <t>GATE</t>
        </is>
      </c>
    </row>
    <row r="106">
      <c r="A106" s="9" t="inlineStr">
        <is>
          <t>Q147 enabled</t>
        </is>
      </c>
      <c r="B106" s="10" t="inlineStr">
        <is>
          <t>Q145 = No</t>
        </is>
      </c>
      <c r="C106" s="10" t="inlineStr">
        <is>
          <t>GATE</t>
        </is>
      </c>
    </row>
    <row r="107">
      <c r="A107" s="9" t="inlineStr">
        <is>
          <t>Q149–Q151 enabled</t>
        </is>
      </c>
      <c r="B107" s="10" t="inlineStr">
        <is>
          <t>Q148 = Yes</t>
        </is>
      </c>
      <c r="C107" s="10" t="inlineStr">
        <is>
          <t>GATE</t>
        </is>
      </c>
    </row>
    <row r="108">
      <c r="A108" s="9" t="inlineStr">
        <is>
          <t>Q151 enabled</t>
        </is>
      </c>
      <c r="B108" s="10" t="inlineStr">
        <is>
          <t>Q150 = No</t>
        </is>
      </c>
      <c r="C108" s="10" t="inlineStr">
        <is>
          <t>GATE</t>
        </is>
      </c>
    </row>
    <row r="109">
      <c r="A109" s="9" t="inlineStr">
        <is>
          <t>Q152–Q153 enabled</t>
        </is>
      </c>
      <c r="B109" s="10" t="inlineStr">
        <is>
          <t>`Q7 = Public` AND `Q8 ∈ {Level 1, 2, 3 Hospital}`</t>
        </is>
      </c>
      <c r="C109" s="10" t="inlineStr">
        <is>
          <t>GATE (#386)</t>
        </is>
      </c>
    </row>
    <row r="110">
      <c r="A110" s="9" t="inlineStr">
        <is>
          <t>Q153 enabled</t>
        </is>
      </c>
      <c r="B110" s="10" t="inlineStr">
        <is>
          <t>Q152 ∈ {Unclear, Very Unclear}</t>
        </is>
      </c>
      <c r="C110" s="10" t="inlineStr">
        <is>
          <t>GATE</t>
        </is>
      </c>
    </row>
    <row r="111">
      <c r="A111" s="9" t="inlineStr">
        <is>
          <t>Q154_NUM_REFERRED_OUT</t>
        </is>
      </c>
      <c r="B111" s="10" t="inlineStr">
        <is>
          <t>`0 ≤ n ≤ 100,000` (over 6 months); warn if `&gt; 10,000`</t>
        </is>
      </c>
      <c r="C111" s="10" t="inlineStr">
        <is>
          <t>HARD / SOFT</t>
        </is>
      </c>
    </row>
    <row r="112">
      <c r="A112" s="9" t="inlineStr">
        <is>
          <t>Q162 enabled</t>
        </is>
      </c>
      <c r="B112" s="10" t="inlineStr">
        <is>
          <t>Q161 ∈ {Neither, Dissatisfied, Very Dissatisfied}</t>
        </is>
      </c>
      <c r="C112" s="10" t="inlineStr">
        <is>
          <t>GATE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2026-07-22T01:19:42Z</dcterms:created>
  <dcterms:modified xmlns:dcterms="http://purl.org/dc/terms/" xmlns:xsi="http://www.w3.org/2001/XMLSchema-instance" xsi:type="dcterms:W3CDTF">2026-07-22T01:19:43Z</dcterms:modified>
</cp:coreProperties>
</file>