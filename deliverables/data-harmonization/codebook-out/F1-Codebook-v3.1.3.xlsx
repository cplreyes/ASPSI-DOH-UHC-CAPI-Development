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F1 — Facility Head Survey</t>
        </is>
      </c>
    </row>
    <row r="3">
      <c r="A3" s="3" t="inlineStr"/>
    </row>
    <row r="4">
      <c r="A4" s="4" t="inlineStr">
        <is>
          <t>Version: v3.1.3 (2026-08-20)</t>
        </is>
      </c>
    </row>
    <row r="5">
      <c r="A5" s="3" t="inlineStr">
        <is>
          <t>Generated: 2026-08-20 05:10 UTC — regenerated from the build artifacts every release; never hand-edited.</t>
        </is>
      </c>
    </row>
    <row r="6">
      <c r="A6" s="3" t="inlineStr">
        <is>
          <t>Sources: FacilityHeadSurvey.dcf · FacilityHeadSurvey.ent.qsf (EN) · F1-Skip-Logic-and-Validations.md · versions.json</t>
        </is>
      </c>
    </row>
    <row r="7">
      <c r="A7" s="3" t="inlineStr"/>
    </row>
    <row r="8">
      <c r="A8" s="4" t="inlineStr">
        <is>
          <t>Variables documented: 321</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2"/>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Build: F1 v3.1.3 (2026-08-20) Universal Health Care (UHC) Survey 2026- Year 2 PSA SSRCS Clearance No. DOH-2651-01 · issued July 2026 · valid until 31 July 2027 SJREB: ICF ver. 07/25/2026 · Translated Questionnaire ver. 06/05/2026</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date_first_visited_the_facility</t>
        </is>
      </c>
      <c r="B7" s="10" t="inlineStr">
        <is>
          <t>Date First Visited the Facility (MMDDYYYY)</t>
        </is>
      </c>
      <c r="C7" s="10" t="inlineStr">
        <is>
          <t>Date First Visited the Facility (MMDDYYYY)</t>
        </is>
      </c>
      <c r="D7" s="10" t="inlineStr"/>
      <c r="E7" s="10" t="inlineStr"/>
      <c r="F7" s="10" t="inlineStr">
        <is>
          <t>Field Control</t>
        </is>
      </c>
      <c r="G7" s="10" t="inlineStr">
        <is>
          <t>numeric 8</t>
        </is>
      </c>
      <c r="H7" s="10" t="inlineStr"/>
      <c r="I7" s="10" t="inlineStr"/>
      <c r="J7" s="10" t="inlineStr">
        <is>
          <t>[HARD] Valid date (YYYYMMDD); `20260101 ≤ d ≤ today + 1`</t>
        </is>
      </c>
    </row>
    <row r="8">
      <c r="A8" s="7" t="inlineStr">
        <is>
          <t>date_of_final_visit_to_the_facility</t>
        </is>
      </c>
      <c r="B8" s="8" t="inlineStr">
        <is>
          <t>Date of Final Visit to the Facility (MMDDYYYY)</t>
        </is>
      </c>
      <c r="C8" s="8" t="inlineStr">
        <is>
          <t>Date of Final Visit to the Facility (MMDDYYYY)</t>
        </is>
      </c>
      <c r="D8" s="8" t="inlineStr"/>
      <c r="E8" s="8" t="inlineStr"/>
      <c r="F8" s="8" t="inlineStr">
        <is>
          <t>Field Control</t>
        </is>
      </c>
      <c r="G8" s="8" t="inlineStr">
        <is>
          <t>numeric 8</t>
        </is>
      </c>
      <c r="H8" s="8" t="inlineStr"/>
      <c r="I8" s="8" t="inlineStr"/>
      <c r="J8" s="8" t="inlineStr">
        <is>
          <t>[HARD] Valid date; `≥ DATE_FIRST_VISITED_THE_FACILITY`; `≤ today + 1`</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is>
          <t>[HARD] `≥ 1` when `ENUM_RESULT_FIRST_VISIT` or `ENUM_RESULT_FINAL_VISIT = Completed`</t>
        </is>
      </c>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Postponed
4 = Incomplete</t>
        </is>
      </c>
      <c r="I10" s="8" t="inlineStr">
        <is>
          <t>3 = Refused</t>
        </is>
      </c>
      <c r="J10" s="8" t="inlineStr"/>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Postponed
4 = Incomplete
5 = Replaced</t>
        </is>
      </c>
      <c r="I11" s="10" t="inlineStr">
        <is>
          <t>3 = Refused</t>
        </is>
      </c>
      <c r="J11" s="10" t="inlineStr"/>
    </row>
    <row r="12">
      <c r="A12" s="7" t="inlineStr">
        <is>
          <t>breakoff</t>
        </is>
      </c>
      <c r="B12" s="8" t="inlineStr">
        <is>
          <t>Interview status (leave as Continue unless ending the interview early)</t>
        </is>
      </c>
      <c r="C12" s="8" t="inlineStr">
        <is>
          <t>Interview status (leave as Continue unless ending the interview early)</t>
        </is>
      </c>
      <c r="D12" s="8" t="inlineStr"/>
      <c r="E12" s="8" t="inlineStr"/>
      <c r="F12" s="8" t="inlineStr">
        <is>
          <t>Field Control</t>
        </is>
      </c>
      <c r="G12" s="8" t="inlineStr">
        <is>
          <t>numeric 1</t>
        </is>
      </c>
      <c r="H12" s="8" t="inlineStr">
        <is>
          <t>1 = Continue interview
2 = Respondent withdrew
3 = Postponed / reschedule
4 = Stop — other (incomplete)
6 = Not interviewed — not found
7 = Not interviewed — ineligible</t>
        </is>
      </c>
      <c r="I12" s="8" t="inlineStr">
        <is>
          <t>5 = Not interviewed — refused</t>
        </is>
      </c>
      <c r="J12" s="8" t="inlineStr">
        <is>
          <t>[HARD] Required; defaults to `1 — Continue interview`. If ≠ Continue → terminate; sets `ENUM_RESULT_FINAL_VISIT` (2 Withdrew → 3 Refused; 3 Postponed → 2 Postponed; 4 Stop-other → 4 Incomplete; 5–7 never-started → 5 Replaced). Enumerator picklists on the Result-of-Visit fields show the paper's four codes only; `5 Replaced` is logic-assigned and swaps in via setvalueset() only on the replacement path (#1290/#1301 class extension, 2026-08-20). Sets `CASE_DISPOSITION = 2`</t>
        </is>
      </c>
    </row>
    <row r="13">
      <c r="A13" s="9" t="inlineStr">
        <is>
          <t>case_disposition</t>
        </is>
      </c>
      <c r="B13" s="10" t="inlineStr">
        <is>
          <t>Case disposition (auto)</t>
        </is>
      </c>
      <c r="C13" s="10" t="inlineStr">
        <is>
          <t>Case disposition (auto)</t>
        </is>
      </c>
      <c r="D13" s="10" t="inlineStr"/>
      <c r="E13" s="10" t="inlineStr"/>
      <c r="F13" s="10" t="inlineStr">
        <is>
          <t>Field Control</t>
        </is>
      </c>
      <c r="G13" s="10" t="inlineStr">
        <is>
          <t>numeric 1</t>
        </is>
      </c>
      <c r="H13" s="10" t="inlineStr">
        <is>
          <t>0 = In progress
1 = Completed
2 = Partial / not completed</t>
        </is>
      </c>
      <c r="I13" s="10" t="inlineStr"/>
      <c r="J13" s="10" t="inlineStr">
        <is>
          <t>[—] Auto-written by logic, never typed: 0 In progress / 1 Completed / 2 Partial / not completed</t>
        </is>
      </c>
    </row>
    <row r="14">
      <c r="A14" s="7" t="inlineStr">
        <is>
          <t>language_used</t>
        </is>
      </c>
      <c r="B14" s="8" t="inlineStr">
        <is>
          <t>Language used for the interview</t>
        </is>
      </c>
      <c r="C14" s="8" t="inlineStr">
        <is>
          <t>Language used for the interview</t>
        </is>
      </c>
      <c r="D14" s="8" t="inlineStr"/>
      <c r="E14" s="8" t="inlineStr"/>
      <c r="F14" s="8" t="inlineStr">
        <is>
          <t>Field Control</t>
        </is>
      </c>
      <c r="G14" s="8" t="inlineStr">
        <is>
          <t>alpha 20</t>
        </is>
      </c>
      <c r="H14" s="8" t="inlineStr"/>
      <c r="I14" s="8" t="inlineStr"/>
      <c r="J14" s="8" t="inlineStr"/>
    </row>
    <row r="15">
      <c r="A15" s="9" t="inlineStr">
        <is>
          <t>region_code</t>
        </is>
      </c>
      <c r="B15" s="10" t="inlineStr">
        <is>
          <t>Region Code (PSGC)</t>
        </is>
      </c>
      <c r="C15" s="10" t="inlineStr">
        <is>
          <t>Region Code (PSGC)</t>
        </is>
      </c>
      <c r="D15" s="10" t="inlineStr"/>
      <c r="E15" s="10" t="inlineStr"/>
      <c r="F15" s="10" t="inlineStr">
        <is>
          <t>Field Control</t>
        </is>
      </c>
      <c r="G15" s="10" t="inlineStr">
        <is>
          <t>numeric 2</t>
        </is>
      </c>
      <c r="H15" s="10" t="inlineStr"/>
      <c r="I15" s="10" t="inlineStr"/>
      <c r="J15" s="10" t="inlineStr"/>
    </row>
    <row r="16">
      <c r="A16" s="7" t="inlineStr">
        <is>
          <t>province_huc_code</t>
        </is>
      </c>
      <c r="B16" s="8" t="inlineStr">
        <is>
          <t>Province / HUC Code (PSGC)</t>
        </is>
      </c>
      <c r="C16" s="8" t="inlineStr">
        <is>
          <t>Province / HUC Code (PSGC)</t>
        </is>
      </c>
      <c r="D16" s="8" t="inlineStr"/>
      <c r="E16" s="8" t="inlineStr"/>
      <c r="F16" s="8" t="inlineStr">
        <is>
          <t>Field Control</t>
        </is>
      </c>
      <c r="G16" s="8" t="inlineStr">
        <is>
          <t>numeric 2</t>
        </is>
      </c>
      <c r="H16" s="8" t="inlineStr"/>
      <c r="I16" s="8" t="inlineStr"/>
      <c r="J16" s="8" t="inlineStr"/>
    </row>
    <row r="17">
      <c r="A17" s="9" t="inlineStr">
        <is>
          <t>city_municipality_code</t>
        </is>
      </c>
      <c r="B17" s="10" t="inlineStr">
        <is>
          <t>City / Municipality Code (PSGC)</t>
        </is>
      </c>
      <c r="C17" s="10" t="inlineStr">
        <is>
          <t>City / Municipality Code (PSGC)</t>
        </is>
      </c>
      <c r="D17" s="10" t="inlineStr"/>
      <c r="E17" s="10" t="inlineStr"/>
      <c r="F17" s="10" t="inlineStr">
        <is>
          <t>Field Control</t>
        </is>
      </c>
      <c r="G17" s="10" t="inlineStr">
        <is>
          <t>numeric 3</t>
        </is>
      </c>
      <c r="H17" s="10" t="inlineStr"/>
      <c r="I17" s="10" t="inlineStr"/>
      <c r="J17" s="10" t="inlineStr"/>
    </row>
    <row r="18">
      <c r="A18" s="7" t="inlineStr">
        <is>
          <t>facility_no</t>
        </is>
      </c>
      <c r="B18" s="8" t="inlineStr">
        <is>
          <t>Facility Number (within municipality)</t>
        </is>
      </c>
      <c r="C18" s="8" t="inlineStr">
        <is>
          <t>Facility Number (within municipality)</t>
        </is>
      </c>
      <c r="D18" s="8" t="inlineStr"/>
      <c r="E18" s="8" t="inlineStr"/>
      <c r="F18" s="8" t="inlineStr">
        <is>
          <t>Field Control</t>
        </is>
      </c>
      <c r="G18" s="8" t="inlineStr">
        <is>
          <t>numeric 2</t>
        </is>
      </c>
      <c r="H18" s="8" t="inlineStr"/>
      <c r="I18" s="8" t="inlineStr"/>
      <c r="J18" s="8" t="inlineStr"/>
    </row>
    <row r="19">
      <c r="A19" s="9" t="inlineStr">
        <is>
          <t>case_seq</t>
        </is>
      </c>
      <c r="B19" s="10" t="inlineStr">
        <is>
          <t>Case Sequence (per-facility, per-instrument)</t>
        </is>
      </c>
      <c r="C19" s="10" t="inlineStr">
        <is>
          <t>Case Sequence (per-facility, per-instrument)</t>
        </is>
      </c>
      <c r="D19" s="10" t="inlineStr"/>
      <c r="E19" s="10" t="inlineStr"/>
      <c r="F19" s="10" t="inlineStr">
        <is>
          <t>Field Control</t>
        </is>
      </c>
      <c r="G19" s="10" t="inlineStr">
        <is>
          <t>numeric 3</t>
        </is>
      </c>
      <c r="H19" s="10" t="inlineStr"/>
      <c r="I19" s="10" t="inlineStr"/>
      <c r="J19" s="10" t="inlineStr"/>
    </row>
    <row r="20">
      <c r="A20" s="7" t="inlineStr">
        <is>
          <t>region_name</t>
        </is>
      </c>
      <c r="B20" s="8" t="inlineStr">
        <is>
          <t>Region (from PSGC)</t>
        </is>
      </c>
      <c r="C20" s="8" t="inlineStr">
        <is>
          <t>Region (from PSGC)</t>
        </is>
      </c>
      <c r="D20" s="8" t="inlineStr"/>
      <c r="E20" s="8" t="inlineStr"/>
      <c r="F20" s="8" t="inlineStr">
        <is>
          <t>Field Control</t>
        </is>
      </c>
      <c r="G20" s="8" t="inlineStr">
        <is>
          <t>alpha 80</t>
        </is>
      </c>
      <c r="H20" s="8" t="inlineStr"/>
      <c r="I20" s="8" t="inlineStr"/>
      <c r="J20" s="8" t="inlineStr"/>
    </row>
    <row r="21">
      <c r="A21" s="9" t="inlineStr">
        <is>
          <t>province_name</t>
        </is>
      </c>
      <c r="B21" s="10" t="inlineStr">
        <is>
          <t>Province / HUC (from PSGC)</t>
        </is>
      </c>
      <c r="C21" s="10" t="inlineStr">
        <is>
          <t>Province / HUC (from PSGC)</t>
        </is>
      </c>
      <c r="D21" s="10" t="inlineStr"/>
      <c r="E21" s="10" t="inlineStr"/>
      <c r="F21" s="10" t="inlineStr">
        <is>
          <t>Field Control</t>
        </is>
      </c>
      <c r="G21" s="10" t="inlineStr">
        <is>
          <t>alpha 80</t>
        </is>
      </c>
      <c r="H21" s="10" t="inlineStr"/>
      <c r="I21" s="10" t="inlineStr"/>
      <c r="J21" s="10" t="inlineStr"/>
    </row>
    <row r="22">
      <c r="A22" s="7" t="inlineStr">
        <is>
          <t>city_name</t>
        </is>
      </c>
      <c r="B22" s="8" t="inlineStr">
        <is>
          <t>City / Municipality (from PSGC)</t>
        </is>
      </c>
      <c r="C22" s="8" t="inlineStr">
        <is>
          <t>City / Municipality (from PSGC)</t>
        </is>
      </c>
      <c r="D22" s="8" t="inlineStr"/>
      <c r="E22" s="8" t="inlineStr"/>
      <c r="F22" s="8" t="inlineStr">
        <is>
          <t>Field Control</t>
        </is>
      </c>
      <c r="G22" s="8" t="inlineStr">
        <is>
          <t>alpha 80</t>
        </is>
      </c>
      <c r="H22" s="8" t="inlineStr"/>
      <c r="I22" s="8" t="inlineStr"/>
      <c r="J22" s="8" t="inlineStr"/>
    </row>
    <row r="23">
      <c r="A23" s="9" t="inlineStr">
        <is>
          <t>classification</t>
        </is>
      </c>
      <c r="B23" s="10" t="inlineStr">
        <is>
          <t>Classification</t>
        </is>
      </c>
      <c r="C23" s="10" t="inlineStr">
        <is>
          <t>Classification</t>
        </is>
      </c>
      <c r="D23" s="10" t="inlineStr"/>
      <c r="E23" s="10" t="inlineStr"/>
      <c r="F23" s="10" t="inlineStr">
        <is>
          <t>Health Facility and Geographic Identification</t>
        </is>
      </c>
      <c r="G23" s="10" t="inlineStr">
        <is>
          <t>numeric 1</t>
        </is>
      </c>
      <c r="H23" s="10" t="inlineStr">
        <is>
          <t>1 = UHC IS
2 = Non-UHC IS</t>
        </is>
      </c>
      <c r="I23" s="10" t="inlineStr"/>
      <c r="J23" s="10" t="inlineStr">
        <is>
          <t>[HARD] Required, non-blank; must exist in the loaded PSGC external lookup dictionaries (`shared/psgc_*.dcf`)</t>
        </is>
      </c>
    </row>
    <row r="24">
      <c r="A24" s="7" t="inlineStr">
        <is>
          <t>region</t>
        </is>
      </c>
      <c r="B24" s="8" t="inlineStr">
        <is>
          <t>Region</t>
        </is>
      </c>
      <c r="C24" s="8" t="inlineStr">
        <is>
          <t>Region</t>
        </is>
      </c>
      <c r="D24" s="8" t="inlineStr"/>
      <c r="E24" s="8" t="inlineStr"/>
      <c r="F24" s="8" t="inlineStr">
        <is>
          <t>Health Facility and Geographic Identification</t>
        </is>
      </c>
      <c r="G24" s="8" t="inlineStr">
        <is>
          <t>numeric 10</t>
        </is>
      </c>
      <c r="H24" s="8" t="inlineStr">
        <is>
          <t>0000000000 = (set at runtime)</t>
        </is>
      </c>
      <c r="I24" s="8" t="inlineStr"/>
      <c r="J24" s="8" t="inlineStr">
        <is>
          <t>[HARD] Required, non-blank; must exist in the loaded PSGC external lookup dictionaries (`shared/psgc_*.dcf`)</t>
        </is>
      </c>
    </row>
    <row r="25">
      <c r="A25" s="9" t="inlineStr">
        <is>
          <t>province_huc</t>
        </is>
      </c>
      <c r="B25" s="10" t="inlineStr">
        <is>
          <t>Province / HUC</t>
        </is>
      </c>
      <c r="C25" s="10" t="inlineStr">
        <is>
          <t>Province / HUC</t>
        </is>
      </c>
      <c r="D25" s="10" t="inlineStr"/>
      <c r="E25" s="10" t="inlineStr"/>
      <c r="F25" s="10" t="inlineStr">
        <is>
          <t>Health Facility and Geographic Identification</t>
        </is>
      </c>
      <c r="G25" s="10" t="inlineStr">
        <is>
          <t>numeric 10</t>
        </is>
      </c>
      <c r="H25" s="10" t="inlineStr">
        <is>
          <t>0000000000 = (set at runtime)</t>
        </is>
      </c>
      <c r="I25" s="10" t="inlineStr"/>
      <c r="J25" s="10" t="inlineStr">
        <is>
          <t>[HARD] Required, non-blank; must exist in the loaded PSGC external lookup dictionaries (`shared/psgc_*.dcf`)</t>
        </is>
      </c>
    </row>
    <row r="26">
      <c r="A26" s="7" t="inlineStr">
        <is>
          <t>city_municipality</t>
        </is>
      </c>
      <c r="B26" s="8" t="inlineStr">
        <is>
          <t>City / Municipality</t>
        </is>
      </c>
      <c r="C26" s="8" t="inlineStr">
        <is>
          <t>City / Municipality</t>
        </is>
      </c>
      <c r="D26" s="8" t="inlineStr"/>
      <c r="E26" s="8" t="inlineStr"/>
      <c r="F26" s="8" t="inlineStr">
        <is>
          <t>Health Facility and Geographic Identification</t>
        </is>
      </c>
      <c r="G26" s="8" t="inlineStr">
        <is>
          <t>numeric 10</t>
        </is>
      </c>
      <c r="H26" s="8" t="inlineStr">
        <is>
          <t>0000000000 = (set at runtime)</t>
        </is>
      </c>
      <c r="I26" s="8" t="inlineStr"/>
      <c r="J26" s="8" t="inlineStr">
        <is>
          <t>[HARD] Required, non-blank; must exist in the loaded PSGC external lookup dictionaries (`shared/psgc_*.dcf`)</t>
        </is>
      </c>
    </row>
    <row r="27">
      <c r="A27" s="9" t="inlineStr">
        <is>
          <t>barangay</t>
        </is>
      </c>
      <c r="B27" s="10" t="inlineStr">
        <is>
          <t>Barangay</t>
        </is>
      </c>
      <c r="C27" s="10" t="inlineStr">
        <is>
          <t>Barangay</t>
        </is>
      </c>
      <c r="D27" s="10" t="inlineStr"/>
      <c r="E27" s="10" t="inlineStr"/>
      <c r="F27" s="10" t="inlineStr">
        <is>
          <t>Health Facility and Geographic Identification</t>
        </is>
      </c>
      <c r="G27" s="10" t="inlineStr">
        <is>
          <t>numeric 10</t>
        </is>
      </c>
      <c r="H27" s="10" t="inlineStr">
        <is>
          <t>0000000000 = (set at runtime)</t>
        </is>
      </c>
      <c r="I27" s="10" t="inlineStr"/>
      <c r="J27" s="10" t="inlineStr">
        <is>
          <t>[HARD] Required, non-blank; must exist in the loaded PSGC external lookup dictionaries (`shared/psgc_*.dcf`)</t>
        </is>
      </c>
    </row>
    <row r="28">
      <c r="A28" s="7" t="inlineStr">
        <is>
          <t>facility_name</t>
        </is>
      </c>
      <c r="B28" s="8" t="inlineStr">
        <is>
          <t>Facility Name</t>
        </is>
      </c>
      <c r="C28" s="8" t="inlineStr">
        <is>
          <t>Facility Name</t>
        </is>
      </c>
      <c r="D28" s="8" t="inlineStr"/>
      <c r="E28" s="8" t="inlineStr"/>
      <c r="F28" s="8" t="inlineStr">
        <is>
          <t>Health Facility and Geographic Identification</t>
        </is>
      </c>
      <c r="G28" s="8" t="inlineStr">
        <is>
          <t>alpha 100</t>
        </is>
      </c>
      <c r="H28" s="8" t="inlineStr"/>
      <c r="I28" s="8" t="inlineStr"/>
      <c r="J28" s="8" t="inlineStr"/>
    </row>
    <row r="29">
      <c r="A29" s="9" t="inlineStr">
        <is>
          <t>facility_address</t>
        </is>
      </c>
      <c r="B29" s="10" t="inlineStr">
        <is>
          <t>Facility Address</t>
        </is>
      </c>
      <c r="C29" s="10" t="inlineStr">
        <is>
          <t>Facility Address</t>
        </is>
      </c>
      <c r="D29" s="10" t="inlineStr"/>
      <c r="E29" s="10" t="inlineStr"/>
      <c r="F29" s="10" t="inlineStr">
        <is>
          <t>Health Facility and Geographic Identification</t>
        </is>
      </c>
      <c r="G29" s="10" t="inlineStr">
        <is>
          <t>alpha 200</t>
        </is>
      </c>
      <c r="H29" s="10" t="inlineStr"/>
      <c r="I29" s="10" t="inlineStr"/>
      <c r="J29" s="10" t="inlineStr"/>
    </row>
    <row r="30">
      <c r="A30" s="7" t="inlineStr">
        <is>
          <t>facility_gps_latitude</t>
        </is>
      </c>
      <c r="B30" s="8" t="inlineStr">
        <is>
          <t>GPS Latitude</t>
        </is>
      </c>
      <c r="C30" s="8" t="inlineStr">
        <is>
          <t>GPS Latitude</t>
        </is>
      </c>
      <c r="D30" s="8" t="inlineStr"/>
      <c r="E30" s="8" t="inlineStr"/>
      <c r="F30" s="8" t="inlineStr">
        <is>
          <t>Facility GPS and Verification Photo</t>
        </is>
      </c>
      <c r="G30" s="8" t="inlineStr">
        <is>
          <t>alpha 12</t>
        </is>
      </c>
      <c r="H30" s="8" t="inlineStr"/>
      <c r="I30" s="8" t="inlineStr"/>
      <c r="J30" s="8" t="inlineStr">
        <is>
          <t>[HARD — protect enforces] Alpha; the capture trigger hangs off its `onfocus`. Protected read-only once `FACILITY_GPS_READTIME` is non-blank, so coordinates can never be typed</t>
        </is>
      </c>
    </row>
    <row r="31">
      <c r="A31" s="9" t="inlineStr">
        <is>
          <t>facility_gps_longitude</t>
        </is>
      </c>
      <c r="B31" s="10" t="inlineStr">
        <is>
          <t>GPS Longitude</t>
        </is>
      </c>
      <c r="C31" s="10" t="inlineStr">
        <is>
          <t>GPS Longitude</t>
        </is>
      </c>
      <c r="D31" s="10" t="inlineStr"/>
      <c r="E31" s="10" t="inlineStr"/>
      <c r="F31" s="10" t="inlineStr">
        <is>
          <t>Facility GPS and Verification Photo</t>
        </is>
      </c>
      <c r="G31" s="10" t="inlineStr">
        <is>
          <t>alpha 12</t>
        </is>
      </c>
      <c r="H31" s="10" t="inlineStr"/>
      <c r="I31" s="10" t="inlineStr"/>
      <c r="J31" s="10" t="inlineStr">
        <is>
          <t>[HARD — protect enforces] Alpha; written by the same capture, protected alongside it</t>
        </is>
      </c>
    </row>
    <row r="32">
      <c r="A32" s="7" t="inlineStr">
        <is>
          <t>facility_gps_altitude</t>
        </is>
      </c>
      <c r="B32" s="8" t="inlineStr">
        <is>
          <t>GPS Altitude (m)</t>
        </is>
      </c>
      <c r="C32" s="8" t="inlineStr">
        <is>
          <t>GPS Altitude (m)</t>
        </is>
      </c>
      <c r="D32" s="8" t="inlineStr"/>
      <c r="E32" s="8" t="inlineStr"/>
      <c r="F32" s="8" t="inlineStr">
        <is>
          <t>Facility GPS and Verification Photo</t>
        </is>
      </c>
      <c r="G32" s="8" t="inlineStr">
        <is>
          <t>alpha 10</t>
        </is>
      </c>
      <c r="H32" s="8" t="inlineStr"/>
      <c r="I32" s="8" t="inlineStr"/>
      <c r="J32" s="8" t="inlineStr">
        <is>
          <t>[—] Alpha, from `gps(altitude)`; no bounds enforced</t>
        </is>
      </c>
    </row>
    <row r="33">
      <c r="A33" s="9" t="inlineStr">
        <is>
          <t>facility_gps_accuracy</t>
        </is>
      </c>
      <c r="B33" s="10" t="inlineStr">
        <is>
          <t>GPS Accuracy (m)</t>
        </is>
      </c>
      <c r="C33" s="10" t="inlineStr">
        <is>
          <t>GPS Accuracy (m)</t>
        </is>
      </c>
      <c r="D33" s="10" t="inlineStr"/>
      <c r="E33" s="10" t="inlineStr"/>
      <c r="F33" s="10" t="inlineStr">
        <is>
          <t>Facility GPS and Verification Photo</t>
        </is>
      </c>
      <c r="G33" s="10" t="inlineStr">
        <is>
          <t>numeric 3</t>
        </is>
      </c>
      <c r="H33" s="10" t="inlineStr"/>
      <c r="I33" s="10" t="inlineStr"/>
      <c r="J33" s="10" t="inlineStr">
        <is>
          <t>[SOFT] Numeric metres. `ReadGPSReading` warns (msg 1004) when the fix is worse than the 20 m target, but still returns success — the enumerator decides whether to retry</t>
        </is>
      </c>
    </row>
    <row r="34">
      <c r="A34" s="7" t="inlineStr">
        <is>
          <t>facility_gps_satellites</t>
        </is>
      </c>
      <c r="B34" s="8" t="inlineStr">
        <is>
          <t>GPS Satellites</t>
        </is>
      </c>
      <c r="C34" s="8" t="inlineStr">
        <is>
          <t>GPS Satellites</t>
        </is>
      </c>
      <c r="D34" s="8" t="inlineStr"/>
      <c r="E34" s="8" t="inlineStr"/>
      <c r="F34" s="8" t="inlineStr">
        <is>
          <t>Facility GPS and Verification Photo</t>
        </is>
      </c>
      <c r="G34" s="8" t="inlineStr">
        <is>
          <t>numeric 2</t>
        </is>
      </c>
      <c r="H34" s="8" t="inlineStr"/>
      <c r="I34" s="8" t="inlineStr"/>
      <c r="J34" s="8" t="inlineStr">
        <is>
          <t>[—] Numeric, from `gps(satellites)`</t>
        </is>
      </c>
    </row>
    <row r="35">
      <c r="A35" s="9" t="inlineStr">
        <is>
          <t>facility_gps_readtime</t>
        </is>
      </c>
      <c r="B35" s="10" t="inlineStr">
        <is>
          <t>GPS Read Time (UTC)</t>
        </is>
      </c>
      <c r="C35" s="10" t="inlineStr">
        <is>
          <t>GPS Read Time (UTC)</t>
        </is>
      </c>
      <c r="D35" s="10" t="inlineStr"/>
      <c r="E35" s="10" t="inlineStr"/>
      <c r="F35" s="10" t="inlineStr">
        <is>
          <t>Facility GPS and Verification Photo</t>
        </is>
      </c>
      <c r="G35" s="10" t="inlineStr">
        <is>
          <t>alpha 19</t>
        </is>
      </c>
      <c r="H35" s="10" t="inlineStr"/>
      <c r="I35" s="10" t="inlineStr"/>
      <c r="J35" s="10" t="inlineStr">
        <is>
          <t>[—] Numeric timestamp; doubles as the capture-once sentinel and the protect trigger</t>
        </is>
      </c>
    </row>
    <row r="36">
      <c r="A36" s="7" t="inlineStr">
        <is>
          <t>verification_photo_image</t>
        </is>
      </c>
      <c r="B36" s="8" t="inlineStr">
        <is>
          <t>Verification Photo (binary; syncs to CSWeb)</t>
        </is>
      </c>
      <c r="C36" s="8" t="inlineStr"/>
      <c r="D36" s="8" t="inlineStr"/>
      <c r="E36" s="8" t="inlineStr"/>
      <c r="F36" s="8" t="inlineStr">
        <is>
          <t>Facility GPS and Verification Photo</t>
        </is>
      </c>
      <c r="G36" s="8" t="inlineStr">
        <is>
          <t>image</t>
        </is>
      </c>
      <c r="H36" s="8" t="inlineStr"/>
      <c r="I36" s="8" t="inlineStr"/>
      <c r="J36" s="8" t="inlineStr">
        <is>
          <t>[—] The binary Image item. Photos sync to CSWeb only as binary Image dictionary items, off-form — the filename alone does not carry the picture</t>
        </is>
      </c>
    </row>
    <row r="37">
      <c r="A37" s="9" t="inlineStr">
        <is>
          <t>verification_photo_filename</t>
        </is>
      </c>
      <c r="B37" s="10" t="inlineStr">
        <is>
          <t>Verification Photo Filename</t>
        </is>
      </c>
      <c r="C37" s="10" t="inlineStr">
        <is>
          <t>Verification Photo Filename</t>
        </is>
      </c>
      <c r="D37" s="10" t="inlineStr"/>
      <c r="E37" s="10" t="inlineStr"/>
      <c r="F37" s="10" t="inlineStr">
        <is>
          <t>Facility GPS and Verification Photo</t>
        </is>
      </c>
      <c r="G37" s="10" t="inlineStr">
        <is>
          <t>alpha 120</t>
        </is>
      </c>
      <c r="H37" s="10" t="inlineStr"/>
      <c r="I37" s="10" t="inlineStr"/>
      <c r="J37" s="10" t="inlineStr">
        <is>
          <t>[SOFT] `noinput` — display-only, filled by the camera trigger, never typed. Camera failure warns (msg 1007) rather than trapping the enumerator</t>
        </is>
      </c>
    </row>
    <row r="38">
      <c r="A38" s="7" t="inlineStr">
        <is>
          <t>capture_verification_photo</t>
        </is>
      </c>
      <c r="B38" s="8" t="inlineStr">
        <is>
          <t>Take Verification Photo</t>
        </is>
      </c>
      <c r="C38" s="8" t="inlineStr">
        <is>
          <t>Take Verification Photo</t>
        </is>
      </c>
      <c r="D38" s="8" t="inlineStr"/>
      <c r="E38" s="8" t="inlineStr"/>
      <c r="F38" s="8" t="inlineStr">
        <is>
          <t>Facility GPS and Verification Photo</t>
        </is>
      </c>
      <c r="G38" s="8" t="inlineStr">
        <is>
          <t>numeric 1</t>
        </is>
      </c>
      <c r="H38" s="8" t="inlineStr">
        <is>
          <t>1 = Take verification photo</t>
        </is>
      </c>
      <c r="I38" s="8" t="inlineStr"/>
      <c r="J38" s="8" t="inlineStr">
        <is>
          <t>[GATE] Gated at preproc on `ENUM_RESULT_FINAL_VISIT` in {1 Completed, 4 Incomplete} — a Postponed or Refused visit is not photographed, and any stale filename is cleared. Trigger auto-resets to `notappl` after each attempt</t>
        </is>
      </c>
    </row>
    <row r="39">
      <c r="A39" s="9" t="inlineStr">
        <is>
          <t>icf_part1</t>
        </is>
      </c>
      <c r="B39" s="10" t="inlineStr">
        <is>
          <t>Informed Consent — read-aloud, screen 1 of 2 (study, coverage, the ask)</t>
        </is>
      </c>
      <c r="C39" s="10" t="inlineStr">
        <is>
          <t>We work for Asian Social Project Services, Inc. (ASPSI). We are here to invite you to participate in a study about the Universal Health Care (UHC) and packages of programs like Yaman ng Kalusugan Program (YAKAP), No Balance Billing (NBB), Zero Balance Billing (ZBB), Bagong Urgent Care and Ambulatory Services (BUCAS), and Guaranteed and Accessible Medications for Outpatient Treatment (GAMOT). The Department of Health funded this study. Please let me tell you more about the study. This study aims to generate evidence on the overall experience of the general public to support continuous monitoring, evaluation, and learning of the implementation of the UHC Act and its Implementing Rules and Regulations (IRR). The questions for this survey cover facility/facility head profile, UHC implementation changes since 2019, specialized programs (YAKAP/Konsulta, NBB/ZBB, BUCAS, GAMOT), DOH licensing, PhilHealth accreditation, NBB/ZBB policies, referral systems, human resource challenges, and secondary data such as hospital census and staffing statistics. Would you like to participate as a respondent in the study? The interview may last for more or less than an hour. Universal Health Care (UHC) Survey 2026- Year 2 PSA SSRCS Clearance No. DOH-2651-01 · issued July 2026 · valid until 31 July 2027 SJREB: ICF ver. 07/25/2026 · Translated Questionnaire ver. 06/05/2026</t>
        </is>
      </c>
      <c r="D39" s="10" t="inlineStr"/>
      <c r="E39" s="10" t="inlineStr"/>
      <c r="F39" s="10" t="inlineStr">
        <is>
          <t>Introduction and Informed Consent</t>
        </is>
      </c>
      <c r="G39" s="10" t="inlineStr">
        <is>
          <t>numeric 1</t>
        </is>
      </c>
      <c r="H39" s="10" t="inlineStr">
        <is>
          <t>1 = Continue</t>
        </is>
      </c>
      <c r="I39" s="10" t="inlineStr"/>
      <c r="J39" s="10" t="inlineStr"/>
    </row>
    <row r="40">
      <c r="A40" s="7" t="inlineStr">
        <is>
          <t>icf_part2</t>
        </is>
      </c>
      <c r="B40" s="8" t="inlineStr">
        <is>
          <t>Informed Consent — read-aloud, screen 2 of 2 (privacy, risks, voluntariness)</t>
        </is>
      </c>
      <c r="C40" s="8" t="inlineStr">
        <is>
          <t>We are committed to protecting your privacy. If you choose to participate, we will never include your name in information shared with the government or in any reports. Your name will be kept separately from your answers in a private, secure location. For this interview, it is also important to respect other people’s privacy and not tell anyone else what we talked about today. With all research, there’s a small chance that someone else might get to see your data. We try our best to prevent that, but if it happens, we’ll tell you as soon as possible. Aside from this, there are no other risks to you if you take part in this study. As a benefit of the research, the knowledge gained may help the government and DOH better support your healthcare needs. You are free to decline participation or to stop at any time. Choosing not to participate will not result in any penalty, and you will not have to pay anything to take part in this study. Do you have any questions about the study or about what I have told you? If you have concerns or questions about your rights as a participant, you can contact: Single Joint Research Ethics Board (SJREB) | Department of Health Email: sjreb@doh.gov.ph Contact No.: (02) 8651-7800 local 1326, 1328 Department of Health Name: Lindsley Jeremiah D. Villarante Email: ldvillarante@doh.gov.ph Tel: +63 (02) 8651-7800 local 1432 Asian Social Project Services, Inc. Name: Paulyn Jean A. Claro Email: inquiry.aspsi.doh.uhc.survey2@gmail.com Tel: +63 917 819 6884 Universal Health Care (UHC) Survey 2026- Year 2 PSA SSRCS Clearance No. DOH-2651-01 · issued July 2026 · valid until 31 July 2027 SJREB: ICF ver. 07/25/2026 · Translated Questionnaire ver. 06/05/2026</t>
        </is>
      </c>
      <c r="D40" s="8" t="inlineStr"/>
      <c r="E40" s="8" t="inlineStr"/>
      <c r="F40" s="8" t="inlineStr">
        <is>
          <t>Introduction and Informed Consent</t>
        </is>
      </c>
      <c r="G40" s="8" t="inlineStr">
        <is>
          <t>numeric 1</t>
        </is>
      </c>
      <c r="H40" s="8" t="inlineStr">
        <is>
          <t>1 = Continue</t>
        </is>
      </c>
      <c r="I40" s="8" t="inlineStr"/>
      <c r="J40" s="8" t="inlineStr"/>
    </row>
    <row r="41">
      <c r="A41" s="9" t="inlineStr">
        <is>
          <t>resp_name</t>
        </is>
      </c>
      <c r="B41" s="10" t="inlineStr">
        <is>
          <t>Respondent name and signature</t>
        </is>
      </c>
      <c r="C41" s="10" t="inlineStr">
        <is>
          <t>Respondent name and signature</t>
        </is>
      </c>
      <c r="D41" s="10" t="inlineStr"/>
      <c r="E41" s="10" t="inlineStr"/>
      <c r="F41" s="10" t="inlineStr">
        <is>
          <t>A. Facility Head Profile</t>
        </is>
      </c>
      <c r="G41" s="10" t="inlineStr">
        <is>
          <t>alpha 80</t>
        </is>
      </c>
      <c r="H41" s="10" t="inlineStr"/>
      <c r="I41" s="10" t="inlineStr"/>
      <c r="J41" s="10" t="inlineStr"/>
    </row>
    <row r="42">
      <c r="A42" s="7" t="inlineStr">
        <is>
          <t>resp_position</t>
        </is>
      </c>
      <c r="B42" s="8" t="inlineStr">
        <is>
          <t>Respondent position / office</t>
        </is>
      </c>
      <c r="C42" s="8" t="inlineStr">
        <is>
          <t>Respondent position / office</t>
        </is>
      </c>
      <c r="D42" s="8" t="inlineStr"/>
      <c r="E42" s="8" t="inlineStr"/>
      <c r="F42" s="8" t="inlineStr">
        <is>
          <t>A. Facility Head Profile</t>
        </is>
      </c>
      <c r="G42" s="8" t="inlineStr">
        <is>
          <t>alpha 80</t>
        </is>
      </c>
      <c r="H42" s="8" t="inlineStr"/>
      <c r="I42" s="8" t="inlineStr"/>
      <c r="J42" s="8" t="inlineStr"/>
    </row>
    <row r="43">
      <c r="A43" s="9" t="inlineStr">
        <is>
          <t>resp_email</t>
        </is>
      </c>
      <c r="B43" s="10" t="inlineStr">
        <is>
          <t>Respondent email address</t>
        </is>
      </c>
      <c r="C43" s="10" t="inlineStr">
        <is>
          <t>Respondent email address</t>
        </is>
      </c>
      <c r="D43" s="10" t="inlineStr"/>
      <c r="E43" s="10" t="inlineStr"/>
      <c r="F43" s="10" t="inlineStr">
        <is>
          <t>A. Facility Head Profile</t>
        </is>
      </c>
      <c r="G43" s="10" t="inlineStr">
        <is>
          <t>alpha 60</t>
        </is>
      </c>
      <c r="H43" s="10" t="inlineStr"/>
      <c r="I43" s="10" t="inlineStr"/>
      <c r="J43" s="10" t="inlineStr"/>
    </row>
    <row r="44">
      <c r="A44" s="7" t="inlineStr">
        <is>
          <t>resp_mobile</t>
        </is>
      </c>
      <c r="B44" s="8" t="inlineStr">
        <is>
          <t>Respondent mobile number</t>
        </is>
      </c>
      <c r="C44" s="8" t="inlineStr">
        <is>
          <t>Respondent mobile number</t>
        </is>
      </c>
      <c r="D44" s="8" t="inlineStr"/>
      <c r="E44" s="8" t="inlineStr"/>
      <c r="F44" s="8" t="inlineStr">
        <is>
          <t>A. Facility Head Profile</t>
        </is>
      </c>
      <c r="G44" s="8" t="inlineStr">
        <is>
          <t>alpha 20</t>
        </is>
      </c>
      <c r="H44" s="8" t="inlineStr"/>
      <c r="I44" s="8" t="inlineStr"/>
      <c r="J44" s="8" t="inlineStr"/>
    </row>
    <row r="45">
      <c r="A45" s="9" t="inlineStr">
        <is>
          <t>q1_name</t>
        </is>
      </c>
      <c r="B45" s="10" t="inlineStr">
        <is>
          <t>1. What is your name? (Last Name, First Name, Middle Initial, Ext)</t>
        </is>
      </c>
      <c r="C45" s="10" t="inlineStr">
        <is>
          <t>We would like to ask some of your personal information relevant to the survey. 1. What is your name? (Last Name, First Name, Middle Initial, Ext)</t>
        </is>
      </c>
      <c r="D45" s="10" t="inlineStr"/>
      <c r="E45" s="10" t="inlineStr"/>
      <c r="F45" s="10" t="inlineStr">
        <is>
          <t>A. Facility Head Profile</t>
        </is>
      </c>
      <c r="G45" s="10" t="inlineStr">
        <is>
          <t>alpha 80</t>
        </is>
      </c>
      <c r="H45" s="10" t="inlineStr"/>
      <c r="I45" s="10" t="inlineStr"/>
      <c r="J45" s="10" t="inlineStr"/>
    </row>
    <row r="46">
      <c r="A46" s="7" t="inlineStr">
        <is>
          <t>q2_facility_role</t>
        </is>
      </c>
      <c r="B46" s="8" t="inlineStr">
        <is>
          <t>2. What is your official designation at this health facility?</t>
        </is>
      </c>
      <c r="C46" s="8" t="inlineStr">
        <is>
          <t>2. What is your official designation at this health facility?</t>
        </is>
      </c>
      <c r="D46" s="8" t="inlineStr"/>
      <c r="E46" s="8" t="inlineStr"/>
      <c r="F46" s="8" t="inlineStr">
        <is>
          <t>A. Facility Head Profile</t>
        </is>
      </c>
      <c r="G46" s="8" t="inlineStr">
        <is>
          <t>numeric 2</t>
        </is>
      </c>
      <c r="H46" s="8" t="inlineStr">
        <is>
          <t>1 = Rural Health Unit/ Health Center Head
2 = Physician
3 = Chief of Hospital
4 = Medical Director
5 = Hospital Administrator
6 = Nurse
7 = Municipal / City Health Officer
8 = Medical Officer
9 = Administrative Officer/ Assistant
10 = Midwife
11 = Health Promotion / Nutrition Officer
12 = Rural Health Physician
99 = Other (specify)</t>
        </is>
      </c>
      <c r="I46" s="8" t="inlineStr"/>
      <c r="J46" s="8" t="inlineStr">
        <is>
          <t>[HARD] Required; 11 options, no "Other" (drift F1-QC-02 — this spec's older revisions named a `Q2_DESIGNATION` + `_OTHER_TXT` pair that does not exist)</t>
        </is>
      </c>
    </row>
    <row r="47">
      <c r="A47" s="9" t="inlineStr">
        <is>
          <t>q2_other_txt</t>
        </is>
      </c>
      <c r="B47" s="10" t="inlineStr">
        <is>
          <t>2. What is your official designation at this health facility? — Other (specify) text</t>
        </is>
      </c>
      <c r="C47" s="10" t="inlineStr">
        <is>
          <t>2. What is your official designation at this health facility? — Other (specify) text</t>
        </is>
      </c>
      <c r="D47" s="10" t="inlineStr"/>
      <c r="E47" s="10" t="inlineStr"/>
      <c r="F47" s="10" t="inlineStr">
        <is>
          <t>A. Facility Head Profile</t>
        </is>
      </c>
      <c r="G47" s="10" t="inlineStr">
        <is>
          <t>alpha 120</t>
        </is>
      </c>
      <c r="H47" s="10" t="inlineStr"/>
      <c r="I47" s="10" t="inlineStr"/>
      <c r="J47" s="10" t="inlineStr"/>
    </row>
    <row r="48">
      <c r="A48" s="7" t="inlineStr">
        <is>
          <t>q3_age</t>
        </is>
      </c>
      <c r="B48" s="8" t="inlineStr">
        <is>
          <t>3. How old are you (in years), as of your last birthday?</t>
        </is>
      </c>
      <c r="C48" s="8" t="inlineStr">
        <is>
          <t>3. How old are you (in years), as of your last birthday?</t>
        </is>
      </c>
      <c r="D48" s="8" t="inlineStr"/>
      <c r="E48" s="8" t="inlineStr"/>
      <c r="F48" s="8" t="inlineStr">
        <is>
          <t>A. Facility Head Profile</t>
        </is>
      </c>
      <c r="G48" s="8" t="inlineStr">
        <is>
          <t>numeric 2</t>
        </is>
      </c>
      <c r="H48" s="8" t="inlineStr"/>
      <c r="I48" s="8" t="inlineStr"/>
      <c r="J48" s="8" t="inlineStr">
        <is>
          <t>[HARD] `≥ 18`; msg 1056 blocks below the floor
[SOFT] `&gt; 80` warns ("unusually old for an active facility head") without blocking</t>
        </is>
      </c>
    </row>
    <row r="49">
      <c r="A49" s="9" t="inlineStr">
        <is>
          <t>q4_sex</t>
        </is>
      </c>
      <c r="B49" s="10" t="inlineStr">
        <is>
          <t>4. What is your sex assigned at birth?</t>
        </is>
      </c>
      <c r="C49" s="10" t="inlineStr">
        <is>
          <t>4. What is your sex assigned at birth?</t>
        </is>
      </c>
      <c r="D49" s="10" t="inlineStr"/>
      <c r="E49" s="10" t="inlineStr"/>
      <c r="F49" s="10" t="inlineStr">
        <is>
          <t>A. Facility Head Profile</t>
        </is>
      </c>
      <c r="G49" s="10" t="inlineStr">
        <is>
          <t>numeric 1</t>
        </is>
      </c>
      <c r="H49" s="10" t="inlineStr">
        <is>
          <t>1 = Male
2 = Female</t>
        </is>
      </c>
      <c r="I49" s="10" t="inlineStr"/>
      <c r="J49" s="10" t="inlineStr">
        <is>
          <t>[HARD] Required, in {1, 2}</t>
        </is>
      </c>
    </row>
    <row r="50">
      <c r="A50" s="7" t="inlineStr">
        <is>
          <t>q5_years_at_facility</t>
        </is>
      </c>
      <c r="B50" s="8" t="inlineStr">
        <is>
          <t>5. In your current position, how many months/years have you worked at this health facility? Number of Years</t>
        </is>
      </c>
      <c r="C50" s="8" t="inlineStr">
        <is>
          <t>5. In your current position, how many months/years have you worked at this health facility? Number of Years</t>
        </is>
      </c>
      <c r="D50" s="8" t="inlineStr"/>
      <c r="E50" s="8" t="inlineStr"/>
      <c r="F50" s="8" t="inlineStr">
        <is>
          <t>A. Facility Head Profile</t>
        </is>
      </c>
      <c r="G50" s="8" t="inlineStr">
        <is>
          <t>numeric 2</t>
        </is>
      </c>
      <c r="H50" s="8" t="inlineStr"/>
      <c r="I50" s="8" t="inlineStr"/>
      <c r="J50" s="8" t="inlineStr">
        <is>
          <t>[HARD] `≤ Q3_AGE − 20` — cannot have run a facility before age 20 (msg 1076)</t>
        </is>
      </c>
    </row>
    <row r="51">
      <c r="A51" s="9" t="inlineStr">
        <is>
          <t>q5_months_at_facility</t>
        </is>
      </c>
      <c r="B51" s="10" t="inlineStr">
        <is>
          <t>5. In your current position, how many months/years have you worked at this health facility? Number of Months</t>
        </is>
      </c>
      <c r="C51" s="10" t="inlineStr">
        <is>
          <t>5. In your current position, how many months/years have you worked at this health facility? Number of Months</t>
        </is>
      </c>
      <c r="D51" s="10" t="inlineStr"/>
      <c r="E51" s="10" t="inlineStr"/>
      <c r="F51" s="10" t="inlineStr">
        <is>
          <t>A. Facility Head Profile</t>
        </is>
      </c>
      <c r="G51" s="10" t="inlineStr">
        <is>
          <t>numeric 2</t>
        </is>
      </c>
      <c r="H51" s="10" t="inlineStr"/>
      <c r="I51" s="10" t="inlineStr"/>
      <c r="J51" s="10" t="inlineStr"/>
    </row>
    <row r="52">
      <c r="A52" s="7" t="inlineStr">
        <is>
          <t>q6_years_health</t>
        </is>
      </c>
      <c r="B52" s="8" t="inlineStr">
        <is>
          <t>6. How many years have you worked in health-related position? Number of Years</t>
        </is>
      </c>
      <c r="C52" s="8" t="inlineStr">
        <is>
          <t>6. How many years have you worked in health-related position? Number of Years</t>
        </is>
      </c>
      <c r="D52" s="8" t="inlineStr"/>
      <c r="E52" s="8" t="inlineStr"/>
      <c r="F52" s="8" t="inlineStr">
        <is>
          <t>A. Facility Head Profile</t>
        </is>
      </c>
      <c r="G52" s="8" t="inlineStr">
        <is>
          <t>numeric 2</t>
        </is>
      </c>
      <c r="H52" s="8" t="inlineStr"/>
      <c r="I52" s="8" t="inlineStr"/>
      <c r="J52" s="8" t="inlineStr">
        <is>
          <t>[HARD] `≤ Q3_AGE − 20` (msg 1082)</t>
        </is>
      </c>
    </row>
    <row r="53">
      <c r="A53" s="9" t="inlineStr">
        <is>
          <t>q6_months_health</t>
        </is>
      </c>
      <c r="B53" s="10" t="inlineStr">
        <is>
          <t>6. How many years have you worked in health-related position? Number of Months</t>
        </is>
      </c>
      <c r="C53" s="10" t="inlineStr">
        <is>
          <t>6. How many years have you worked in health-related position? Number of Months</t>
        </is>
      </c>
      <c r="D53" s="10" t="inlineStr"/>
      <c r="E53" s="10" t="inlineStr"/>
      <c r="F53" s="10" t="inlineStr">
        <is>
          <t>A. Facility Head Profile</t>
        </is>
      </c>
      <c r="G53" s="10" t="inlineStr">
        <is>
          <t>numeric 2</t>
        </is>
      </c>
      <c r="H53" s="10" t="inlineStr"/>
      <c r="I53" s="10" t="inlineStr"/>
      <c r="J53" s="10" t="inlineStr"/>
    </row>
    <row r="54">
      <c r="A54" s="7" t="inlineStr">
        <is>
          <t>q7_ownership</t>
        </is>
      </c>
      <c r="B54" s="8" t="inlineStr">
        <is>
          <t>7. What type of ownership is this hospital?</t>
        </is>
      </c>
      <c r="C54" s="8" t="inlineStr">
        <is>
          <t>Next, we will be asking questions about this health facility. 7. What type of ownership is this hospital?</t>
        </is>
      </c>
      <c r="D54" s="8" t="inlineStr"/>
      <c r="E54" s="8" t="inlineStr"/>
      <c r="F54" s="8" t="inlineStr">
        <is>
          <t>B. Facility Profile</t>
        </is>
      </c>
      <c r="G54" s="8" t="inlineStr">
        <is>
          <t>numeric 1</t>
        </is>
      </c>
      <c r="H54" s="8" t="inlineStr">
        <is>
          <t>1 = Public
2 = Private</t>
        </is>
      </c>
      <c r="I54" s="8" t="inlineStr"/>
      <c r="J54" s="8" t="inlineStr">
        <is>
          <t>[HARD] Required; with Q8 it drives the Q139/Q140 PHO gate</t>
        </is>
      </c>
    </row>
    <row r="55">
      <c r="A55" s="9" t="inlineStr">
        <is>
          <t>q8_service_level</t>
        </is>
      </c>
      <c r="B55" s="10" t="inlineStr">
        <is>
          <t>8. What is the facility's service capacity level?</t>
        </is>
      </c>
      <c r="C55" s="10" t="inlineStr">
        <is>
          <t>8. What is the facility's service capacity level?</t>
        </is>
      </c>
      <c r="D55" s="10" t="inlineStr"/>
      <c r="E55" s="10" t="inlineStr"/>
      <c r="F55" s="10" t="inlineStr">
        <is>
          <t>B. Facility Profile</t>
        </is>
      </c>
      <c r="G55" s="10" t="inlineStr">
        <is>
          <t>numeric 1</t>
        </is>
      </c>
      <c r="H55" s="10" t="inlineStr">
        <is>
          <t>1 = Primary Care Facility
2 = Level 1 Hospital
3 = Level 2 Hospital
4 = Level 3 Hospital</t>
        </is>
      </c>
      <c r="I55" s="10" t="inlineStr"/>
      <c r="J55" s="10" t="inlineStr">
        <is>
          <t>[HARD] Required; drives the Q108 value-set swap and the Q117/Q120/Q121 facility-type topics</t>
        </is>
      </c>
    </row>
    <row r="56">
      <c r="A56" s="7" t="inlineStr">
        <is>
          <t>q9_uhc_heard</t>
        </is>
      </c>
      <c r="B56" s="8" t="inlineStr">
        <is>
          <t>9. Have you heard about Universal Health Care (UHC) prior to this survey?</t>
        </is>
      </c>
      <c r="C56" s="8" t="inlineStr">
        <is>
          <t>We will now ask about your awareness of UHC, the changes that have been implemented in this facility since the UHC Act was passed in 2019 and if these changes were a result of the UHC Act. 9. Have you heard about Universal Health Care (UHC) prior to this survey?</t>
        </is>
      </c>
      <c r="D56" s="8" t="inlineStr"/>
      <c r="E56" s="8" t="inlineStr"/>
      <c r="F56" s="8" t="inlineStr">
        <is>
          <t>C. Universal Health Care (UHC) Implementation</t>
        </is>
      </c>
      <c r="G56" s="8" t="inlineStr">
        <is>
          <t>numeric 1</t>
        </is>
      </c>
      <c r="H56" s="8" t="inlineStr">
        <is>
          <t>1 = Yes
2 = No</t>
        </is>
      </c>
      <c r="I56" s="8" t="inlineStr"/>
      <c r="J56" s="8" t="inlineStr"/>
    </row>
    <row r="57">
      <c r="A57" s="9" t="inlineStr">
        <is>
          <t>q10_has_primary_pkg</t>
        </is>
      </c>
      <c r="B57" s="10" t="inlineStr">
        <is>
          <t>10. Does the facility have primary care packages?</t>
        </is>
      </c>
      <c r="C57" s="10" t="inlineStr">
        <is>
          <t>10. Does the facility have primary care packages?</t>
        </is>
      </c>
      <c r="D57" s="10" t="inlineStr"/>
      <c r="E57" s="10">
        <f> No (2) → Q11</f>
        <v/>
      </c>
      <c r="F57" s="10" t="inlineStr">
        <is>
          <t>C. Universal Health Care (UHC) Implementation</t>
        </is>
      </c>
      <c r="G57" s="10" t="inlineStr">
        <is>
          <t>numeric 1</t>
        </is>
      </c>
      <c r="H57" s="10" t="inlineStr">
        <is>
          <t>1 = Yes
2 = No</t>
        </is>
      </c>
      <c r="I57" s="10" t="inlineStr"/>
      <c r="J57" s="10" t="inlineStr"/>
    </row>
    <row r="58">
      <c r="A58" s="7" t="inlineStr">
        <is>
          <t>q10_1_uhc_attrib</t>
        </is>
      </c>
      <c r="B58" s="8" t="inlineStr">
        <is>
          <t>10.1. If yes, was it a result of the UHC Act enacted in 2019?</t>
        </is>
      </c>
      <c r="C58" s="8" t="inlineStr">
        <is>
          <t>10.1. If yes, was it a result of the UHC Act enacted in 2019? SELECT ONE ANSWER ONLY.</t>
        </is>
      </c>
      <c r="D58" s="8" t="inlineStr"/>
      <c r="E58" s="8" t="inlineStr"/>
      <c r="F58" s="8" t="inlineStr">
        <is>
          <t>C. Universal Health Care (UHC) Implementation</t>
        </is>
      </c>
      <c r="G58" s="8" t="inlineStr">
        <is>
          <t>numeric 1</t>
        </is>
      </c>
      <c r="H58"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58" s="8" t="inlineStr">
        <is>
          <t>8 = I don't know
9 = Not applicable</t>
        </is>
      </c>
      <c r="J58" s="8" t="inlineStr">
        <is>
          <t>[GATE] Reached only when its base is answered Yes; each probe sits on its own screen</t>
        </is>
      </c>
    </row>
    <row r="59">
      <c r="A59" s="9" t="inlineStr">
        <is>
          <t>q10_1_uhc_attrib_other_txt</t>
        </is>
      </c>
      <c r="B59" s="10" t="inlineStr">
        <is>
          <t>10.1. If yes, was it a result of the UHC Act enacted in 2019? — Other (specify) text</t>
        </is>
      </c>
      <c r="C59" s="10" t="inlineStr">
        <is>
          <t>10.1. If yes, was it a result of the UHC Act enacted in 2019? — Other (specify) text</t>
        </is>
      </c>
      <c r="D59" s="10" t="inlineStr"/>
      <c r="E59" s="10" t="inlineStr"/>
      <c r="F59" s="10" t="inlineStr">
        <is>
          <t>C. Universal Health Care (UHC) Implementation</t>
        </is>
      </c>
      <c r="G59" s="10" t="inlineStr">
        <is>
          <t>alpha 120</t>
        </is>
      </c>
      <c r="H59" s="10" t="inlineStr"/>
      <c r="I59" s="10" t="inlineStr"/>
      <c r="J59" s="10" t="inlineStr"/>
    </row>
    <row r="60">
      <c r="A60" s="7" t="inlineStr">
        <is>
          <t>q11_pcb_licensing</t>
        </is>
      </c>
      <c r="B60" s="8" t="inlineStr">
        <is>
          <t>11. Has the facility applied for a DOH primary care license?</t>
        </is>
      </c>
      <c r="C60" s="8" t="inlineStr">
        <is>
          <t>11. Has the facility applied for a DOH primary care license?</t>
        </is>
      </c>
      <c r="D60" s="8" t="inlineStr"/>
      <c r="E60" s="8">
        <f> No (2) → Q12</f>
        <v/>
      </c>
      <c r="F60" s="8" t="inlineStr">
        <is>
          <t>C. Universal Health Care (UHC) Implementation</t>
        </is>
      </c>
      <c r="G60" s="8" t="inlineStr">
        <is>
          <t>numeric 1</t>
        </is>
      </c>
      <c r="H60" s="8" t="inlineStr">
        <is>
          <t>1 = Yes
2 = No</t>
        </is>
      </c>
      <c r="I60" s="8" t="inlineStr"/>
      <c r="J60" s="8" t="inlineStr"/>
    </row>
    <row r="61">
      <c r="A61" s="9" t="inlineStr">
        <is>
          <t>q11_1_uhc_attrib</t>
        </is>
      </c>
      <c r="B61" s="10" t="inlineStr">
        <is>
          <t>11.1. If yes, was it a result of the UHC Act enacted in 2019?</t>
        </is>
      </c>
      <c r="C61" s="10" t="inlineStr">
        <is>
          <t>11.1. If yes, was it a result of the UHC Act enacted in 2019? SELECT ONE ANSWER ONLY.</t>
        </is>
      </c>
      <c r="D61" s="10" t="inlineStr"/>
      <c r="E61" s="10" t="inlineStr"/>
      <c r="F61" s="10" t="inlineStr">
        <is>
          <t>C. Universal Health Care (UHC) Implementation</t>
        </is>
      </c>
      <c r="G61" s="10" t="inlineStr">
        <is>
          <t>numeric 1</t>
        </is>
      </c>
      <c r="H61"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61" s="10" t="inlineStr">
        <is>
          <t>8 = I don't know</t>
        </is>
      </c>
      <c r="J61" s="10" t="inlineStr"/>
    </row>
    <row r="62">
      <c r="A62" s="7" t="inlineStr">
        <is>
          <t>q11_1_uhc_attrib_other_txt</t>
        </is>
      </c>
      <c r="B62" s="8" t="inlineStr">
        <is>
          <t>11.1. If yes, was it a result of the UHC Act enacted in 2019? — Other (specify) text</t>
        </is>
      </c>
      <c r="C62" s="8" t="inlineStr">
        <is>
          <t>11.1. If yes, was it a result of the UHC Act enacted in 2019? — Other (specify) text</t>
        </is>
      </c>
      <c r="D62" s="8" t="inlineStr"/>
      <c r="E62" s="8" t="inlineStr"/>
      <c r="F62" s="8" t="inlineStr">
        <is>
          <t>C. Universal Health Care (UHC) Implementation</t>
        </is>
      </c>
      <c r="G62" s="8" t="inlineStr">
        <is>
          <t>alpha 120</t>
        </is>
      </c>
      <c r="H62" s="8" t="inlineStr"/>
      <c r="I62" s="8" t="inlineStr"/>
      <c r="J62" s="8" t="inlineStr"/>
    </row>
    <row r="63">
      <c r="A63" s="9" t="inlineStr">
        <is>
          <t>q12_public_health_unit</t>
        </is>
      </c>
      <c r="B63" s="10" t="inlineStr">
        <is>
          <t>12. Does the facility have a public health unit?</t>
        </is>
      </c>
      <c r="C63" s="10" t="inlineStr">
        <is>
          <t>12. Does the facility have a public health unit?</t>
        </is>
      </c>
      <c r="D63" s="10" t="inlineStr"/>
      <c r="E63" s="10" t="inlineStr">
        <is>
          <t>in 2, 9 (No or Not applicable) → Q13</t>
        </is>
      </c>
      <c r="F63" s="10" t="inlineStr">
        <is>
          <t>C. Universal Health Care (UHC) Implementation</t>
        </is>
      </c>
      <c r="G63" s="10" t="inlineStr">
        <is>
          <t>numeric 1</t>
        </is>
      </c>
      <c r="H63" s="10" t="inlineStr">
        <is>
          <t>1 = Yes
2 = No</t>
        </is>
      </c>
      <c r="I63" s="10" t="inlineStr">
        <is>
          <t>9 = Not applicable</t>
        </is>
      </c>
      <c r="J63" s="10" t="inlineStr"/>
    </row>
    <row r="64">
      <c r="A64" s="7" t="inlineStr">
        <is>
          <t>q12_1_uhc_attrib</t>
        </is>
      </c>
      <c r="B64" s="8" t="inlineStr">
        <is>
          <t>12.1. If yes, was it a result of the UHC Act enacted in 2019?</t>
        </is>
      </c>
      <c r="C64" s="8" t="inlineStr">
        <is>
          <t>12.1. If yes, was it a result of the UHC Act enacted in 2019? SELECT ONE ANSWER ONLY.</t>
        </is>
      </c>
      <c r="D64" s="8" t="inlineStr"/>
      <c r="E64" s="8" t="inlineStr"/>
      <c r="F64" s="8" t="inlineStr">
        <is>
          <t>C. Universal Health Care (UHC) Implementation</t>
        </is>
      </c>
      <c r="G64" s="8" t="inlineStr">
        <is>
          <t>numeric 1</t>
        </is>
      </c>
      <c r="H64"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64" s="8" t="inlineStr">
        <is>
          <t>8 = I don't know</t>
        </is>
      </c>
      <c r="J64" s="8" t="inlineStr"/>
    </row>
    <row r="65">
      <c r="A65" s="9" t="inlineStr">
        <is>
          <t>q12_1_uhc_attrib_other_txt</t>
        </is>
      </c>
      <c r="B65" s="10" t="inlineStr">
        <is>
          <t>12.1. If yes, was it a result of the UHC Act enacted in 2019? — Other (specify) text</t>
        </is>
      </c>
      <c r="C65" s="10" t="inlineStr">
        <is>
          <t>12.1. If yes, was it a result of the UHC Act enacted in 2019? — Other (specify) text</t>
        </is>
      </c>
      <c r="D65" s="10" t="inlineStr"/>
      <c r="E65" s="10" t="inlineStr"/>
      <c r="F65" s="10" t="inlineStr">
        <is>
          <t>C. Universal Health Care (UHC) Implementation</t>
        </is>
      </c>
      <c r="G65" s="10" t="inlineStr">
        <is>
          <t>alpha 120</t>
        </is>
      </c>
      <c r="H65" s="10" t="inlineStr"/>
      <c r="I65" s="10" t="inlineStr"/>
      <c r="J65" s="10" t="inlineStr"/>
    </row>
    <row r="66">
      <c r="A66" s="7" t="inlineStr">
        <is>
          <t>q12_2_phu_role</t>
        </is>
      </c>
      <c r="B66" s="8" t="inlineStr">
        <is>
          <t>12.2. What is the main role of the public health unit?</t>
        </is>
      </c>
      <c r="C66" s="8" t="inlineStr">
        <is>
          <t>12.2. What is the main role of the public health unit? READ OPTIONS OUT LOUD. SELECT ONE ANSWER ONLY.</t>
        </is>
      </c>
      <c r="D66" s="8" t="inlineStr"/>
      <c r="E66" s="8" t="inlineStr"/>
      <c r="F66" s="8" t="inlineStr">
        <is>
          <t>C. Universal Health Care (UHC) Implementation</t>
        </is>
      </c>
      <c r="G66" s="8" t="inlineStr">
        <is>
          <t>numeric 1</t>
        </is>
      </c>
      <c r="H66" s="8" t="inlineStr">
        <is>
          <t>1 = Health promotion and education
2 = Disease surveillance report
3 = Referral and patient navigation
4 = Alignment with national public health programs
5 = Other (specify)</t>
        </is>
      </c>
      <c r="I66" s="8" t="inlineStr">
        <is>
          <t>8 = I don't know
9 = Not applicable</t>
        </is>
      </c>
      <c r="J66" s="8" t="inlineStr"/>
    </row>
    <row r="67">
      <c r="A67" s="9" t="inlineStr">
        <is>
          <t>q12_2_phu_role_other_txt</t>
        </is>
      </c>
      <c r="B67" s="10" t="inlineStr">
        <is>
          <t>12.2. What is the main role of the public health unit? — Other (specify) text</t>
        </is>
      </c>
      <c r="C67" s="10" t="inlineStr">
        <is>
          <t>12.2. What is the main role of the public health unit? — Other (specify) text</t>
        </is>
      </c>
      <c r="D67" s="10" t="inlineStr"/>
      <c r="E67" s="10" t="inlineStr"/>
      <c r="F67" s="10" t="inlineStr">
        <is>
          <t>C. Universal Health Care (UHC) Implementation</t>
        </is>
      </c>
      <c r="G67" s="10" t="inlineStr">
        <is>
          <t>alpha 120</t>
        </is>
      </c>
      <c r="H67" s="10" t="inlineStr"/>
      <c r="I67" s="10" t="inlineStr"/>
      <c r="J67" s="10" t="inlineStr"/>
    </row>
    <row r="68">
      <c r="A68" s="7" t="inlineStr">
        <is>
          <t>q13_health_promo_unit</t>
        </is>
      </c>
      <c r="B68" s="8" t="inlineStr">
        <is>
          <t>13. Does the facility have a health promotion unit?</t>
        </is>
      </c>
      <c r="C68" s="8" t="inlineStr">
        <is>
          <t>13. Does the facility have a health promotion unit?</t>
        </is>
      </c>
      <c r="D68" s="8" t="inlineStr"/>
      <c r="E68" s="8" t="inlineStr">
        <is>
          <t>in 2, 9 (No or Not applicable) → Q14</t>
        </is>
      </c>
      <c r="F68" s="8" t="inlineStr">
        <is>
          <t>C. Universal Health Care (UHC) Implementation</t>
        </is>
      </c>
      <c r="G68" s="8" t="inlineStr">
        <is>
          <t>numeric 1</t>
        </is>
      </c>
      <c r="H68" s="8" t="inlineStr">
        <is>
          <t>1 = Yes
2 = No</t>
        </is>
      </c>
      <c r="I68" s="8" t="inlineStr">
        <is>
          <t>9 = Not applicable</t>
        </is>
      </c>
      <c r="J68" s="8" t="inlineStr"/>
    </row>
    <row r="69">
      <c r="A69" s="9" t="inlineStr">
        <is>
          <t>q13_1_uhc_attrib</t>
        </is>
      </c>
      <c r="B69" s="10" t="inlineStr">
        <is>
          <t>13.1. If yes, was it a result of the UHC Act enacted in 2019?</t>
        </is>
      </c>
      <c r="C69" s="10" t="inlineStr">
        <is>
          <t>13.1. If yes, was it a result of the UHC Act enacted in 2019? SELECT ONE ANSWER ONLY.</t>
        </is>
      </c>
      <c r="D69" s="10" t="inlineStr"/>
      <c r="E69" s="10" t="inlineStr"/>
      <c r="F69" s="10" t="inlineStr">
        <is>
          <t>C. Universal Health Care (UHC) Implementation</t>
        </is>
      </c>
      <c r="G69" s="10" t="inlineStr">
        <is>
          <t>numeric 1</t>
        </is>
      </c>
      <c r="H69"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69" s="10" t="inlineStr">
        <is>
          <t>8 = I don't know</t>
        </is>
      </c>
      <c r="J69" s="10" t="inlineStr"/>
    </row>
    <row r="70">
      <c r="A70" s="7" t="inlineStr">
        <is>
          <t>q13_1_uhc_attrib_other_txt</t>
        </is>
      </c>
      <c r="B70" s="8" t="inlineStr">
        <is>
          <t>13.1. If yes, was it a result of the UHC Act enacted in 2019? — Other (specify) text</t>
        </is>
      </c>
      <c r="C70" s="8" t="inlineStr">
        <is>
          <t>13.1. If yes, was it a result of the UHC Act enacted in 2019? — Other (specify) text</t>
        </is>
      </c>
      <c r="D70" s="8" t="inlineStr"/>
      <c r="E70" s="8" t="inlineStr"/>
      <c r="F70" s="8" t="inlineStr">
        <is>
          <t>C. Universal Health Care (UHC) Implementation</t>
        </is>
      </c>
      <c r="G70" s="8" t="inlineStr">
        <is>
          <t>alpha 120</t>
        </is>
      </c>
      <c r="H70" s="8" t="inlineStr"/>
      <c r="I70" s="8" t="inlineStr"/>
      <c r="J70" s="8" t="inlineStr"/>
    </row>
    <row r="71">
      <c r="A71" s="9" t="inlineStr">
        <is>
          <t>q13_2_hpu_role</t>
        </is>
      </c>
      <c r="B71" s="10" t="inlineStr">
        <is>
          <t>13.2. What is the main role of the health promotion unit?</t>
        </is>
      </c>
      <c r="C71" s="10" t="inlineStr">
        <is>
          <t>13.2. What is the main role of the health promotion unit? READ OPTIONS OUT LOUD. SELECT ONE ANSWER ONLY.</t>
        </is>
      </c>
      <c r="D71" s="10" t="inlineStr"/>
      <c r="E71" s="10" t="inlineStr"/>
      <c r="F71" s="10" t="inlineStr">
        <is>
          <t>C. Universal Health Care (UHC) Implementation</t>
        </is>
      </c>
      <c r="G71" s="10" t="inlineStr">
        <is>
          <t>numeric 1</t>
        </is>
      </c>
      <c r="H71" s="10" t="inlineStr">
        <is>
          <t>1 = Leading health education and awareness campaigns (e.g., raising awareness about public health initiatives of DOH, disseminating information about health)
2 = Conducting and coordinating health screening and promotion activities (e.g., collaborating and implementing with other units and program coordinators to promote healthy lifestyles and preventive care)
3 = Advocacy and policy formation (e.g., research, campaigns, collaboration with policymakers)
4 = Resource mobilization and fundraising (e.g., securing funding, grants)
5 = Other (specify)</t>
        </is>
      </c>
      <c r="I71" s="10" t="inlineStr">
        <is>
          <t>8 = I don't know</t>
        </is>
      </c>
      <c r="J71" s="10" t="inlineStr"/>
    </row>
    <row r="72">
      <c r="A72" s="7" t="inlineStr">
        <is>
          <t>q13_2_hpu_role_other_txt</t>
        </is>
      </c>
      <c r="B72" s="8" t="inlineStr">
        <is>
          <t>13.2. What is the main role of the health promotion unit? — Other (specify) text</t>
        </is>
      </c>
      <c r="C72" s="8" t="inlineStr">
        <is>
          <t>13.2. What is the main role of the health promotion unit? — Other (specify) text</t>
        </is>
      </c>
      <c r="D72" s="8" t="inlineStr"/>
      <c r="E72" s="8" t="inlineStr"/>
      <c r="F72" s="8" t="inlineStr">
        <is>
          <t>C. Universal Health Care (UHC) Implementation</t>
        </is>
      </c>
      <c r="G72" s="8" t="inlineStr">
        <is>
          <t>alpha 120</t>
        </is>
      </c>
      <c r="H72" s="8" t="inlineStr"/>
      <c r="I72" s="8" t="inlineStr"/>
      <c r="J72" s="8" t="inlineStr"/>
    </row>
    <row r="73">
      <c r="A73" s="9" t="inlineStr">
        <is>
          <t>q14_new_roles</t>
        </is>
      </c>
      <c r="B73" s="10" t="inlineStr">
        <is>
          <t>14. Has there been establishment of new roles in the facility?</t>
        </is>
      </c>
      <c r="C73" s="10" t="inlineStr">
        <is>
          <t>14. Has there been establishment of new roles in the facility?</t>
        </is>
      </c>
      <c r="D73" s="10" t="inlineStr"/>
      <c r="E73" s="10">
        <f> No (2) → Q15</f>
        <v/>
      </c>
      <c r="F73" s="10" t="inlineStr">
        <is>
          <t>C. Universal Health Care (UHC) Implementation</t>
        </is>
      </c>
      <c r="G73" s="10" t="inlineStr">
        <is>
          <t>numeric 1</t>
        </is>
      </c>
      <c r="H73" s="10" t="inlineStr">
        <is>
          <t>1 = Yes
2 = No</t>
        </is>
      </c>
      <c r="I73" s="10" t="inlineStr"/>
      <c r="J73" s="10" t="inlineStr"/>
    </row>
    <row r="74">
      <c r="A74" s="7" t="inlineStr">
        <is>
          <t>q14_1_uhc_attrib</t>
        </is>
      </c>
      <c r="B74" s="8" t="inlineStr">
        <is>
          <t>14.1. If yes, was it a result of the UHC Act enacted in 2019?</t>
        </is>
      </c>
      <c r="C74" s="8" t="inlineStr">
        <is>
          <t>14.1. If yes, was it a result of the UHC Act enacted in 2019? SELECT ONE ANSWER ONLY.</t>
        </is>
      </c>
      <c r="D74" s="8" t="inlineStr"/>
      <c r="E74" s="8" t="inlineStr"/>
      <c r="F74" s="8" t="inlineStr">
        <is>
          <t>C. Universal Health Care (UHC) Implementation</t>
        </is>
      </c>
      <c r="G74" s="8" t="inlineStr">
        <is>
          <t>numeric 1</t>
        </is>
      </c>
      <c r="H74"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74" s="8" t="inlineStr">
        <is>
          <t>8 = I don't know</t>
        </is>
      </c>
      <c r="J74" s="8" t="inlineStr"/>
    </row>
    <row r="75">
      <c r="A75" s="9" t="inlineStr">
        <is>
          <t>q14_1_uhc_attrib_other_txt</t>
        </is>
      </c>
      <c r="B75" s="10" t="inlineStr">
        <is>
          <t>14.1. If yes, was it a result of the UHC Act enacted in 2019? — Other (specify) text</t>
        </is>
      </c>
      <c r="C75" s="10" t="inlineStr">
        <is>
          <t>14.1. If yes, was it a result of the UHC Act enacted in 2019? — Other (specify) text</t>
        </is>
      </c>
      <c r="D75" s="10" t="inlineStr"/>
      <c r="E75" s="10" t="inlineStr"/>
      <c r="F75" s="10" t="inlineStr">
        <is>
          <t>C. Universal Health Care (UHC) Implementation</t>
        </is>
      </c>
      <c r="G75" s="10" t="inlineStr">
        <is>
          <t>alpha 120</t>
        </is>
      </c>
      <c r="H75" s="10" t="inlineStr"/>
      <c r="I75" s="10" t="inlineStr"/>
      <c r="J75" s="10" t="inlineStr"/>
    </row>
    <row r="76">
      <c r="A76" s="7" t="inlineStr">
        <is>
          <t>q14_2_new_roles_list</t>
        </is>
      </c>
      <c r="B76" s="8" t="inlineStr">
        <is>
          <t>14.2. What is/are the new role/s established in this facility?</t>
        </is>
      </c>
      <c r="C76" s="8" t="inlineStr">
        <is>
          <t>14.2. What is/are the new role/s established in this facility?</t>
        </is>
      </c>
      <c r="D76" s="8" t="inlineStr"/>
      <c r="E76" s="8" t="inlineStr"/>
      <c r="F76" s="8" t="inlineStr">
        <is>
          <t>C. Universal Health Care (UHC) Implementation</t>
        </is>
      </c>
      <c r="G76" s="8" t="inlineStr">
        <is>
          <t>alpha 240</t>
        </is>
      </c>
      <c r="H76" s="8" t="inlineStr"/>
      <c r="I76" s="8" t="inlineStr"/>
      <c r="J76" s="8" t="inlineStr"/>
    </row>
    <row r="77">
      <c r="A77" s="9" t="inlineStr">
        <is>
          <t>q15_new_depts</t>
        </is>
      </c>
      <c r="B77" s="10" t="inlineStr">
        <is>
          <t>15. Has there been establishment of new departments in the facility?</t>
        </is>
      </c>
      <c r="C77" s="10" t="inlineStr">
        <is>
          <t>15. Has there been establishment of new departments in the facility?</t>
        </is>
      </c>
      <c r="D77" s="10" t="inlineStr"/>
      <c r="E77" s="10">
        <f> No (2) → Q16</f>
        <v/>
      </c>
      <c r="F77" s="10" t="inlineStr">
        <is>
          <t>C. Universal Health Care (UHC) Implementation</t>
        </is>
      </c>
      <c r="G77" s="10" t="inlineStr">
        <is>
          <t>numeric 1</t>
        </is>
      </c>
      <c r="H77" s="10" t="inlineStr">
        <is>
          <t>1 = Yes
2 = No</t>
        </is>
      </c>
      <c r="I77" s="10" t="inlineStr"/>
      <c r="J77" s="10" t="inlineStr"/>
    </row>
    <row r="78">
      <c r="A78" s="7" t="inlineStr">
        <is>
          <t>q15_1_uhc_attrib</t>
        </is>
      </c>
      <c r="B78" s="8" t="inlineStr">
        <is>
          <t>15.1. If yes, was it a result of the UHC Act enacted in 2019?</t>
        </is>
      </c>
      <c r="C78" s="8" t="inlineStr">
        <is>
          <t>15.1. If yes, was it a result of the UHC Act enacted in 2019? SELECT ONE ANSWER ONLY.</t>
        </is>
      </c>
      <c r="D78" s="8" t="inlineStr"/>
      <c r="E78" s="8" t="inlineStr"/>
      <c r="F78" s="8" t="inlineStr">
        <is>
          <t>C. Universal Health Care (UHC) Implementation</t>
        </is>
      </c>
      <c r="G78" s="8" t="inlineStr">
        <is>
          <t>numeric 1</t>
        </is>
      </c>
      <c r="H78"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78" s="8" t="inlineStr">
        <is>
          <t>8 = I don't know</t>
        </is>
      </c>
      <c r="J78" s="8" t="inlineStr"/>
    </row>
    <row r="79">
      <c r="A79" s="9" t="inlineStr">
        <is>
          <t>q15_1_uhc_attrib_other_txt</t>
        </is>
      </c>
      <c r="B79" s="10" t="inlineStr">
        <is>
          <t>15.1. If yes, was it a result of the UHC Act enacted in 2019? — Other (specify) text</t>
        </is>
      </c>
      <c r="C79" s="10" t="inlineStr">
        <is>
          <t>15.1. If yes, was it a result of the UHC Act enacted in 2019? — Other (specify) text</t>
        </is>
      </c>
      <c r="D79" s="10" t="inlineStr"/>
      <c r="E79" s="10" t="inlineStr"/>
      <c r="F79" s="10" t="inlineStr">
        <is>
          <t>C. Universal Health Care (UHC) Implementation</t>
        </is>
      </c>
      <c r="G79" s="10" t="inlineStr">
        <is>
          <t>alpha 120</t>
        </is>
      </c>
      <c r="H79" s="10" t="inlineStr"/>
      <c r="I79" s="10" t="inlineStr"/>
      <c r="J79" s="10" t="inlineStr"/>
    </row>
    <row r="80">
      <c r="A80" s="7" t="inlineStr">
        <is>
          <t>q15_2_new_depts_list</t>
        </is>
      </c>
      <c r="B80" s="8" t="inlineStr">
        <is>
          <t>15.2. What is/are the new department/s established in this facility?</t>
        </is>
      </c>
      <c r="C80" s="8" t="inlineStr">
        <is>
          <t>15.2. What is/are the new department/s established in this facility?</t>
        </is>
      </c>
      <c r="D80" s="8" t="inlineStr"/>
      <c r="E80" s="8" t="inlineStr"/>
      <c r="F80" s="8" t="inlineStr">
        <is>
          <t>C. Universal Health Care (UHC) Implementation</t>
        </is>
      </c>
      <c r="G80" s="8" t="inlineStr">
        <is>
          <t>alpha 240</t>
        </is>
      </c>
      <c r="H80" s="8" t="inlineStr"/>
      <c r="I80" s="8" t="inlineStr"/>
      <c r="J80" s="8" t="inlineStr"/>
    </row>
    <row r="81">
      <c r="A81" s="9" t="inlineStr">
        <is>
          <t>q16_new_buildings</t>
        </is>
      </c>
      <c r="B81" s="10" t="inlineStr">
        <is>
          <t>16. Has there been construction of new buildings in this facility?</t>
        </is>
      </c>
      <c r="C81" s="10" t="inlineStr">
        <is>
          <t>16. Has there been construction of new buildings in this facility?</t>
        </is>
      </c>
      <c r="D81" s="10" t="inlineStr"/>
      <c r="E81" s="10">
        <f> No (2) → Q17</f>
        <v/>
      </c>
      <c r="F81" s="10" t="inlineStr">
        <is>
          <t>C. Universal Health Care (UHC) Implementation</t>
        </is>
      </c>
      <c r="G81" s="10" t="inlineStr">
        <is>
          <t>numeric 1</t>
        </is>
      </c>
      <c r="H81" s="10" t="inlineStr">
        <is>
          <t>1 = Yes
2 = No</t>
        </is>
      </c>
      <c r="I81" s="10" t="inlineStr"/>
      <c r="J81" s="10" t="inlineStr"/>
    </row>
    <row r="82">
      <c r="A82" s="7" t="inlineStr">
        <is>
          <t>q16_1_uhc_attrib</t>
        </is>
      </c>
      <c r="B82" s="8" t="inlineStr">
        <is>
          <t>16.1. If yes, was it a result of the UHC Act enacted in 2019?</t>
        </is>
      </c>
      <c r="C82" s="8" t="inlineStr">
        <is>
          <t>16.1. If yes, was it a result of the UHC Act enacted in 2019? SELECT ONE ANSWER ONLY.</t>
        </is>
      </c>
      <c r="D82" s="8" t="inlineStr"/>
      <c r="E82" s="8" t="inlineStr"/>
      <c r="F82" s="8" t="inlineStr">
        <is>
          <t>C. Universal Health Care (UHC) Implementation</t>
        </is>
      </c>
      <c r="G82" s="8" t="inlineStr">
        <is>
          <t>numeric 1</t>
        </is>
      </c>
      <c r="H82"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82" s="8" t="inlineStr">
        <is>
          <t>8 = I don't know</t>
        </is>
      </c>
      <c r="J82" s="8" t="inlineStr"/>
    </row>
    <row r="83">
      <c r="A83" s="9" t="inlineStr">
        <is>
          <t>q16_1_uhc_attrib_other_txt</t>
        </is>
      </c>
      <c r="B83" s="10" t="inlineStr">
        <is>
          <t>16.1. If yes, was it a result of the UHC Act enacted in 2019? — Other (specify) text</t>
        </is>
      </c>
      <c r="C83" s="10" t="inlineStr">
        <is>
          <t>16.1. If yes, was it a result of the UHC Act enacted in 2019? — Other (specify) text</t>
        </is>
      </c>
      <c r="D83" s="10" t="inlineStr"/>
      <c r="E83" s="10" t="inlineStr"/>
      <c r="F83" s="10" t="inlineStr">
        <is>
          <t>C. Universal Health Care (UHC) Implementation</t>
        </is>
      </c>
      <c r="G83" s="10" t="inlineStr">
        <is>
          <t>alpha 120</t>
        </is>
      </c>
      <c r="H83" s="10" t="inlineStr"/>
      <c r="I83" s="10" t="inlineStr"/>
      <c r="J83" s="10" t="inlineStr"/>
    </row>
    <row r="84">
      <c r="A84" s="7" t="inlineStr">
        <is>
          <t>q16_2_new_buildings_purpose</t>
        </is>
      </c>
      <c r="B84" s="8" t="inlineStr">
        <is>
          <t>16.2. What is/are the building/s being used for?</t>
        </is>
      </c>
      <c r="C84" s="8" t="inlineStr">
        <is>
          <t>16.2. What is/are the building/s being used for?</t>
        </is>
      </c>
      <c r="D84" s="8" t="inlineStr"/>
      <c r="E84" s="8" t="inlineStr"/>
      <c r="F84" s="8" t="inlineStr">
        <is>
          <t>C. Universal Health Care (UHC) Implementation</t>
        </is>
      </c>
      <c r="G84" s="8" t="inlineStr">
        <is>
          <t>alpha 240</t>
        </is>
      </c>
      <c r="H84" s="8" t="inlineStr"/>
      <c r="I84" s="8" t="inlineStr"/>
      <c r="J84" s="8" t="inlineStr"/>
    </row>
    <row r="85">
      <c r="A85" s="9" t="inlineStr">
        <is>
          <t>q17_new_rooms</t>
        </is>
      </c>
      <c r="B85" s="10" t="inlineStr">
        <is>
          <t>17. Has there been construction of new rooms in this facility?</t>
        </is>
      </c>
      <c r="C85" s="10" t="inlineStr">
        <is>
          <t>17. Has there been construction of new rooms in this facility?</t>
        </is>
      </c>
      <c r="D85" s="10" t="inlineStr"/>
      <c r="E85" s="10">
        <f> No (2) → Q18</f>
        <v/>
      </c>
      <c r="F85" s="10" t="inlineStr">
        <is>
          <t>C. Universal Health Care (UHC) Implementation</t>
        </is>
      </c>
      <c r="G85" s="10" t="inlineStr">
        <is>
          <t>numeric 1</t>
        </is>
      </c>
      <c r="H85" s="10" t="inlineStr">
        <is>
          <t>1 = Yes
2 = No</t>
        </is>
      </c>
      <c r="I85" s="10" t="inlineStr"/>
      <c r="J85" s="10" t="inlineStr"/>
    </row>
    <row r="86">
      <c r="A86" s="7" t="inlineStr">
        <is>
          <t>q17_1_uhc_attrib</t>
        </is>
      </c>
      <c r="B86" s="8" t="inlineStr">
        <is>
          <t>17.1. If yes, was it a result of the UHC Act enacted in 2019?</t>
        </is>
      </c>
      <c r="C86" s="8" t="inlineStr">
        <is>
          <t>17.1. If yes, was it a result of the UHC Act enacted in 2019? SELECT ONE ANSWER ONLY.</t>
        </is>
      </c>
      <c r="D86" s="8" t="inlineStr"/>
      <c r="E86" s="8" t="inlineStr"/>
      <c r="F86" s="8" t="inlineStr">
        <is>
          <t>C. Universal Health Care (UHC) Implementation</t>
        </is>
      </c>
      <c r="G86" s="8" t="inlineStr">
        <is>
          <t>numeric 1</t>
        </is>
      </c>
      <c r="H86"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86" s="8" t="inlineStr">
        <is>
          <t>8 = I don't know</t>
        </is>
      </c>
      <c r="J86" s="8" t="inlineStr"/>
    </row>
    <row r="87">
      <c r="A87" s="9" t="inlineStr">
        <is>
          <t>q17_1_uhc_attrib_other_txt</t>
        </is>
      </c>
      <c r="B87" s="10" t="inlineStr">
        <is>
          <t>17.1. If yes, was it a result of the UHC Act enacted in 2019? — Other (specify) text</t>
        </is>
      </c>
      <c r="C87" s="10" t="inlineStr">
        <is>
          <t>17.1. If yes, was it a result of the UHC Act enacted in 2019? — Other (specify) text</t>
        </is>
      </c>
      <c r="D87" s="10" t="inlineStr"/>
      <c r="E87" s="10" t="inlineStr"/>
      <c r="F87" s="10" t="inlineStr">
        <is>
          <t>C. Universal Health Care (UHC) Implementation</t>
        </is>
      </c>
      <c r="G87" s="10" t="inlineStr">
        <is>
          <t>alpha 120</t>
        </is>
      </c>
      <c r="H87" s="10" t="inlineStr"/>
      <c r="I87" s="10" t="inlineStr"/>
      <c r="J87" s="10" t="inlineStr"/>
    </row>
    <row r="88">
      <c r="A88" s="7" t="inlineStr">
        <is>
          <t>q17_2_new_rooms_purpose</t>
        </is>
      </c>
      <c r="B88" s="8" t="inlineStr">
        <is>
          <t>17.2. What are the rooms being used for?</t>
        </is>
      </c>
      <c r="C88" s="8" t="inlineStr">
        <is>
          <t>17.2. What are the rooms being used for?</t>
        </is>
      </c>
      <c r="D88" s="8" t="inlineStr"/>
      <c r="E88" s="8" t="inlineStr"/>
      <c r="F88" s="8" t="inlineStr">
        <is>
          <t>C. Universal Health Care (UHC) Implementation</t>
        </is>
      </c>
      <c r="G88" s="8" t="inlineStr">
        <is>
          <t>alpha 240</t>
        </is>
      </c>
      <c r="H88" s="8" t="inlineStr"/>
      <c r="I88" s="8" t="inlineStr"/>
      <c r="J88" s="8" t="inlineStr"/>
    </row>
    <row r="89">
      <c r="A89" s="9" t="inlineStr">
        <is>
          <t>q18_inc_equipment</t>
        </is>
      </c>
      <c r="B89" s="10" t="inlineStr">
        <is>
          <t>18. Has there been an increase in equipment in this facility?</t>
        </is>
      </c>
      <c r="C89" s="10" t="inlineStr">
        <is>
          <t>18. Has there been an increase in equipment in this facility?</t>
        </is>
      </c>
      <c r="D89" s="10" t="inlineStr"/>
      <c r="E89" s="10">
        <f> No (2) → Q19</f>
        <v/>
      </c>
      <c r="F89" s="10" t="inlineStr">
        <is>
          <t>C. Universal Health Care (UHC) Implementation</t>
        </is>
      </c>
      <c r="G89" s="10" t="inlineStr">
        <is>
          <t>numeric 1</t>
        </is>
      </c>
      <c r="H89" s="10" t="inlineStr">
        <is>
          <t>1 = Yes
2 = No</t>
        </is>
      </c>
      <c r="I89" s="10" t="inlineStr"/>
      <c r="J89" s="10" t="inlineStr"/>
    </row>
    <row r="90">
      <c r="A90" s="7" t="inlineStr">
        <is>
          <t>q18_1_uhc_attrib</t>
        </is>
      </c>
      <c r="B90" s="8" t="inlineStr">
        <is>
          <t>18.1. If yes, was it a result of the UHC Act enacted in 2019?</t>
        </is>
      </c>
      <c r="C90" s="8" t="inlineStr">
        <is>
          <t>18.1. If yes, was it a result of the UHC Act enacted in 2019? SELECT ONE ANSWER ONLY.</t>
        </is>
      </c>
      <c r="D90" s="8" t="inlineStr"/>
      <c r="E90" s="8" t="inlineStr"/>
      <c r="F90" s="8" t="inlineStr">
        <is>
          <t>C. Universal Health Care (UHC) Implementation</t>
        </is>
      </c>
      <c r="G90" s="8" t="inlineStr">
        <is>
          <t>numeric 1</t>
        </is>
      </c>
      <c r="H90"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90" s="8" t="inlineStr">
        <is>
          <t>8 = I don't know</t>
        </is>
      </c>
      <c r="J90" s="8" t="inlineStr"/>
    </row>
    <row r="91">
      <c r="A91" s="9" t="inlineStr">
        <is>
          <t>q18_1_uhc_attrib_other_txt</t>
        </is>
      </c>
      <c r="B91" s="10" t="inlineStr">
        <is>
          <t>18.1. If yes, was it a result of the UHC Act enacted in 2019? — Other (specify) text</t>
        </is>
      </c>
      <c r="C91" s="10" t="inlineStr">
        <is>
          <t>18.1. If yes, was it a result of the UHC Act enacted in 2019? — Other (specify) text</t>
        </is>
      </c>
      <c r="D91" s="10" t="inlineStr"/>
      <c r="E91" s="10" t="inlineStr"/>
      <c r="F91" s="10" t="inlineStr">
        <is>
          <t>C. Universal Health Care (UHC) Implementation</t>
        </is>
      </c>
      <c r="G91" s="10" t="inlineStr">
        <is>
          <t>alpha 120</t>
        </is>
      </c>
      <c r="H91" s="10" t="inlineStr"/>
      <c r="I91" s="10" t="inlineStr"/>
      <c r="J91" s="10" t="inlineStr"/>
    </row>
    <row r="92">
      <c r="A92" s="7" t="inlineStr">
        <is>
          <t>q18_2_inc_equipment_list</t>
        </is>
      </c>
      <c r="B92" s="8" t="inlineStr">
        <is>
          <t>18.2. If there was an increase in equipment, what are these pieces of equipment?</t>
        </is>
      </c>
      <c r="C92" s="8" t="inlineStr">
        <is>
          <t>18.2. If there was an increase in equipment, what are these pieces of equipment?</t>
        </is>
      </c>
      <c r="D92" s="8" t="inlineStr"/>
      <c r="E92" s="8" t="inlineStr"/>
      <c r="F92" s="8" t="inlineStr">
        <is>
          <t>C. Universal Health Care (UHC) Implementation</t>
        </is>
      </c>
      <c r="G92" s="8" t="inlineStr">
        <is>
          <t>alpha 240</t>
        </is>
      </c>
      <c r="H92" s="8" t="inlineStr"/>
      <c r="I92" s="8" t="inlineStr"/>
      <c r="J92" s="8" t="inlineStr"/>
    </row>
    <row r="93">
      <c r="A93" s="9" t="inlineStr">
        <is>
          <t>q19_inc_supplies</t>
        </is>
      </c>
      <c r="B93" s="10" t="inlineStr">
        <is>
          <t>19. Has there been an increase in supplies in this facility?</t>
        </is>
      </c>
      <c r="C93" s="10" t="inlineStr">
        <is>
          <t>19. Has there been an increase in supplies in this facility?</t>
        </is>
      </c>
      <c r="D93" s="10" t="inlineStr"/>
      <c r="E93" s="10">
        <f> No (2) → Q20</f>
        <v/>
      </c>
      <c r="F93" s="10" t="inlineStr">
        <is>
          <t>C. Universal Health Care (UHC) Implementation</t>
        </is>
      </c>
      <c r="G93" s="10" t="inlineStr">
        <is>
          <t>numeric 1</t>
        </is>
      </c>
      <c r="H93" s="10" t="inlineStr">
        <is>
          <t>1 = Yes
2 = No</t>
        </is>
      </c>
      <c r="I93" s="10" t="inlineStr"/>
      <c r="J93" s="10" t="inlineStr"/>
    </row>
    <row r="94">
      <c r="A94" s="7" t="inlineStr">
        <is>
          <t>q19_1_uhc_attrib</t>
        </is>
      </c>
      <c r="B94" s="8" t="inlineStr">
        <is>
          <t>19.1. If yes, was it a result of the UHC Act enacted in 2019?</t>
        </is>
      </c>
      <c r="C94" s="8" t="inlineStr">
        <is>
          <t>19.1. If yes, was it a result of the UHC Act enacted in 2019? SELECT ONE ANSWER ONLY.</t>
        </is>
      </c>
      <c r="D94" s="8" t="inlineStr"/>
      <c r="E94" s="8" t="inlineStr"/>
      <c r="F94" s="8" t="inlineStr">
        <is>
          <t>C. Universal Health Care (UHC) Implementation</t>
        </is>
      </c>
      <c r="G94" s="8" t="inlineStr">
        <is>
          <t>numeric 1</t>
        </is>
      </c>
      <c r="H94"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94" s="8" t="inlineStr">
        <is>
          <t>8 = I don't know</t>
        </is>
      </c>
      <c r="J94" s="8" t="inlineStr"/>
    </row>
    <row r="95">
      <c r="A95" s="9" t="inlineStr">
        <is>
          <t>q19_1_uhc_attrib_other_txt</t>
        </is>
      </c>
      <c r="B95" s="10" t="inlineStr">
        <is>
          <t>19.1. If yes, was it a result of the UHC Act enacted in 2019? — Other (specify) text</t>
        </is>
      </c>
      <c r="C95" s="10" t="inlineStr">
        <is>
          <t>19.1. If yes, was it a result of the UHC Act enacted in 2019? — Other (specify) text</t>
        </is>
      </c>
      <c r="D95" s="10" t="inlineStr"/>
      <c r="E95" s="10" t="inlineStr"/>
      <c r="F95" s="10" t="inlineStr">
        <is>
          <t>C. Universal Health Care (UHC) Implementation</t>
        </is>
      </c>
      <c r="G95" s="10" t="inlineStr">
        <is>
          <t>alpha 120</t>
        </is>
      </c>
      <c r="H95" s="10" t="inlineStr"/>
      <c r="I95" s="10" t="inlineStr"/>
      <c r="J95" s="10" t="inlineStr"/>
    </row>
    <row r="96">
      <c r="A96" s="7" t="inlineStr">
        <is>
          <t>q19_2_inc_supplies_list</t>
        </is>
      </c>
      <c r="B96" s="8" t="inlineStr">
        <is>
          <t>19.2. If there was an increase in supplies, what are these?</t>
        </is>
      </c>
      <c r="C96" s="8" t="inlineStr">
        <is>
          <t>19.2. If there was an increase in supplies, what are these?</t>
        </is>
      </c>
      <c r="D96" s="8" t="inlineStr"/>
      <c r="E96" s="8" t="inlineStr"/>
      <c r="F96" s="8" t="inlineStr">
        <is>
          <t>C. Universal Health Care (UHC) Implementation</t>
        </is>
      </c>
      <c r="G96" s="8" t="inlineStr">
        <is>
          <t>alpha 240</t>
        </is>
      </c>
      <c r="H96" s="8" t="inlineStr"/>
      <c r="I96" s="8" t="inlineStr"/>
      <c r="J96" s="8" t="inlineStr"/>
    </row>
    <row r="97">
      <c r="A97" s="9" t="inlineStr">
        <is>
          <t>q20_emr_use</t>
        </is>
      </c>
      <c r="B97" s="10" t="inlineStr">
        <is>
          <t>20. Have electronic medical records been used in this facility?</t>
        </is>
      </c>
      <c r="C97" s="10" t="inlineStr">
        <is>
          <t>20. Have electronic medical records been used in this facility?</t>
        </is>
      </c>
      <c r="D97" s="10" t="inlineStr"/>
      <c r="E97" s="10">
        <f> No (2) → Q24 (skip Q21, Q22, Q23 — the DOH-IS fan)</f>
        <v/>
      </c>
      <c r="F97" s="10" t="inlineStr">
        <is>
          <t>C. Universal Health Care (UHC) Implementation</t>
        </is>
      </c>
      <c r="G97" s="10" t="inlineStr">
        <is>
          <t>numeric 1</t>
        </is>
      </c>
      <c r="H97" s="10" t="inlineStr">
        <is>
          <t>1 = Yes
2 = No</t>
        </is>
      </c>
      <c r="I97" s="10" t="inlineStr"/>
      <c r="J97" s="10" t="inlineStr"/>
    </row>
    <row r="98">
      <c r="A98" s="7" t="inlineStr">
        <is>
          <t>q20_1_uhc_attrib</t>
        </is>
      </c>
      <c r="B98" s="8" t="inlineStr">
        <is>
          <t>20.1. If yes, was it a result of the UHC Act enacted in 2019?</t>
        </is>
      </c>
      <c r="C98" s="8" t="inlineStr">
        <is>
          <t>20.1. If yes, was it a result of the UHC Act enacted in 2019? SELECT ONE ANSWER ONLY.</t>
        </is>
      </c>
      <c r="D98" s="8" t="inlineStr"/>
      <c r="E98" s="8" t="inlineStr"/>
      <c r="F98" s="8" t="inlineStr">
        <is>
          <t>C. Universal Health Care (UHC) Implementation</t>
        </is>
      </c>
      <c r="G98" s="8" t="inlineStr">
        <is>
          <t>numeric 1</t>
        </is>
      </c>
      <c r="H98"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98" s="8" t="inlineStr">
        <is>
          <t>8 = I don't know</t>
        </is>
      </c>
      <c r="J98" s="8" t="inlineStr"/>
    </row>
    <row r="99">
      <c r="A99" s="9" t="inlineStr">
        <is>
          <t>q20_1_uhc_attrib_other_txt</t>
        </is>
      </c>
      <c r="B99" s="10" t="inlineStr">
        <is>
          <t>20.1. If yes, was it a result of the UHC Act enacted in 2019? — Other (specify) text</t>
        </is>
      </c>
      <c r="C99" s="10" t="inlineStr">
        <is>
          <t>20.1. If yes, was it a result of the UHC Act enacted in 2019? — Other (specify) text</t>
        </is>
      </c>
      <c r="D99" s="10" t="inlineStr"/>
      <c r="E99" s="10" t="inlineStr"/>
      <c r="F99" s="10" t="inlineStr">
        <is>
          <t>C. Universal Health Care (UHC) Implementation</t>
        </is>
      </c>
      <c r="G99" s="10" t="inlineStr">
        <is>
          <t>alpha 120</t>
        </is>
      </c>
      <c r="H99" s="10" t="inlineStr"/>
      <c r="I99" s="10" t="inlineStr"/>
      <c r="J99" s="10" t="inlineStr"/>
    </row>
    <row r="100">
      <c r="A100" s="7" t="inlineStr">
        <is>
          <t>q21_data_submit</t>
        </is>
      </c>
      <c r="B100" s="8" t="inlineStr">
        <is>
          <t>21. Does your facility currently submit health and financial data to the DOH Information System and/or the PhilHealth Dashboard?</t>
        </is>
      </c>
      <c r="C100" s="8" t="inlineStr">
        <is>
          <t>21. Does your facility currently submit health and financial data to the DOH Information System and/or the PhilHealth Dashboard? READ OPTIONS OUT LOUD. SELECT ONE ANSWER ONLY.</t>
        </is>
      </c>
      <c r="D100" s="8" t="inlineStr">
        <is>
          <t>not asked when Q20 EMR_USE = No (2)</t>
        </is>
      </c>
      <c r="E100" s="8">
        <f> 4 (No, we are not submitting these data) → Q24 (skip Q22, Q23)</f>
        <v/>
      </c>
      <c r="F100" s="8" t="inlineStr">
        <is>
          <t>C. Universal Health Care (UHC) Implementation</t>
        </is>
      </c>
      <c r="G100" s="8" t="inlineStr">
        <is>
          <t>numeric 1</t>
        </is>
      </c>
      <c r="H100" s="8" t="inlineStr">
        <is>
          <t>1 = Yes, to DOH Information System only
2 = Yes, to PhilHealth Dashboard only
3 = Yes, to both DOH Information System and PhilHealth Dashboard
4 = No, we are not submitting these data
5 = Other (specify)</t>
        </is>
      </c>
      <c r="I100" s="8" t="inlineStr"/>
      <c r="J100" s="8" t="inlineStr">
        <is>
          <t>[GATE] The DOH-IS fan; reached only when `Q20_EMR_USE = Yes`</t>
        </is>
      </c>
    </row>
    <row r="101">
      <c r="A101" s="9" t="inlineStr">
        <is>
          <t>q21_other_txt</t>
        </is>
      </c>
      <c r="B101" s="10" t="inlineStr">
        <is>
          <t>21. Does your facility currently submit health and financial data to the DOH Information System and/or the PhilHealth Dashboard? — Other (specify) text</t>
        </is>
      </c>
      <c r="C101" s="10" t="inlineStr">
        <is>
          <t>21. Does your facility currently submit health and financial data to the DOH Information System and/or the PhilHealth Dashboard? — Other (specify) text</t>
        </is>
      </c>
      <c r="D101" s="10" t="inlineStr">
        <is>
          <t>not asked when Q20 EMR_USE = No (2)</t>
        </is>
      </c>
      <c r="E101" s="10" t="inlineStr"/>
      <c r="F101" s="10" t="inlineStr">
        <is>
          <t>C. Universal Health Care (UHC) Implementation</t>
        </is>
      </c>
      <c r="G101" s="10" t="inlineStr">
        <is>
          <t>alpha 120</t>
        </is>
      </c>
      <c r="H101" s="10" t="inlineStr"/>
      <c r="I101" s="10" t="inlineStr"/>
      <c r="J101" s="10" t="inlineStr"/>
    </row>
    <row r="102">
      <c r="A102" s="7" t="inlineStr">
        <is>
          <t>q22_data_freq</t>
        </is>
      </c>
      <c r="B102" s="8" t="inlineStr">
        <is>
          <t>22. If yes, how frequently has your facility submit these data?</t>
        </is>
      </c>
      <c r="C102" s="8" t="inlineStr">
        <is>
          <t>22. If yes, how frequently has your facility submit these data?</t>
        </is>
      </c>
      <c r="D102" s="8" t="inlineStr">
        <is>
          <t>not asked when Q20 EMR_USE = No (2)
not asked when Q21 DATA_SUBMIT = 4 (No, we are not submitting these data)</t>
        </is>
      </c>
      <c r="E102" s="8" t="inlineStr"/>
      <c r="F102" s="8" t="inlineStr">
        <is>
          <t>C. Universal Health Care (UHC) Implementation</t>
        </is>
      </c>
      <c r="G102" s="8" t="inlineStr">
        <is>
          <t>numeric 1</t>
        </is>
      </c>
      <c r="H102" s="8" t="inlineStr">
        <is>
          <t>1 = Weekly
2 = Monthly
3 = Quarterly
4 = Semi-annually
5 = Annually
6 = Other (specify)</t>
        </is>
      </c>
      <c r="I102" s="8" t="inlineStr"/>
      <c r="J102" s="8" t="inlineStr">
        <is>
          <t>[GATE] The DOH-IS fan; reached only when `Q20_EMR_USE = Yes`</t>
        </is>
      </c>
    </row>
    <row r="103">
      <c r="A103" s="9" t="inlineStr">
        <is>
          <t>q22_other_txt</t>
        </is>
      </c>
      <c r="B103" s="10" t="inlineStr">
        <is>
          <t>22. If yes, how frequently has your facility submit these data? — Other (specify) text</t>
        </is>
      </c>
      <c r="C103" s="10" t="inlineStr">
        <is>
          <t>22. If yes, how frequently has your facility submit these data? — Other (specify) text</t>
        </is>
      </c>
      <c r="D103" s="10" t="inlineStr">
        <is>
          <t>not asked when Q20 EMR_USE = No (2)
not asked when Q21 DATA_SUBMIT = 4 (No, we are not submitting these data)</t>
        </is>
      </c>
      <c r="E103" s="10" t="inlineStr"/>
      <c r="F103" s="10" t="inlineStr">
        <is>
          <t>C. Universal Health Care (UHC) Implementation</t>
        </is>
      </c>
      <c r="G103" s="10" t="inlineStr">
        <is>
          <t>alpha 120</t>
        </is>
      </c>
      <c r="H103" s="10" t="inlineStr"/>
      <c r="I103" s="10" t="inlineStr"/>
      <c r="J103" s="10" t="inlineStr"/>
    </row>
    <row r="104">
      <c r="A104" s="7" t="inlineStr">
        <is>
          <t>q23_data_reports_used</t>
        </is>
      </c>
      <c r="B104" s="8" t="inlineStr">
        <is>
          <t>23. Which of the submitted reports are actually used for decision-making?</t>
        </is>
      </c>
      <c r="C104" s="8" t="inlineStr">
        <is>
          <t>23. Which of the submitted reports are actually used for decision-making? READ OPTIONS OUT LOUD. SELECT ALL THAT APPLY.</t>
        </is>
      </c>
      <c r="D104" s="8" t="inlineStr">
        <is>
          <t>not asked when Q20 EMR_USE = No (2)
not asked when Q21 DATA_SUBMIT = 4 (No, we are not submitting these data)</t>
        </is>
      </c>
      <c r="E104" s="8" t="inlineStr"/>
      <c r="F104" s="8" t="inlineStr">
        <is>
          <t>C. Universal Health Care (UHC) Implementation</t>
        </is>
      </c>
      <c r="G104" s="8" t="inlineStr">
        <is>
          <t>alpha 24</t>
        </is>
      </c>
      <c r="H104" s="8" t="inlineStr">
        <is>
          <t>01 = OPD/IPD census and morbidity reports
02 = Maternal, newborn, child, and adolescent health (MNCAH) reports
03 = Notifiable diseases / surveillance reports
04 = Expenditure and budget utilization reports
05 = PhilHealth claims and reimbursement reports
06 = YAKAP/Konsulta utilization reports
07 = NBB compliance
08 = ZBB compliance / monitoring reports
09 = HRH staffing and deployment reports
10 = Medicines availability and stock status reports
11 = Facility performance scorecards / quality reports
99 = Other (specify)</t>
        </is>
      </c>
      <c r="I104" s="8" t="inlineStr"/>
      <c r="J104" s="8" t="inlineStr">
        <is>
          <t>[GATE] The DOH-IS fan; reached only when `Q20_EMR_USE = Yes`
[HARD] Check Box, at least one option required (msg 1251)</t>
        </is>
      </c>
    </row>
    <row r="105">
      <c r="A105" s="9" t="inlineStr">
        <is>
          <t>q23_data_reports_used_other_txt</t>
        </is>
      </c>
      <c r="B105" s="10" t="inlineStr">
        <is>
          <t>23. Which of the submitted reports are actually used for decision-making? — Other (specify) text</t>
        </is>
      </c>
      <c r="C105" s="10" t="inlineStr">
        <is>
          <t>23. Which of the submitted reports are actually used for decision-making? — Other (specify) text</t>
        </is>
      </c>
      <c r="D105" s="10" t="inlineStr">
        <is>
          <t>not asked when Q20 EMR_USE = No (2)
not asked when Q21 DATA_SUBMIT = 4 (No, we are not submitting these data)</t>
        </is>
      </c>
      <c r="E105" s="10" t="inlineStr"/>
      <c r="F105" s="10" t="inlineStr">
        <is>
          <t>C. Universal Health Care (UHC) Implementation</t>
        </is>
      </c>
      <c r="G105" s="10" t="inlineStr">
        <is>
          <t>alpha 120</t>
        </is>
      </c>
      <c r="H105" s="10" t="inlineStr"/>
      <c r="I105" s="10" t="inlineStr"/>
      <c r="J105" s="10" t="inlineStr"/>
    </row>
    <row r="106">
      <c r="A106" s="7" t="inlineStr">
        <is>
          <t>q24_staffing_changed</t>
        </is>
      </c>
      <c r="B106" s="8" t="inlineStr">
        <is>
          <t>24. Have there been changes in the facility staffing?</t>
        </is>
      </c>
      <c r="C106" s="8" t="inlineStr">
        <is>
          <t>24. Have there been changes in the facility staffing?</t>
        </is>
      </c>
      <c r="D106" s="8" t="inlineStr"/>
      <c r="E106" s="8">
        <f> No (2) → Q25</f>
        <v/>
      </c>
      <c r="F106" s="8" t="inlineStr">
        <is>
          <t>C. Universal Health Care (UHC) Implementation</t>
        </is>
      </c>
      <c r="G106" s="8" t="inlineStr">
        <is>
          <t>numeric 1</t>
        </is>
      </c>
      <c r="H106" s="8" t="inlineStr">
        <is>
          <t>1 = Yes
2 = No</t>
        </is>
      </c>
      <c r="I106" s="8" t="inlineStr"/>
      <c r="J106" s="8" t="inlineStr"/>
    </row>
    <row r="107">
      <c r="A107" s="9" t="inlineStr">
        <is>
          <t>q24_1_uhc_attrib</t>
        </is>
      </c>
      <c r="B107" s="10" t="inlineStr">
        <is>
          <t>24.1. If yes, was it a result of the UHC Act enacted in 2019?</t>
        </is>
      </c>
      <c r="C107" s="10" t="inlineStr">
        <is>
          <t>24.1. If yes, was it a result of the UHC Act enacted in 2019? SELECT ONE ANSWER ONLY.</t>
        </is>
      </c>
      <c r="D107" s="10" t="inlineStr"/>
      <c r="E107" s="10" t="inlineStr"/>
      <c r="F107" s="10" t="inlineStr">
        <is>
          <t>C. Universal Health Care (UHC) Implementation</t>
        </is>
      </c>
      <c r="G107" s="10" t="inlineStr">
        <is>
          <t>numeric 1</t>
        </is>
      </c>
      <c r="H107"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07" s="10" t="inlineStr">
        <is>
          <t>8 = I don't know</t>
        </is>
      </c>
      <c r="J107" s="10" t="inlineStr"/>
    </row>
    <row r="108">
      <c r="A108" s="7" t="inlineStr">
        <is>
          <t>q24_1_uhc_attrib_other_txt</t>
        </is>
      </c>
      <c r="B108" s="8" t="inlineStr">
        <is>
          <t>24.1. If yes, was it a result of the UHC Act enacted in 2019? — Other (specify) text</t>
        </is>
      </c>
      <c r="C108" s="8" t="inlineStr">
        <is>
          <t>24.1. If yes, was it a result of the UHC Act enacted in 2019? — Other (specify) text</t>
        </is>
      </c>
      <c r="D108" s="8" t="inlineStr"/>
      <c r="E108" s="8" t="inlineStr"/>
      <c r="F108" s="8" t="inlineStr">
        <is>
          <t>C. Universal Health Care (UHC) Implementation</t>
        </is>
      </c>
      <c r="G108" s="8" t="inlineStr">
        <is>
          <t>alpha 120</t>
        </is>
      </c>
      <c r="H108" s="8" t="inlineStr"/>
      <c r="I108" s="8" t="inlineStr"/>
      <c r="J108" s="8" t="inlineStr"/>
    </row>
    <row r="109">
      <c r="A109" s="9" t="inlineStr">
        <is>
          <t>q25_referral_changed</t>
        </is>
      </c>
      <c r="B109" s="10" t="inlineStr">
        <is>
          <t>25. Have there been changes in the referral system in this facility?</t>
        </is>
      </c>
      <c r="C109" s="10" t="inlineStr">
        <is>
          <t>25. Have there been changes in the referral system in this facility?</t>
        </is>
      </c>
      <c r="D109" s="10" t="inlineStr"/>
      <c r="E109" s="10">
        <f> No (2) → Q26</f>
        <v/>
      </c>
      <c r="F109" s="10" t="inlineStr">
        <is>
          <t>C. Universal Health Care (UHC) Implementation</t>
        </is>
      </c>
      <c r="G109" s="10" t="inlineStr">
        <is>
          <t>numeric 1</t>
        </is>
      </c>
      <c r="H109" s="10" t="inlineStr">
        <is>
          <t>1 = Yes
2 = No</t>
        </is>
      </c>
      <c r="I109" s="10" t="inlineStr"/>
      <c r="J109" s="10" t="inlineStr"/>
    </row>
    <row r="110">
      <c r="A110" s="7" t="inlineStr">
        <is>
          <t>q25_1_uhc_attrib</t>
        </is>
      </c>
      <c r="B110" s="8" t="inlineStr">
        <is>
          <t>25.1. If yes, was it a result of the UHC Act enacted in 2019?</t>
        </is>
      </c>
      <c r="C110" s="8" t="inlineStr">
        <is>
          <t>25.1. If yes, was it a result of the UHC Act enacted in 2019? SELECT ONE ANSWER ONLY.</t>
        </is>
      </c>
      <c r="D110" s="8" t="inlineStr"/>
      <c r="E110" s="8" t="inlineStr"/>
      <c r="F110" s="8" t="inlineStr">
        <is>
          <t>C. Universal Health Care (UHC) Implementation</t>
        </is>
      </c>
      <c r="G110" s="8" t="inlineStr">
        <is>
          <t>numeric 1</t>
        </is>
      </c>
      <c r="H110"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10" s="8" t="inlineStr">
        <is>
          <t>8 = I don't know</t>
        </is>
      </c>
      <c r="J110" s="8" t="inlineStr"/>
    </row>
    <row r="111">
      <c r="A111" s="9" t="inlineStr">
        <is>
          <t>q25_1_uhc_attrib_other_txt</t>
        </is>
      </c>
      <c r="B111" s="10" t="inlineStr">
        <is>
          <t>25.1. If yes, was it a result of the UHC Act enacted in 2019? — Other (specify) text</t>
        </is>
      </c>
      <c r="C111" s="10" t="inlineStr">
        <is>
          <t>25.1. If yes, was it a result of the UHC Act enacted in 2019? — Other (specify) text</t>
        </is>
      </c>
      <c r="D111" s="10" t="inlineStr"/>
      <c r="E111" s="10" t="inlineStr"/>
      <c r="F111" s="10" t="inlineStr">
        <is>
          <t>C. Universal Health Care (UHC) Implementation</t>
        </is>
      </c>
      <c r="G111" s="10" t="inlineStr">
        <is>
          <t>alpha 120</t>
        </is>
      </c>
      <c r="H111" s="10" t="inlineStr"/>
      <c r="I111" s="10" t="inlineStr"/>
      <c r="J111" s="10" t="inlineStr"/>
    </row>
    <row r="112">
      <c r="A112" s="7" t="inlineStr">
        <is>
          <t>q26_mou_moa</t>
        </is>
      </c>
      <c r="B112" s="8" t="inlineStr">
        <is>
          <t>26. Does this facility has MoU/MoA with other health facilities apart of the healthcare provider network?</t>
        </is>
      </c>
      <c r="C112" s="8" t="inlineStr">
        <is>
          <t>26. Does this facility has MoU/MoA with other health facilities apart of the healthcare provider network?</t>
        </is>
      </c>
      <c r="D112" s="8" t="inlineStr"/>
      <c r="E112" s="8">
        <f> No (2) → Q27</f>
        <v/>
      </c>
      <c r="F112" s="8" t="inlineStr">
        <is>
          <t>C. Universal Health Care (UHC) Implementation</t>
        </is>
      </c>
      <c r="G112" s="8" t="inlineStr">
        <is>
          <t>numeric 1</t>
        </is>
      </c>
      <c r="H112" s="8" t="inlineStr">
        <is>
          <t>1 = Yes
2 = No</t>
        </is>
      </c>
      <c r="I112" s="8" t="inlineStr"/>
      <c r="J112" s="8" t="inlineStr"/>
    </row>
    <row r="113">
      <c r="A113" s="9" t="inlineStr">
        <is>
          <t>q26_1_uhc_attrib</t>
        </is>
      </c>
      <c r="B113" s="10" t="inlineStr">
        <is>
          <t>26.1. If yes, was it a result of the UHC Act enacted in 2019?</t>
        </is>
      </c>
      <c r="C113" s="10" t="inlineStr">
        <is>
          <t>26.1. If yes, was it a result of the UHC Act enacted in 2019? SELECT ONE ANSWER ONLY.</t>
        </is>
      </c>
      <c r="D113" s="10" t="inlineStr"/>
      <c r="E113" s="10" t="inlineStr"/>
      <c r="F113" s="10" t="inlineStr">
        <is>
          <t>C. Universal Health Care (UHC) Implementation</t>
        </is>
      </c>
      <c r="G113" s="10" t="inlineStr">
        <is>
          <t>numeric 1</t>
        </is>
      </c>
      <c r="H113"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13" s="10" t="inlineStr">
        <is>
          <t>8 = I don't know</t>
        </is>
      </c>
      <c r="J113" s="10" t="inlineStr"/>
    </row>
    <row r="114">
      <c r="A114" s="7" t="inlineStr">
        <is>
          <t>q26_1_uhc_attrib_other_txt</t>
        </is>
      </c>
      <c r="B114" s="8" t="inlineStr">
        <is>
          <t>26.1. If yes, was it a result of the UHC Act enacted in 2019? — Other (specify) text</t>
        </is>
      </c>
      <c r="C114" s="8" t="inlineStr">
        <is>
          <t>26.1. If yes, was it a result of the UHC Act enacted in 2019? — Other (specify) text</t>
        </is>
      </c>
      <c r="D114" s="8" t="inlineStr"/>
      <c r="E114" s="8" t="inlineStr"/>
      <c r="F114" s="8" t="inlineStr">
        <is>
          <t>C. Universal Health Care (UHC) Implementation</t>
        </is>
      </c>
      <c r="G114" s="8" t="inlineStr">
        <is>
          <t>alpha 120</t>
        </is>
      </c>
      <c r="H114" s="8" t="inlineStr"/>
      <c r="I114" s="8" t="inlineStr"/>
      <c r="J114" s="8" t="inlineStr"/>
    </row>
    <row r="115">
      <c r="A115" s="9" t="inlineStr">
        <is>
          <t>q27_nbb</t>
        </is>
      </c>
      <c r="B115" s="10" t="inlineStr">
        <is>
          <t>27. Does this facility implement No Balance Billing (NBB)?</t>
        </is>
      </c>
      <c r="C115" s="10" t="inlineStr">
        <is>
          <t>27. Does this facility implement No Balance Billing (NBB)?</t>
        </is>
      </c>
      <c r="D115" s="10" t="inlineStr"/>
      <c r="E115" s="10">
        <f> No (2) → Q28</f>
        <v/>
      </c>
      <c r="F115" s="10" t="inlineStr">
        <is>
          <t>C. Universal Health Care (UHC) Implementation</t>
        </is>
      </c>
      <c r="G115" s="10" t="inlineStr">
        <is>
          <t>numeric 1</t>
        </is>
      </c>
      <c r="H115" s="10" t="inlineStr">
        <is>
          <t>1 = Yes
2 = No</t>
        </is>
      </c>
      <c r="I115" s="10" t="inlineStr"/>
      <c r="J115" s="10" t="inlineStr"/>
    </row>
    <row r="116">
      <c r="A116" s="7" t="inlineStr">
        <is>
          <t>q27_1_uhc_attrib</t>
        </is>
      </c>
      <c r="B116" s="8" t="inlineStr">
        <is>
          <t>27.1. If yes, was it a result of the UHC Act enacted in 2019?</t>
        </is>
      </c>
      <c r="C116" s="8" t="inlineStr">
        <is>
          <t>27.1. If yes, was it a result of the UHC Act enacted in 2019? SELECT ONE ANSWER ONLY.</t>
        </is>
      </c>
      <c r="D116" s="8" t="inlineStr"/>
      <c r="E116" s="8" t="inlineStr"/>
      <c r="F116" s="8" t="inlineStr">
        <is>
          <t>C. Universal Health Care (UHC) Implementation</t>
        </is>
      </c>
      <c r="G116" s="8" t="inlineStr">
        <is>
          <t>numeric 1</t>
        </is>
      </c>
      <c r="H116" s="8" t="inlineStr">
        <is>
          <t>1 = Implemented as a direct result of the UHC Act
2 = Pre-existing prior to UHC but subsequently enhanced or expanded due to UHC Act
3 = Newly implemented or improved independent of UHC Act
5 = Other (specify)</t>
        </is>
      </c>
      <c r="I116" s="8" t="inlineStr">
        <is>
          <t>8 = I don't know</t>
        </is>
      </c>
      <c r="J116" s="8" t="inlineStr"/>
    </row>
    <row r="117">
      <c r="A117" s="9" t="inlineStr">
        <is>
          <t>q27_1_uhc_attrib_other_txt</t>
        </is>
      </c>
      <c r="B117" s="10" t="inlineStr">
        <is>
          <t>27.1. If yes, was it a result of the UHC Act enacted in 2019? — Other (specify) text</t>
        </is>
      </c>
      <c r="C117" s="10" t="inlineStr">
        <is>
          <t>27.1. If yes, was it a result of the UHC Act enacted in 2019? — Other (specify) text</t>
        </is>
      </c>
      <c r="D117" s="10" t="inlineStr"/>
      <c r="E117" s="10" t="inlineStr"/>
      <c r="F117" s="10" t="inlineStr">
        <is>
          <t>C. Universal Health Care (UHC) Implementation</t>
        </is>
      </c>
      <c r="G117" s="10" t="inlineStr">
        <is>
          <t>alpha 120</t>
        </is>
      </c>
      <c r="H117" s="10" t="inlineStr"/>
      <c r="I117" s="10" t="inlineStr"/>
      <c r="J117" s="10" t="inlineStr"/>
    </row>
    <row r="118">
      <c r="A118" s="7" t="inlineStr">
        <is>
          <t>q28_zbb</t>
        </is>
      </c>
      <c r="B118" s="8" t="inlineStr">
        <is>
          <t>28. Does this facility implement Zero Balance Billing (ZBB)?</t>
        </is>
      </c>
      <c r="C118" s="8" t="inlineStr">
        <is>
          <t>28. Does this facility implement Zero Balance Billing (ZBB)?</t>
        </is>
      </c>
      <c r="D118" s="8" t="inlineStr"/>
      <c r="E118" s="8">
        <f> No (2) → Q29</f>
        <v/>
      </c>
      <c r="F118" s="8" t="inlineStr">
        <is>
          <t>C. Universal Health Care (UHC) Implementation</t>
        </is>
      </c>
      <c r="G118" s="8" t="inlineStr">
        <is>
          <t>numeric 1</t>
        </is>
      </c>
      <c r="H118" s="8" t="inlineStr">
        <is>
          <t>1 = Yes
2 = No</t>
        </is>
      </c>
      <c r="I118" s="8" t="inlineStr"/>
      <c r="J118" s="8" t="inlineStr"/>
    </row>
    <row r="119">
      <c r="A119" s="9" t="inlineStr">
        <is>
          <t>q28_1_uhc_attrib</t>
        </is>
      </c>
      <c r="B119" s="10" t="inlineStr">
        <is>
          <t>28.1. If yes, was it a result of the UHC Act enacted in 2019?</t>
        </is>
      </c>
      <c r="C119" s="10" t="inlineStr">
        <is>
          <t>28.1. If yes, was it a result of the UHC Act enacted in 2019? SELECT ONE ANSWER ONLY.</t>
        </is>
      </c>
      <c r="D119" s="10" t="inlineStr"/>
      <c r="E119" s="10" t="inlineStr"/>
      <c r="F119" s="10" t="inlineStr">
        <is>
          <t>C. Universal Health Care (UHC) Implementation</t>
        </is>
      </c>
      <c r="G119" s="10" t="inlineStr">
        <is>
          <t>numeric 1</t>
        </is>
      </c>
      <c r="H119" s="10" t="inlineStr">
        <is>
          <t>1 = Implemented as a direct result of the UHC Act
2 = Pre-existing prior to UHC but subsequently enhanced or expanded due to UHC Act
3 = Newly implemented or improved independent of UHC Act
5 = Other (specify)</t>
        </is>
      </c>
      <c r="I119" s="10" t="inlineStr">
        <is>
          <t>8 = I don't know</t>
        </is>
      </c>
      <c r="J119" s="10" t="inlineStr"/>
    </row>
    <row r="120">
      <c r="A120" s="7" t="inlineStr">
        <is>
          <t>q28_1_uhc_attrib_other_txt</t>
        </is>
      </c>
      <c r="B120" s="8" t="inlineStr">
        <is>
          <t>28.1. If yes, was it a result of the UHC Act enacted in 2019? — Other (specify) text</t>
        </is>
      </c>
      <c r="C120" s="8" t="inlineStr">
        <is>
          <t>28.1. If yes, was it a result of the UHC Act enacted in 2019? — Other (specify) text</t>
        </is>
      </c>
      <c r="D120" s="8" t="inlineStr"/>
      <c r="E120" s="8" t="inlineStr"/>
      <c r="F120" s="8" t="inlineStr">
        <is>
          <t>C. Universal Health Care (UHC) Implementation</t>
        </is>
      </c>
      <c r="G120" s="8" t="inlineStr">
        <is>
          <t>alpha 120</t>
        </is>
      </c>
      <c r="H120" s="8" t="inlineStr"/>
      <c r="I120" s="8" t="inlineStr"/>
      <c r="J120" s="8" t="inlineStr"/>
    </row>
    <row r="121">
      <c r="A121" s="9" t="inlineStr">
        <is>
          <t>q29_no_copay</t>
        </is>
      </c>
      <c r="B121" s="10" t="inlineStr">
        <is>
          <t>29. Does this facility implement no co-payment policy?</t>
        </is>
      </c>
      <c r="C121" s="10" t="inlineStr">
        <is>
          <t>29. Does this facility implement no co-payment policy?</t>
        </is>
      </c>
      <c r="D121" s="10" t="inlineStr"/>
      <c r="E121" s="10">
        <f> No (2) → Q30</f>
        <v/>
      </c>
      <c r="F121" s="10" t="inlineStr">
        <is>
          <t>C. Universal Health Care (UHC) Implementation</t>
        </is>
      </c>
      <c r="G121" s="10" t="inlineStr">
        <is>
          <t>numeric 1</t>
        </is>
      </c>
      <c r="H121" s="10" t="inlineStr">
        <is>
          <t>1 = Yes
2 = No</t>
        </is>
      </c>
      <c r="I121" s="10" t="inlineStr"/>
      <c r="J121" s="10" t="inlineStr"/>
    </row>
    <row r="122">
      <c r="A122" s="7" t="inlineStr">
        <is>
          <t>q29_1_uhc_attrib</t>
        </is>
      </c>
      <c r="B122" s="8" t="inlineStr">
        <is>
          <t>29.1. If yes, was it a result of the UHC Act enacted in 2019?</t>
        </is>
      </c>
      <c r="C122" s="8" t="inlineStr">
        <is>
          <t>29.1. If yes, was it a result of the UHC Act enacted in 2019? SELECT ONE ANSWER ONLY.</t>
        </is>
      </c>
      <c r="D122" s="8" t="inlineStr"/>
      <c r="E122" s="8" t="inlineStr"/>
      <c r="F122" s="8" t="inlineStr">
        <is>
          <t>C. Universal Health Care (UHC) Implementation</t>
        </is>
      </c>
      <c r="G122" s="8" t="inlineStr">
        <is>
          <t>numeric 1</t>
        </is>
      </c>
      <c r="H122" s="8" t="inlineStr">
        <is>
          <t>1 = Implemented as a direct result of the UHC Act
2 = Pre-existing prior to UHC but subsequently enhanced or expanded due to UHC Act
3 = Newly implemented or improved independent of UHC Act
5 = Other (specify)</t>
        </is>
      </c>
      <c r="I122" s="8" t="inlineStr">
        <is>
          <t>8 = I don't know</t>
        </is>
      </c>
      <c r="J122" s="8" t="inlineStr"/>
    </row>
    <row r="123">
      <c r="A123" s="9" t="inlineStr">
        <is>
          <t>q29_1_uhc_attrib_other_txt</t>
        </is>
      </c>
      <c r="B123" s="10" t="inlineStr">
        <is>
          <t>29.1. If yes, was it a result of the UHC Act enacted in 2019? — Other (specify) text</t>
        </is>
      </c>
      <c r="C123" s="10" t="inlineStr">
        <is>
          <t>29.1. If yes, was it a result of the UHC Act enacted in 2019? — Other (specify) text</t>
        </is>
      </c>
      <c r="D123" s="10" t="inlineStr"/>
      <c r="E123" s="10" t="inlineStr"/>
      <c r="F123" s="10" t="inlineStr">
        <is>
          <t>C. Universal Health Care (UHC) Implementation</t>
        </is>
      </c>
      <c r="G123" s="10" t="inlineStr">
        <is>
          <t>alpha 120</t>
        </is>
      </c>
      <c r="H123" s="10" t="inlineStr"/>
      <c r="I123" s="10" t="inlineStr"/>
      <c r="J123" s="10" t="inlineStr"/>
    </row>
    <row r="124">
      <c r="A124" s="7" t="inlineStr">
        <is>
          <t>q30_ward_alloc</t>
        </is>
      </c>
      <c r="B124" s="8" t="inlineStr">
        <is>
          <t>30. Does this facility implement ward accommodation allocation?</t>
        </is>
      </c>
      <c r="C124" s="8" t="inlineStr">
        <is>
          <t>30. Does this facility implement ward accommodation allocation?</t>
        </is>
      </c>
      <c r="D124" s="8" t="inlineStr"/>
      <c r="E124" s="8">
        <f> No (2) → Q31</f>
        <v/>
      </c>
      <c r="F124" s="8" t="inlineStr">
        <is>
          <t>C. Universal Health Care (UHC) Implementation</t>
        </is>
      </c>
      <c r="G124" s="8" t="inlineStr">
        <is>
          <t>numeric 1</t>
        </is>
      </c>
      <c r="H124" s="8" t="inlineStr">
        <is>
          <t>1 = Yes
2 = No</t>
        </is>
      </c>
      <c r="I124" s="8" t="inlineStr"/>
      <c r="J124" s="8" t="inlineStr"/>
    </row>
    <row r="125">
      <c r="A125" s="9" t="inlineStr">
        <is>
          <t>q30_1_uhc_attrib</t>
        </is>
      </c>
      <c r="B125" s="10" t="inlineStr">
        <is>
          <t>30.1. If yes, was it a result of the UHC Act enacted in 2019? (Under UHC, basic ward allocation is as follows: 90% for government general hospitals; 70% for government specialty hospitals, and 10% for private hospitals.)</t>
        </is>
      </c>
      <c r="C125" s="10" t="inlineStr">
        <is>
          <t>30.1. If yes, was it a result of the UHC Act enacted in 2019? (Under UHC, basic ward allocation is as follows: 90% for government general hospitals; 70% for government specialty hospitals, and 10% for private hospitals.) SELECT ONE ANSWER ONLY.</t>
        </is>
      </c>
      <c r="D125" s="10" t="inlineStr"/>
      <c r="E125" s="10" t="inlineStr"/>
      <c r="F125" s="10" t="inlineStr">
        <is>
          <t>C. Universal Health Care (UHC) Implementation</t>
        </is>
      </c>
      <c r="G125" s="10" t="inlineStr">
        <is>
          <t>numeric 1</t>
        </is>
      </c>
      <c r="H125"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25" s="10" t="inlineStr">
        <is>
          <t>8 = I don't know</t>
        </is>
      </c>
      <c r="J125" s="10" t="inlineStr"/>
    </row>
    <row r="126">
      <c r="A126" s="7" t="inlineStr">
        <is>
          <t>q30_1_uhc_attrib_other_txt</t>
        </is>
      </c>
      <c r="B126" s="8" t="inlineStr">
        <is>
          <t>30.1. If yes, was it a result of the UHC Act enacted in 2019? (Under UHC, basic ward allocation is as follows: 90% for government general hospitals; 70% for government specialty hospitals, and 10% for private hospitals.) — Other (specify) text</t>
        </is>
      </c>
      <c r="C126" s="8" t="inlineStr">
        <is>
          <t>30.1. If yes, was it a result of the UHC Act enacted in 2019? (Under UHC, basic ward allocation is as follows: 90% for government general hospitals; 70% for government specialty hospitals, and 10% for private hospitals.) — Other (specify) text</t>
        </is>
      </c>
      <c r="D126" s="8" t="inlineStr"/>
      <c r="E126" s="8" t="inlineStr"/>
      <c r="F126" s="8" t="inlineStr">
        <is>
          <t>C. Universal Health Care (UHC) Implementation</t>
        </is>
      </c>
      <c r="G126" s="8" t="inlineStr">
        <is>
          <t>alpha 120</t>
        </is>
      </c>
      <c r="H126" s="8" t="inlineStr"/>
      <c r="I126" s="8" t="inlineStr"/>
      <c r="J126" s="8" t="inlineStr"/>
    </row>
    <row r="127">
      <c r="A127" s="9" t="inlineStr">
        <is>
          <t>q31_cpg</t>
        </is>
      </c>
      <c r="B127" s="10" t="inlineStr">
        <is>
          <t>31. Has there been an improvement in the clinical practice guidelines of this facility?</t>
        </is>
      </c>
      <c r="C127" s="10" t="inlineStr">
        <is>
          <t>31. Has there been an improvement in the clinical practice guidelines of this facility?</t>
        </is>
      </c>
      <c r="D127" s="10" t="inlineStr"/>
      <c r="E127" s="10">
        <f> No (2) → Q32</f>
        <v/>
      </c>
      <c r="F127" s="10" t="inlineStr">
        <is>
          <t>C. Universal Health Care (UHC) Implementation</t>
        </is>
      </c>
      <c r="G127" s="10" t="inlineStr">
        <is>
          <t>numeric 1</t>
        </is>
      </c>
      <c r="H127" s="10" t="inlineStr">
        <is>
          <t>1 = Yes
2 = No</t>
        </is>
      </c>
      <c r="I127" s="10" t="inlineStr"/>
      <c r="J127" s="10" t="inlineStr"/>
    </row>
    <row r="128">
      <c r="A128" s="7" t="inlineStr">
        <is>
          <t>q31_1_uhc_attrib</t>
        </is>
      </c>
      <c r="B128" s="8" t="inlineStr">
        <is>
          <t>31.1. If yes, was it a result of the UHC Act enacted in 2019?</t>
        </is>
      </c>
      <c r="C128" s="8" t="inlineStr">
        <is>
          <t>31.1. If yes, was it a result of the UHC Act enacted in 2019? SELECT ONE ANSWER ONLY.</t>
        </is>
      </c>
      <c r="D128" s="8" t="inlineStr"/>
      <c r="E128" s="8" t="inlineStr"/>
      <c r="F128" s="8" t="inlineStr">
        <is>
          <t>C. Universal Health Care (UHC) Implementation</t>
        </is>
      </c>
      <c r="G128" s="8" t="inlineStr">
        <is>
          <t>numeric 1</t>
        </is>
      </c>
      <c r="H128"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28" s="8" t="inlineStr">
        <is>
          <t>8 = I don't know</t>
        </is>
      </c>
      <c r="J128" s="8" t="inlineStr"/>
    </row>
    <row r="129">
      <c r="A129" s="9" t="inlineStr">
        <is>
          <t>q31_1_uhc_attrib_other_txt</t>
        </is>
      </c>
      <c r="B129" s="10" t="inlineStr">
        <is>
          <t>31.1. If yes, was it a result of the UHC Act enacted in 2019? — Other (specify) text</t>
        </is>
      </c>
      <c r="C129" s="10" t="inlineStr">
        <is>
          <t>31.1. If yes, was it a result of the UHC Act enacted in 2019? — Other (specify) text</t>
        </is>
      </c>
      <c r="D129" s="10" t="inlineStr"/>
      <c r="E129" s="10" t="inlineStr"/>
      <c r="F129" s="10" t="inlineStr">
        <is>
          <t>C. Universal Health Care (UHC) Implementation</t>
        </is>
      </c>
      <c r="G129" s="10" t="inlineStr">
        <is>
          <t>alpha 120</t>
        </is>
      </c>
      <c r="H129" s="10" t="inlineStr"/>
      <c r="I129" s="10" t="inlineStr"/>
      <c r="J129" s="10" t="inlineStr"/>
    </row>
    <row r="130">
      <c r="A130" s="7" t="inlineStr">
        <is>
          <t>q32_doh_lic_std</t>
        </is>
      </c>
      <c r="B130" s="8" t="inlineStr">
        <is>
          <t>32. Does this facility implement DOH licensing standards?</t>
        </is>
      </c>
      <c r="C130" s="8" t="inlineStr">
        <is>
          <t>32. Does this facility implement DOH licensing standards?</t>
        </is>
      </c>
      <c r="D130" s="8" t="inlineStr"/>
      <c r="E130" s="8">
        <f> No (2) → Q33</f>
        <v/>
      </c>
      <c r="F130" s="8" t="inlineStr">
        <is>
          <t>C. Universal Health Care (UHC) Implementation</t>
        </is>
      </c>
      <c r="G130" s="8" t="inlineStr">
        <is>
          <t>numeric 1</t>
        </is>
      </c>
      <c r="H130" s="8" t="inlineStr">
        <is>
          <t>1 = Yes
2 = No</t>
        </is>
      </c>
      <c r="I130" s="8" t="inlineStr"/>
      <c r="J130" s="8" t="inlineStr"/>
    </row>
    <row r="131">
      <c r="A131" s="9" t="inlineStr">
        <is>
          <t>q32_1_uhc_attrib</t>
        </is>
      </c>
      <c r="B131" s="10" t="inlineStr">
        <is>
          <t>32.1. If yes, was it a result of the UHC Act enacted in 2019?</t>
        </is>
      </c>
      <c r="C131" s="10" t="inlineStr">
        <is>
          <t>32.1. If yes, was it a result of the UHC Act enacted in 2019? SELECT ONE ANSWER ONLY.</t>
        </is>
      </c>
      <c r="D131" s="10" t="inlineStr"/>
      <c r="E131" s="10" t="inlineStr"/>
      <c r="F131" s="10" t="inlineStr">
        <is>
          <t>C. Universal Health Care (UHC) Implementation</t>
        </is>
      </c>
      <c r="G131" s="10" t="inlineStr">
        <is>
          <t>numeric 1</t>
        </is>
      </c>
      <c r="H131"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31" s="10" t="inlineStr">
        <is>
          <t>8 = I don't know</t>
        </is>
      </c>
      <c r="J131" s="10" t="inlineStr"/>
    </row>
    <row r="132">
      <c r="A132" s="7" t="inlineStr">
        <is>
          <t>q32_1_uhc_attrib_other_txt</t>
        </is>
      </c>
      <c r="B132" s="8" t="inlineStr">
        <is>
          <t>32.1. If yes, was it a result of the UHC Act enacted in 2019? — Other (specify) text</t>
        </is>
      </c>
      <c r="C132" s="8" t="inlineStr">
        <is>
          <t>32.1. If yes, was it a result of the UHC Act enacted in 2019? — Other (specify) text</t>
        </is>
      </c>
      <c r="D132" s="8" t="inlineStr"/>
      <c r="E132" s="8" t="inlineStr"/>
      <c r="F132" s="8" t="inlineStr">
        <is>
          <t>C. Universal Health Care (UHC) Implementation</t>
        </is>
      </c>
      <c r="G132" s="8" t="inlineStr">
        <is>
          <t>alpha 120</t>
        </is>
      </c>
      <c r="H132" s="8" t="inlineStr"/>
      <c r="I132" s="8" t="inlineStr"/>
      <c r="J132" s="8" t="inlineStr"/>
    </row>
    <row r="133">
      <c r="A133" s="9" t="inlineStr">
        <is>
          <t>q33_phic_accred</t>
        </is>
      </c>
      <c r="B133" s="10" t="inlineStr">
        <is>
          <t>33. Does this facility implement PhilHealth accreditation requirements?</t>
        </is>
      </c>
      <c r="C133" s="10" t="inlineStr">
        <is>
          <t>33. Does this facility implement PhilHealth accreditation requirements?</t>
        </is>
      </c>
      <c r="D133" s="10" t="inlineStr"/>
      <c r="E133" s="10">
        <f> No (2) → Q34</f>
        <v/>
      </c>
      <c r="F133" s="10" t="inlineStr">
        <is>
          <t>C. Universal Health Care (UHC) Implementation</t>
        </is>
      </c>
      <c r="G133" s="10" t="inlineStr">
        <is>
          <t>numeric 1</t>
        </is>
      </c>
      <c r="H133" s="10" t="inlineStr">
        <is>
          <t>1 = Yes
2 = No</t>
        </is>
      </c>
      <c r="I133" s="10" t="inlineStr"/>
      <c r="J133" s="10" t="inlineStr"/>
    </row>
    <row r="134">
      <c r="A134" s="7" t="inlineStr">
        <is>
          <t>q33_1_uhc_attrib</t>
        </is>
      </c>
      <c r="B134" s="8" t="inlineStr">
        <is>
          <t>33.1. If yes, was it a result of the UHC Act enacted in 2019?</t>
        </is>
      </c>
      <c r="C134" s="8" t="inlineStr">
        <is>
          <t>33.1. If yes, was it a result of the UHC Act enacted in 2019? SELECT ONE ANSWER ONLY.</t>
        </is>
      </c>
      <c r="D134" s="8" t="inlineStr"/>
      <c r="E134" s="8" t="inlineStr"/>
      <c r="F134" s="8" t="inlineStr">
        <is>
          <t>C. Universal Health Care (UHC) Implementation</t>
        </is>
      </c>
      <c r="G134" s="8" t="inlineStr">
        <is>
          <t>numeric 1</t>
        </is>
      </c>
      <c r="H134"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34" s="8" t="inlineStr">
        <is>
          <t>8 = I don't know</t>
        </is>
      </c>
      <c r="J134" s="8" t="inlineStr"/>
    </row>
    <row r="135">
      <c r="A135" s="9" t="inlineStr">
        <is>
          <t>q33_1_uhc_attrib_other_txt</t>
        </is>
      </c>
      <c r="B135" s="10" t="inlineStr">
        <is>
          <t>33.1. If yes, was it a result of the UHC Act enacted in 2019? — Other (specify) text</t>
        </is>
      </c>
      <c r="C135" s="10" t="inlineStr">
        <is>
          <t>33.1. If yes, was it a result of the UHC Act enacted in 2019? — Other (specify) text</t>
        </is>
      </c>
      <c r="D135" s="10" t="inlineStr"/>
      <c r="E135" s="10" t="inlineStr"/>
      <c r="F135" s="10" t="inlineStr">
        <is>
          <t>C. Universal Health Care (UHC) Implementation</t>
        </is>
      </c>
      <c r="G135" s="10" t="inlineStr">
        <is>
          <t>alpha 120</t>
        </is>
      </c>
      <c r="H135" s="10" t="inlineStr"/>
      <c r="I135" s="10" t="inlineStr"/>
      <c r="J135" s="10" t="inlineStr"/>
    </row>
    <row r="136">
      <c r="A136" s="7" t="inlineStr">
        <is>
          <t>q34_svc_delivery_prot</t>
        </is>
      </c>
      <c r="B136" s="8" t="inlineStr">
        <is>
          <t>34. Does this facility implement service delivery protocols?</t>
        </is>
      </c>
      <c r="C136" s="8" t="inlineStr">
        <is>
          <t>34. Does this facility implement service delivery protocols?</t>
        </is>
      </c>
      <c r="D136" s="8" t="inlineStr"/>
      <c r="E136" s="8">
        <f> No (2) → Q35</f>
        <v/>
      </c>
      <c r="F136" s="8" t="inlineStr">
        <is>
          <t>C. Universal Health Care (UHC) Implementation</t>
        </is>
      </c>
      <c r="G136" s="8" t="inlineStr">
        <is>
          <t>numeric 1</t>
        </is>
      </c>
      <c r="H136" s="8" t="inlineStr">
        <is>
          <t>1 = Yes
2 = No</t>
        </is>
      </c>
      <c r="I136" s="8" t="inlineStr"/>
      <c r="J136" s="8" t="inlineStr"/>
    </row>
    <row r="137">
      <c r="A137" s="9" t="inlineStr">
        <is>
          <t>q34_1_uhc_attrib</t>
        </is>
      </c>
      <c r="B137" s="10" t="inlineStr">
        <is>
          <t>34.1. If yes, was it a result of the UHC Act enacted in 2019?</t>
        </is>
      </c>
      <c r="C137" s="10" t="inlineStr">
        <is>
          <t>34.1. If yes, was it a result of the UHC Act enacted in 2019? SELECT ONE ANSWER ONLY.</t>
        </is>
      </c>
      <c r="D137" s="10" t="inlineStr"/>
      <c r="E137" s="10" t="inlineStr"/>
      <c r="F137" s="10" t="inlineStr">
        <is>
          <t>C. Universal Health Care (UHC) Implementation</t>
        </is>
      </c>
      <c r="G137" s="10" t="inlineStr">
        <is>
          <t>numeric 1</t>
        </is>
      </c>
      <c r="H137" s="10"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37" s="10" t="inlineStr">
        <is>
          <t>8 = I don't know</t>
        </is>
      </c>
      <c r="J137" s="10" t="inlineStr"/>
    </row>
    <row r="138">
      <c r="A138" s="7" t="inlineStr">
        <is>
          <t>q34_1_uhc_attrib_other_txt</t>
        </is>
      </c>
      <c r="B138" s="8" t="inlineStr">
        <is>
          <t>34.1. If yes, was it a result of the UHC Act enacted in 2019? — Other (specify) text</t>
        </is>
      </c>
      <c r="C138" s="8" t="inlineStr">
        <is>
          <t>34.1. If yes, was it a result of the UHC Act enacted in 2019? — Other (specify) text</t>
        </is>
      </c>
      <c r="D138" s="8" t="inlineStr"/>
      <c r="E138" s="8" t="inlineStr"/>
      <c r="F138" s="8" t="inlineStr">
        <is>
          <t>C. Universal Health Care (UHC) Implementation</t>
        </is>
      </c>
      <c r="G138" s="8" t="inlineStr">
        <is>
          <t>alpha 120</t>
        </is>
      </c>
      <c r="H138" s="8" t="inlineStr"/>
      <c r="I138" s="8" t="inlineStr"/>
      <c r="J138" s="8" t="inlineStr"/>
    </row>
    <row r="139">
      <c r="A139" s="9" t="inlineStr">
        <is>
          <t>q35_pcqm</t>
        </is>
      </c>
      <c r="B139" s="10" t="inlineStr">
        <is>
          <t>35. Does this facility implement primary care quality measures?</t>
        </is>
      </c>
      <c r="C139" s="10" t="inlineStr">
        <is>
          <t>35. Does this facility implement primary care quality measures?</t>
        </is>
      </c>
      <c r="D139" s="10" t="inlineStr"/>
      <c r="E139" s="10">
        <f> No (2) → Q36</f>
        <v/>
      </c>
      <c r="F139" s="10" t="inlineStr">
        <is>
          <t>C. Universal Health Care (UHC) Implementation</t>
        </is>
      </c>
      <c r="G139" s="10" t="inlineStr">
        <is>
          <t>numeric 1</t>
        </is>
      </c>
      <c r="H139" s="10" t="inlineStr">
        <is>
          <t>1 = Yes
2 = No</t>
        </is>
      </c>
      <c r="I139" s="10" t="inlineStr"/>
      <c r="J139" s="10" t="inlineStr"/>
    </row>
    <row r="140">
      <c r="A140" s="7" t="inlineStr">
        <is>
          <t>q35_1_uhc_attrib</t>
        </is>
      </c>
      <c r="B140" s="8" t="inlineStr">
        <is>
          <t>35.1. If yes, was it a result of the UHC Act enacted in 2019?</t>
        </is>
      </c>
      <c r="C140" s="8" t="inlineStr">
        <is>
          <t>35.1. If yes, was it a result of the UHC Act enacted in 2019? SELECT ONE ANSWER ONLY.</t>
        </is>
      </c>
      <c r="D140" s="8" t="inlineStr"/>
      <c r="E140" s="8" t="inlineStr"/>
      <c r="F140" s="8" t="inlineStr">
        <is>
          <t>C. Universal Health Care (UHC) Implementation</t>
        </is>
      </c>
      <c r="G140" s="8" t="inlineStr">
        <is>
          <t>numeric 1</t>
        </is>
      </c>
      <c r="H140" s="8" t="inlineStr">
        <is>
          <t>1 = Implemented as a direct result of the UHC Act
2 = Pre-existing prior to UHC but subsequently enhanced or expanded due to UHC Act
3 = Newly implemented or improved independent of UHC Act
4 = Not yet implemented but planned within the next 1-2 years
5 = Other (specify)</t>
        </is>
      </c>
      <c r="I140" s="8" t="inlineStr">
        <is>
          <t>8 = I don't know</t>
        </is>
      </c>
      <c r="J140" s="8" t="inlineStr"/>
    </row>
    <row r="141">
      <c r="A141" s="9" t="inlineStr">
        <is>
          <t>q35_1_uhc_attrib_other_txt</t>
        </is>
      </c>
      <c r="B141" s="10" t="inlineStr">
        <is>
          <t>35.1. If yes, was it a result of the UHC Act enacted in 2019? — Other (specify) text</t>
        </is>
      </c>
      <c r="C141" s="10" t="inlineStr">
        <is>
          <t>35.1. If yes, was it a result of the UHC Act enacted in 2019? — Other (specify) text</t>
        </is>
      </c>
      <c r="D141" s="10" t="inlineStr"/>
      <c r="E141" s="10" t="inlineStr"/>
      <c r="F141" s="10" t="inlineStr">
        <is>
          <t>C. Universal Health Care (UHC) Implementation</t>
        </is>
      </c>
      <c r="G141" s="10" t="inlineStr">
        <is>
          <t>alpha 120</t>
        </is>
      </c>
      <c r="H141" s="10" t="inlineStr"/>
      <c r="I141" s="10" t="inlineStr"/>
      <c r="J141" s="10" t="inlineStr"/>
    </row>
    <row r="142">
      <c r="A142" s="7" t="inlineStr">
        <is>
          <t>q35_2_pcqm_measures</t>
        </is>
      </c>
      <c r="B142" s="8" t="inlineStr">
        <is>
          <t>35.2. If yes, what are the primary care quality measures are you implementing?</t>
        </is>
      </c>
      <c r="C142" s="8" t="inlineStr">
        <is>
          <t>35.2. If yes, what are the primary care quality measures are you implementing?</t>
        </is>
      </c>
      <c r="D142" s="8" t="inlineStr"/>
      <c r="E142" s="8" t="inlineStr"/>
      <c r="F142" s="8" t="inlineStr">
        <is>
          <t>C. Universal Health Care (UHC) Implementation</t>
        </is>
      </c>
      <c r="G142" s="8" t="inlineStr">
        <is>
          <t>alpha 6</t>
        </is>
      </c>
      <c r="H142" s="8" t="inlineStr">
        <is>
          <t>01 = Client satisfaction survey
02 = Dashboards
99 = Other (specify)</t>
        </is>
      </c>
      <c r="I142" s="8" t="inlineStr"/>
      <c r="J142" s="8" t="inlineStr">
        <is>
          <t>[HARD] Check Box, at least one option required (msg 1253)</t>
        </is>
      </c>
    </row>
    <row r="143">
      <c r="A143" s="9" t="inlineStr">
        <is>
          <t>q35_2_pcqm_measures_other_txt</t>
        </is>
      </c>
      <c r="B143" s="10" t="inlineStr">
        <is>
          <t>35.2. If yes, what are the primary care quality measures are you implementing? — Other (specify) text</t>
        </is>
      </c>
      <c r="C143" s="10" t="inlineStr">
        <is>
          <t>35.2. If yes, what are the primary care quality measures are you implementing? — Other (specify) text</t>
        </is>
      </c>
      <c r="D143" s="10" t="inlineStr"/>
      <c r="E143" s="10" t="inlineStr"/>
      <c r="F143" s="10" t="inlineStr">
        <is>
          <t>C. Universal Health Care (UHC) Implementation</t>
        </is>
      </c>
      <c r="G143" s="10" t="inlineStr">
        <is>
          <t>alpha 120</t>
        </is>
      </c>
      <c r="H143" s="10" t="inlineStr"/>
      <c r="I143" s="10" t="inlineStr"/>
      <c r="J143" s="10" t="inlineStr"/>
    </row>
    <row r="144">
      <c r="A144" s="7" t="inlineStr">
        <is>
          <t>q36_quality_chall</t>
        </is>
      </c>
      <c r="B144" s="8" t="inlineStr">
        <is>
          <t>36. What are the major challenges to improving the quality of patient care in your local area?</t>
        </is>
      </c>
      <c r="C144" s="8" t="inlineStr">
        <is>
          <t>36. What are the major challenges to improving the quality of patient care in your local area? DO NOT READ OPTIONS OUT LOUD. SELECT ALL THE ANSWER OPTIONS THAT THE RESPONDENT GIVES WITHOUT PROMPTING.</t>
        </is>
      </c>
      <c r="D144" s="8" t="inlineStr"/>
      <c r="E144" s="8" t="inlineStr"/>
      <c r="F144" s="8" t="inlineStr">
        <is>
          <t>C. Universal Health Care (UHC) Implementation</t>
        </is>
      </c>
      <c r="G144" s="8" t="inlineStr">
        <is>
          <t>alpha 20</t>
        </is>
      </c>
      <c r="H144" s="8" t="inlineStr">
        <is>
          <t>01 = Limited resources (e.g., shortages in healthcare personnel/manpower, medical equipment, essential supplies, or funding)
02 = Challenging quality standards (e.g., high standards that are difficult to achieve)
03 = Certain healthcare decisions are made by local government units and not the health facility
04 = Lack of specific healthcare skills (i.e., Insufficient specialists, surgeons, or other healthcare professionals with specialized skills needed in the facility)
05 = Inadequate training of healthcare workers (i.e., Healthcare workers needing additional training to meet the facility's quality standards)
06 = Lack of patient awareness of the benefits of UHC (e.g., patients do not know they can avail of free consultations, and selected medicines and laboratory services)
07 = Limited accessibility of public healthcare facilities (e.g., lack of transportation options, inconvenient location, or physical barriers hindering access for patients.)
08 = Infrastructure not conducive for patient care (e.g., no ground floor, shortage of rooms, inadequate sanitation facilities, lack of wheelchair accessibility, etc.)
99 = Other (specify)</t>
        </is>
      </c>
      <c r="I144" s="8" t="inlineStr">
        <is>
          <t>09 = I don't know</t>
        </is>
      </c>
      <c r="J144" s="8" t="inlineStr">
        <is>
          <t>[HARD] Check Box, at least one required (msg 1255); code 09 is exclusive and cannot be combined (msg 1256)</t>
        </is>
      </c>
    </row>
    <row r="145">
      <c r="A145" s="9" t="inlineStr">
        <is>
          <t>q36_quality_chall_other_txt</t>
        </is>
      </c>
      <c r="B145" s="10" t="inlineStr">
        <is>
          <t>36. What are the major challenges to improving the quality of patient care in your local area? — Other (specify) text</t>
        </is>
      </c>
      <c r="C145" s="10" t="inlineStr">
        <is>
          <t>36. What are the major challenges to improving the quality of patient care in your local area? — Other (specify) text</t>
        </is>
      </c>
      <c r="D145" s="10" t="inlineStr"/>
      <c r="E145" s="10" t="inlineStr"/>
      <c r="F145" s="10" t="inlineStr">
        <is>
          <t>C. Universal Health Care (UHC) Implementation</t>
        </is>
      </c>
      <c r="G145" s="10" t="inlineStr">
        <is>
          <t>alpha 120</t>
        </is>
      </c>
      <c r="H145" s="10" t="inlineStr"/>
      <c r="I145" s="10" t="inlineStr"/>
      <c r="J145" s="10" t="inlineStr"/>
    </row>
    <row r="146">
      <c r="A146" s="7" t="inlineStr">
        <is>
          <t>q37_access_chall</t>
        </is>
      </c>
      <c r="B146" s="8" t="inlineStr">
        <is>
          <t>37. What are the major challenges to improving the accessibility of patient care in your local area?</t>
        </is>
      </c>
      <c r="C146" s="8" t="inlineStr">
        <is>
          <t>37. What are the major challenges to improving the accessibility of patient care in your local area? DO NOT READ OPTIONS OUT LOUD. SELECT ALL THE ANSWER OPTIONS THAT THE RESPONDENT GIVES WITHOUT PROMPTING.</t>
        </is>
      </c>
      <c r="D146" s="8" t="inlineStr"/>
      <c r="E146" s="8" t="inlineStr"/>
      <c r="F146" s="8" t="inlineStr">
        <is>
          <t>C. Universal Health Care (UHC) Implementation</t>
        </is>
      </c>
      <c r="G146" s="8" t="inlineStr">
        <is>
          <t>alpha 20</t>
        </is>
      </c>
      <c r="H146" s="8" t="inlineStr">
        <is>
          <t>01 = Limited resources (e.g., shortages in healthcare personnel/manpower, medical equipment, essential supplies, or funding)
02 = Challenging quality standards (e.g., high standards that are difficult to achieve)
03 = Certain healthcare decisions are made by local government units and not the health facility
04 = Lack of specific healthcare skills (i.e., Insufficient specialists, surgeons, or other healthcare professionals with specialized skills needed in the facility)
05 = Inadequate training of healthcare workers (i.e., Healthcare workers needing additional training to meet the facility's quality standards)
06 = Lack of patient awareness of the benefits of UHC (e.g., patients do not know they can avail of free consultations, and selected medicines and laboratory services)
07 = Limited accessibility of public healthcare facilities (e.g., lack of transportation options, inconvenient location, or physical barriers hindering access for patients.)
08 = Infrastructure not conducive for patient care (e.g., no ground floor, shortage of rooms, inadequate sanitation facilities, lack of wheelchair accessibility, etc.)
99 = Other (specify)</t>
        </is>
      </c>
      <c r="I146" s="8" t="inlineStr">
        <is>
          <t>09 = I don't know</t>
        </is>
      </c>
      <c r="J146" s="8" t="inlineStr"/>
    </row>
    <row r="147">
      <c r="A147" s="9" t="inlineStr">
        <is>
          <t>q37_access_chall_other_txt</t>
        </is>
      </c>
      <c r="B147" s="10" t="inlineStr">
        <is>
          <t>37. What are the major challenges to improving the accessibility of patient care in your local area? — Other (specify) text</t>
        </is>
      </c>
      <c r="C147" s="10" t="inlineStr">
        <is>
          <t>37. What are the major challenges to improving the accessibility of patient care in your local area? — Other (specify) text</t>
        </is>
      </c>
      <c r="D147" s="10" t="inlineStr"/>
      <c r="E147" s="10" t="inlineStr"/>
      <c r="F147" s="10" t="inlineStr">
        <is>
          <t>C. Universal Health Care (UHC) Implementation</t>
        </is>
      </c>
      <c r="G147" s="10" t="inlineStr">
        <is>
          <t>alpha 120</t>
        </is>
      </c>
      <c r="H147" s="10" t="inlineStr"/>
      <c r="I147" s="10" t="inlineStr"/>
      <c r="J147" s="10" t="inlineStr"/>
    </row>
    <row r="148">
      <c r="A148" s="7" t="inlineStr">
        <is>
          <t>q38_yk_accred</t>
        </is>
      </c>
      <c r="B148" s="8" t="inlineStr">
        <is>
          <t>38. Is the facility currently an accredited YAKAP/Konsulta provider?</t>
        </is>
      </c>
      <c r="C148" s="8" t="inlineStr">
        <is>
          <t>The next questions we will ask relate to the YAKAP/Konsulta package. Please answer to the best of your knowledge. You may answer “I don't know” if you are unsure. 38. Is the facility currently an accredited YAKAP/Konsulta provider?</t>
        </is>
      </c>
      <c r="D148" s="8" t="inlineStr"/>
      <c r="E148" s="8">
        <f> No (2) → Q66 (skip Q39–Q65, the accredited YAKAP block)</f>
        <v/>
      </c>
      <c r="F148" s="8" t="inlineStr">
        <is>
          <t>D. YAKAP/Konsulta Package</t>
        </is>
      </c>
      <c r="G148" s="8" t="inlineStr">
        <is>
          <t>numeric 1</t>
        </is>
      </c>
      <c r="H148" s="8" t="inlineStr">
        <is>
          <t>1 = Yes
2 = No</t>
        </is>
      </c>
      <c r="I148" s="8" t="inlineStr"/>
      <c r="J148" s="8" t="inlineStr"/>
    </row>
    <row r="149">
      <c r="A149" s="9" t="inlineStr">
        <is>
          <t>q39_yk_since_month</t>
        </is>
      </c>
      <c r="B149" s="10" t="inlineStr">
        <is>
          <t>39. If yes, since when? Month</t>
        </is>
      </c>
      <c r="C149" s="10" t="inlineStr">
        <is>
          <t>39. If yes, since when? Month</t>
        </is>
      </c>
      <c r="D149" s="10" t="inlineStr">
        <is>
          <t>not asked when Q38 YK_ACCRED = No (2)</t>
        </is>
      </c>
      <c r="E149" s="10" t="inlineStr"/>
      <c r="F149" s="10" t="inlineStr">
        <is>
          <t>D. YAKAP/Konsulta Package</t>
        </is>
      </c>
      <c r="G149" s="10" t="inlineStr">
        <is>
          <t>numeric 2</t>
        </is>
      </c>
      <c r="H149" s="10" t="inlineStr"/>
      <c r="I149" s="10" t="inlineStr"/>
      <c r="J149" s="10" t="inlineStr">
        <is>
          <t>[HARD] `1 ≤ m ≤ 12` (msg 1064); and not in the future when the year is the current year (msg 1065)</t>
        </is>
      </c>
    </row>
    <row r="150">
      <c r="A150" s="7" t="inlineStr">
        <is>
          <t>q39_yk_since_year</t>
        </is>
      </c>
      <c r="B150" s="8" t="inlineStr">
        <is>
          <t>39. If yes, since when? Year</t>
        </is>
      </c>
      <c r="C150" s="8" t="inlineStr">
        <is>
          <t>39. If yes, since when? Year</t>
        </is>
      </c>
      <c r="D150" s="8" t="inlineStr">
        <is>
          <t>not asked when Q38 YK_ACCRED = No (2)</t>
        </is>
      </c>
      <c r="E150" s="8" t="inlineStr"/>
      <c r="F150" s="8" t="inlineStr">
        <is>
          <t>D. YAKAP/Konsulta Package</t>
        </is>
      </c>
      <c r="G150" s="8" t="inlineStr">
        <is>
          <t>numeric 4</t>
        </is>
      </c>
      <c r="H150" s="8" t="inlineStr"/>
      <c r="I150" s="8" t="inlineStr"/>
      <c r="J150" s="8" t="inlineStr">
        <is>
          <t>[HARD] `2019 ≤ year ≤ current_year` — the UHC Act passed in 2019 (msg 1066)</t>
        </is>
      </c>
    </row>
    <row r="151">
      <c r="A151" s="9" t="inlineStr">
        <is>
          <t>q40_yk_package</t>
        </is>
      </c>
      <c r="B151" s="10" t="inlineStr">
        <is>
          <t>40. If accredited, which of the following are included in the YAKAP/Konsulta package?</t>
        </is>
      </c>
      <c r="C151" s="10" t="inlineStr">
        <is>
          <t>40. If accredited, which of the following are included in the YAKAP/Konsulta package? READ OPTIONS OUT LOUD. SELECT ALL THAT APPLY.</t>
        </is>
      </c>
      <c r="D151" s="10" t="inlineStr"/>
      <c r="E151" s="10" t="inlineStr"/>
      <c r="F151" s="10" t="inlineStr">
        <is>
          <t>D. YAKAP/Konsulta Package</t>
        </is>
      </c>
      <c r="G151" s="10" t="inlineStr">
        <is>
          <t>alpha 20</t>
        </is>
      </c>
      <c r="H151" s="10" t="inlineStr">
        <is>
          <t>01 = Pap smear
02 = Mammogram
03 = Lipid profile
04 = Thyroid function test
05 = Chest X-ray
06 = Low-dose CT scan
07 = Dental services
08 = All of the above
99 = Other (specify)</t>
        </is>
      </c>
      <c r="I151" s="10" t="inlineStr">
        <is>
          <t>09 = I don't know</t>
        </is>
      </c>
      <c r="J151" s="10" t="inlineStr">
        <is>
          <t>[HARD] Check Box, at least one required (msg 1261); code 09 "I don't know" exclusive (msg 1262); code 08 "All of the above" exclusive (msg 1263, #526)</t>
        </is>
      </c>
    </row>
    <row r="152">
      <c r="A152" s="7" t="inlineStr">
        <is>
          <t>q40_yk_package_other_txt</t>
        </is>
      </c>
      <c r="B152" s="8" t="inlineStr">
        <is>
          <t>40. If accredited, which of the following are included in the YAKAP/Konsulta package? — Other (specify) text</t>
        </is>
      </c>
      <c r="C152" s="8" t="inlineStr">
        <is>
          <t>40. If accredited, which of the following are included in the YAKAP/Konsulta package? — Other (specify) text</t>
        </is>
      </c>
      <c r="D152" s="8" t="inlineStr"/>
      <c r="E152" s="8" t="inlineStr"/>
      <c r="F152" s="8" t="inlineStr">
        <is>
          <t>D. YAKAP/Konsulta Package</t>
        </is>
      </c>
      <c r="G152" s="8" t="inlineStr">
        <is>
          <t>alpha 120</t>
        </is>
      </c>
      <c r="H152" s="8" t="inlineStr"/>
      <c r="I152" s="8" t="inlineStr"/>
      <c r="J152" s="8" t="inlineStr"/>
    </row>
    <row r="153">
      <c r="A153" s="9" t="inlineStr">
        <is>
          <t>q41_yk_reg_indiv</t>
        </is>
      </c>
      <c r="B153" s="10" t="inlineStr">
        <is>
          <t>41. Is it possible to register individual patients to YAKAP/Konsulta at this facility?</t>
        </is>
      </c>
      <c r="C153" s="10" t="inlineStr">
        <is>
          <t>41. Is it possible to register individual patients to YAKAP/Konsulta at this facility?</t>
        </is>
      </c>
      <c r="D153" s="10" t="inlineStr"/>
      <c r="E153" s="10" t="inlineStr"/>
      <c r="F153" s="10" t="inlineStr">
        <is>
          <t>D. YAKAP/Konsulta Package</t>
        </is>
      </c>
      <c r="G153" s="10" t="inlineStr">
        <is>
          <t>numeric 1</t>
        </is>
      </c>
      <c r="H153" s="10" t="inlineStr">
        <is>
          <t>1 = Yes
2 = No</t>
        </is>
      </c>
      <c r="I153" s="10" t="inlineStr">
        <is>
          <t>3 = I don't know</t>
        </is>
      </c>
      <c r="J153" s="10" t="inlineStr"/>
    </row>
    <row r="154">
      <c r="A154" s="7" t="inlineStr">
        <is>
          <t>q42_yk_reg_fam</t>
        </is>
      </c>
      <c r="B154" s="8" t="inlineStr">
        <is>
          <t>42. Is it possible to register whole families to YAKAP/Konsulta at this facility?</t>
        </is>
      </c>
      <c r="C154" s="8" t="inlineStr">
        <is>
          <t>42. Is it possible to register whole families to YAKAP/Konsulta at this facility?</t>
        </is>
      </c>
      <c r="D154" s="8" t="inlineStr"/>
      <c r="E154" s="8" t="inlineStr"/>
      <c r="F154" s="8" t="inlineStr">
        <is>
          <t>D. YAKAP/Konsulta Package</t>
        </is>
      </c>
      <c r="G154" s="8" t="inlineStr">
        <is>
          <t>numeric 1</t>
        </is>
      </c>
      <c r="H154" s="8" t="inlineStr">
        <is>
          <t>1 = Yes
2 = No</t>
        </is>
      </c>
      <c r="I154" s="8" t="inlineStr">
        <is>
          <t>3 = I don't know</t>
        </is>
      </c>
      <c r="J154" s="8" t="inlineStr"/>
    </row>
    <row r="155">
      <c r="A155" s="9" t="inlineStr">
        <is>
          <t>q43_yk_reg_both</t>
        </is>
      </c>
      <c r="B155" s="10" t="inlineStr">
        <is>
          <t>43. Is it possible to register both individual patients and their family members together to YAKAP/Konsulta at this facility?</t>
        </is>
      </c>
      <c r="C155" s="10" t="inlineStr">
        <is>
          <t>43. Is it possible to register both individual patients and their family members together to YAKAP/Konsulta at this facility?</t>
        </is>
      </c>
      <c r="D155" s="10" t="inlineStr"/>
      <c r="E155" s="10" t="inlineStr"/>
      <c r="F155" s="10" t="inlineStr">
        <is>
          <t>D. YAKAP/Konsulta Package</t>
        </is>
      </c>
      <c r="G155" s="10" t="inlineStr">
        <is>
          <t>numeric 1</t>
        </is>
      </c>
      <c r="H155" s="10" t="inlineStr">
        <is>
          <t>1 = Yes
2 = No</t>
        </is>
      </c>
      <c r="I155" s="10" t="inlineStr">
        <is>
          <t>3 = I don't know</t>
        </is>
      </c>
      <c r="J155" s="10" t="inlineStr"/>
    </row>
    <row r="156">
      <c r="A156" s="7" t="inlineStr">
        <is>
          <t>q44_capitation_amt</t>
        </is>
      </c>
      <c r="B156" s="8" t="inlineStr">
        <is>
          <t>44. Based on your knowledge, what is the capitation amount of the YAKAP/Konsulta package?</t>
        </is>
      </c>
      <c r="C156" s="8" t="inlineStr">
        <is>
          <t>44. Based on your knowledge, what is the capitation amount of the YAKAP/Konsulta package? Capitation is the amount per year per registered patient for delivering the YAKAP/Konsulta package services.</t>
        </is>
      </c>
      <c r="D156" s="8" t="inlineStr"/>
      <c r="E156" s="8" t="inlineStr"/>
      <c r="F156" s="8" t="inlineStr">
        <is>
          <t>D. YAKAP/Konsulta Package</t>
        </is>
      </c>
      <c r="G156" s="8" t="inlineStr">
        <is>
          <t>numeric 6</t>
        </is>
      </c>
      <c r="H156" s="8" t="inlineStr"/>
      <c r="I156" s="8" t="inlineStr"/>
      <c r="J156" s="8" t="inlineStr">
        <is>
          <t>[HARD] `≤ 5000` PHP blocks (msg 1071)
[SOFT] `&gt; 1700` PHP prompts "exceeds the PHP 1,700 PhilHealth max — confirm?" and re-enters on No</t>
        </is>
      </c>
    </row>
    <row r="157">
      <c r="A157" s="9" t="inlineStr">
        <is>
          <t>q45_perf_indicators</t>
        </is>
      </c>
      <c r="B157" s="10" t="inlineStr">
        <is>
          <t>45. What are the performance indicators you need to meet to receive the second tranche payment?</t>
        </is>
      </c>
      <c r="C157" s="10" t="inlineStr">
        <is>
          <t>45. What are the performance indicators you need to meet to receive the second tranche payment? Performance indicators are the defined set of healthcare goods and services to be provided for each enrolled patient to receive the full capitation payment. DO NOT READ OPTIONS OUT LOUD. SELECT ALL THE ANSWER OPTIONS THAT THE RESPONDENT GIVES WITHOUT PROMPTING. RESPONDENT MAY NOT BE ALLOWED TO LOOK FOR REFERENCE PRIOR TO ANSWERING THIS QUESTION.</t>
        </is>
      </c>
      <c r="D157" s="10" t="inlineStr"/>
      <c r="E157" s="10" t="inlineStr"/>
      <c r="F157" s="10" t="inlineStr">
        <is>
          <t>D. YAKAP/Konsulta Package</t>
        </is>
      </c>
      <c r="G157" s="10" t="inlineStr">
        <is>
          <t>alpha 16</t>
        </is>
      </c>
      <c r="H157" s="10" t="inlineStr">
        <is>
          <t>01 = Beneficiaries consulted a primary care doctor
02 = Utilization of laboratory services
03 = Beneficiaries received antibiotics as prescribed by their primary care doctor
04 = Beneficiaries received noncommunicable disease (NCD) medicine as prescribed by their primary care doctor
05 = No requirements
06 = 1st patient encounter
99 = Other (specify)</t>
        </is>
      </c>
      <c r="I157" s="10" t="inlineStr">
        <is>
          <t>07 = I don't know</t>
        </is>
      </c>
      <c r="J157" s="10" t="inlineStr">
        <is>
          <t>[HARD] Check Box, at least one required (msg 1265); code 07 exclusive (msg 1266); code 05 "No requirements" also exclusive (msg 1267, #1188)</t>
        </is>
      </c>
    </row>
    <row r="158">
      <c r="A158" s="7" t="inlineStr">
        <is>
          <t>q45_perf_indicators_other_txt</t>
        </is>
      </c>
      <c r="B158" s="8" t="inlineStr">
        <is>
          <t>45. What are the performance indicators you need to meet to receive the second tranche payment? — Other (specify) text</t>
        </is>
      </c>
      <c r="C158" s="8" t="inlineStr">
        <is>
          <t>45. What are the performance indicators you need to meet to receive the second tranche payment? — Other (specify) text</t>
        </is>
      </c>
      <c r="D158" s="8" t="inlineStr"/>
      <c r="E158" s="8" t="inlineStr"/>
      <c r="F158" s="8" t="inlineStr">
        <is>
          <t>D. YAKAP/Konsulta Package</t>
        </is>
      </c>
      <c r="G158" s="8" t="inlineStr">
        <is>
          <t>alpha 120</t>
        </is>
      </c>
      <c r="H158" s="8" t="inlineStr"/>
      <c r="I158" s="8" t="inlineStr"/>
      <c r="J158" s="8" t="inlineStr"/>
    </row>
    <row r="159">
      <c r="A159" s="9" t="inlineStr">
        <is>
          <t>q46_know_pay_freq</t>
        </is>
      </c>
      <c r="B159" s="10" t="inlineStr">
        <is>
          <t>46. Do you know how often you can expect to receive payments from PhilHealth for the delivery of the YAKAP/Konsulta package?</t>
        </is>
      </c>
      <c r="C159" s="10" t="inlineStr">
        <is>
          <t>46. Do you know how often you can expect to receive payments from PhilHealth for the delivery of the YAKAP/Konsulta package?</t>
        </is>
      </c>
      <c r="D159" s="10" t="inlineStr"/>
      <c r="E159" s="10">
        <f> No (2) → Q48 (skip Q47)</f>
        <v/>
      </c>
      <c r="F159" s="10" t="inlineStr">
        <is>
          <t>D. YAKAP/Konsulta Package</t>
        </is>
      </c>
      <c r="G159" s="10" t="inlineStr">
        <is>
          <t>numeric 1</t>
        </is>
      </c>
      <c r="H159" s="10" t="inlineStr">
        <is>
          <t>1 = Yes
2 = No</t>
        </is>
      </c>
      <c r="I159" s="10" t="inlineStr"/>
      <c r="J159" s="10" t="inlineStr"/>
    </row>
    <row r="160">
      <c r="A160" s="7" t="inlineStr">
        <is>
          <t>q47_pay_freq</t>
        </is>
      </c>
      <c r="B160" s="8" t="inlineStr">
        <is>
          <t>47. How often should you be receiving payments?</t>
        </is>
      </c>
      <c r="C160" s="8" t="inlineStr">
        <is>
          <t>47. How often should you be receiving payments? READ OPTIONS OUT LOUD. SELECT ONE ANSWER ONLY.</t>
        </is>
      </c>
      <c r="D160" s="8" t="inlineStr">
        <is>
          <t>not asked when Q46 KNOW_PAY_FREQ = No (2)</t>
        </is>
      </c>
      <c r="E160" s="8" t="inlineStr"/>
      <c r="F160" s="8" t="inlineStr">
        <is>
          <t>D. YAKAP/Konsulta Package</t>
        </is>
      </c>
      <c r="G160" s="8" t="inlineStr">
        <is>
          <t>numeric 1</t>
        </is>
      </c>
      <c r="H160" s="8" t="inlineStr">
        <is>
          <t>1 = Monthly
2 = Quarterly
3 = Semi-annually
4 = Annually</t>
        </is>
      </c>
      <c r="I160" s="8" t="inlineStr"/>
      <c r="J160" s="8" t="inlineStr">
        <is>
          <t>[GATE] `Q46_KNOW_PAY_FREQ = Yes`</t>
        </is>
      </c>
    </row>
    <row r="161">
      <c r="A161" s="9" t="inlineStr">
        <is>
          <t>q48_tranche_delay</t>
        </is>
      </c>
      <c r="B161" s="10" t="inlineStr">
        <is>
          <t>48. Were there delays in receiving capitation tranches?</t>
        </is>
      </c>
      <c r="C161" s="10" t="inlineStr">
        <is>
          <t>48. Were there delays in receiving capitation tranches?</t>
        </is>
      </c>
      <c r="D161" s="10" t="inlineStr"/>
      <c r="E161" s="10">
        <f> No (2) → Q49 — lands on the `_NUM` half of the hybrid pair, `Q49_TRANCHE_INTERVAL_NUM`</f>
        <v/>
      </c>
      <c r="F161" s="10" t="inlineStr">
        <is>
          <t>D. YAKAP/Konsulta Package</t>
        </is>
      </c>
      <c r="G161" s="10" t="inlineStr">
        <is>
          <t>numeric 1</t>
        </is>
      </c>
      <c r="H161" s="10" t="inlineStr">
        <is>
          <t>1 = Yes
2 = No</t>
        </is>
      </c>
      <c r="I161" s="10" t="inlineStr"/>
      <c r="J161" s="10" t="inlineStr"/>
    </row>
    <row r="162">
      <c r="A162" s="7" t="inlineStr">
        <is>
          <t>q48_1_delay_reason</t>
        </is>
      </c>
      <c r="B162" s="8" t="inlineStr">
        <is>
          <t>48.1. If yes, what was/were the reasons for the delay?</t>
        </is>
      </c>
      <c r="C162" s="8" t="inlineStr">
        <is>
          <t>48.1. If yes, what was/were the reasons for the delay?</t>
        </is>
      </c>
      <c r="D162" s="8" t="inlineStr"/>
      <c r="E162" s="8" t="inlineStr"/>
      <c r="F162" s="8" t="inlineStr">
        <is>
          <t>D. YAKAP/Konsulta Package</t>
        </is>
      </c>
      <c r="G162" s="8" t="inlineStr">
        <is>
          <t>alpha 240</t>
        </is>
      </c>
      <c r="H162" s="8" t="inlineStr"/>
      <c r="I162" s="8" t="inlineStr"/>
      <c r="J162" s="8" t="inlineStr"/>
    </row>
    <row r="163">
      <c r="A163" s="9" t="inlineStr">
        <is>
          <t>q49_tranche_interval_num</t>
        </is>
      </c>
      <c r="B163" s="10" t="inlineStr">
        <is>
          <t>49. On average, how long is the typical time interval between tranches releases to the facility? — No. of Days</t>
        </is>
      </c>
      <c r="C163" s="10" t="inlineStr">
        <is>
          <t>49. On average, how long is the typical time interval between tranches releases to the facility? — No. of Days</t>
        </is>
      </c>
      <c r="D163" s="10" t="inlineStr"/>
      <c r="E163" s="10" t="inlineStr"/>
      <c r="F163" s="10" t="inlineStr">
        <is>
          <t>D. YAKAP/Konsulta Package</t>
        </is>
      </c>
      <c r="G163" s="10" t="inlineStr">
        <is>
          <t>numeric 4</t>
        </is>
      </c>
      <c r="H163" s="10" t="inlineStr"/>
      <c r="I163" s="10" t="inlineStr"/>
      <c r="J163" s="10" t="inlineStr">
        <is>
          <t>[GATE] Hybrid pair — a Q48 = No skip lands on the `_NUM` half, which is the pair's first field</t>
        </is>
      </c>
    </row>
    <row r="164">
      <c r="A164" s="7" t="inlineStr">
        <is>
          <t>q49_tranche_interval</t>
        </is>
      </c>
      <c r="B164" s="8" t="inlineStr">
        <is>
          <t>49. On average, how long is the typical time interval between tranches releases to the facility?</t>
        </is>
      </c>
      <c r="C164" s="8" t="inlineStr">
        <is>
          <t>49. On average, how long is the typical time interval between tranches releases to the facility?</t>
        </is>
      </c>
      <c r="D164" s="8" t="inlineStr"/>
      <c r="E164" s="8" t="inlineStr"/>
      <c r="F164" s="8" t="inlineStr">
        <is>
          <t>D. YAKAP/Konsulta Package</t>
        </is>
      </c>
      <c r="G164" s="8" t="inlineStr">
        <is>
          <t>numeric 1</t>
        </is>
      </c>
      <c r="H164" s="8" t="inlineStr">
        <is>
          <t>1 = 30 days and less
2 = 31-60 days
3 = More than 60 days</t>
        </is>
      </c>
      <c r="I164" s="8" t="inlineStr"/>
      <c r="J164" s="8" t="inlineStr">
        <is>
          <t>[GATE] Hybrid pair — a Q48 = No skip lands on the `_NUM` half, which is the pair's first field</t>
        </is>
      </c>
    </row>
    <row r="165">
      <c r="A165" s="9" t="inlineStr">
        <is>
          <t>q50_accred_wait_num</t>
        </is>
      </c>
      <c r="B165" s="10" t="inlineStr">
        <is>
          <t>50. How many days did you wait from application submission to accreditation approval? — No. of Days</t>
        </is>
      </c>
      <c r="C165" s="10" t="inlineStr">
        <is>
          <t>50. How many days did you wait from application submission to accreditation approval? — No. of Days</t>
        </is>
      </c>
      <c r="D165" s="10" t="inlineStr"/>
      <c r="E165" s="10" t="inlineStr"/>
      <c r="F165" s="10" t="inlineStr">
        <is>
          <t>D. YAKAP/Konsulta Package</t>
        </is>
      </c>
      <c r="G165" s="10" t="inlineStr">
        <is>
          <t>numeric 4</t>
        </is>
      </c>
      <c r="H165" s="10" t="inlineStr"/>
      <c r="I165" s="10" t="inlineStr"/>
      <c r="J165" s="10" t="inlineStr"/>
    </row>
    <row r="166">
      <c r="A166" s="7" t="inlineStr">
        <is>
          <t>q50_accred_wait</t>
        </is>
      </c>
      <c r="B166" s="8" t="inlineStr">
        <is>
          <t>50. How many days did you wait from application submission to accreditation approval?</t>
        </is>
      </c>
      <c r="C166" s="8" t="inlineStr">
        <is>
          <t>50. How many days did you wait from application submission to accreditation approval?</t>
        </is>
      </c>
      <c r="D166" s="8" t="inlineStr"/>
      <c r="E166" s="8" t="inlineStr"/>
      <c r="F166" s="8" t="inlineStr">
        <is>
          <t>D. YAKAP/Konsulta Package</t>
        </is>
      </c>
      <c r="G166" s="8" t="inlineStr">
        <is>
          <t>numeric 1</t>
        </is>
      </c>
      <c r="H166" s="8" t="inlineStr">
        <is>
          <t>1 = 30 days and less
2 = 31-60 days
3 = More than 60 days</t>
        </is>
      </c>
      <c r="I166" s="8" t="inlineStr"/>
      <c r="J166" s="8" t="inlineStr"/>
    </row>
    <row r="167">
      <c r="A167" s="9" t="inlineStr">
        <is>
          <t>q51_apply_reason</t>
        </is>
      </c>
      <c r="B167" s="10" t="inlineStr">
        <is>
          <t>51. Why did you apply to become a YAKAP/Konsulta provider?</t>
        </is>
      </c>
      <c r="C167" s="10" t="inlineStr">
        <is>
          <t>51. Why did you apply to become a YAKAP/Konsulta provider? DO NOT READ OPTIONS OUT LOUD. SELECT ALL THAT APPLY.</t>
        </is>
      </c>
      <c r="D167" s="10" t="inlineStr"/>
      <c r="E167" s="10" t="inlineStr"/>
      <c r="F167" s="10" t="inlineStr">
        <is>
          <t>D. YAKAP/Konsulta Package</t>
        </is>
      </c>
      <c r="G167" s="10" t="inlineStr">
        <is>
          <t>alpha 12</t>
        </is>
      </c>
      <c r="H167" s="10" t="inlineStr">
        <is>
          <t>01 = Incentives (i.e., facility receives capitation/payment for registered patients)
02 = Aligns with facility's mission (i.e., goals of UHC are aligned with the facility)
03 = Encouraged by LGU
04 = Mandated/required by DOH/UHC
05 = To improve the services of the facilities
99 = Other (specify)</t>
        </is>
      </c>
      <c r="I167" s="10" t="inlineStr"/>
      <c r="J167" s="10" t="inlineStr">
        <is>
          <t>[HARD] Required, non-blank (msg 1269)</t>
        </is>
      </c>
    </row>
    <row r="168">
      <c r="A168" s="7" t="inlineStr">
        <is>
          <t>q51_apply_reason_other_txt</t>
        </is>
      </c>
      <c r="B168" s="8" t="inlineStr">
        <is>
          <t>51. Why did you apply to become a YAKAP/Konsulta provider? — Other (specify) text</t>
        </is>
      </c>
      <c r="C168" s="8" t="inlineStr">
        <is>
          <t>51. Why did you apply to become a YAKAP/Konsulta provider? — Other (specify) text</t>
        </is>
      </c>
      <c r="D168" s="8" t="inlineStr"/>
      <c r="E168" s="8" t="inlineStr"/>
      <c r="F168" s="8" t="inlineStr">
        <is>
          <t>D. YAKAP/Konsulta Package</t>
        </is>
      </c>
      <c r="G168" s="8" t="inlineStr">
        <is>
          <t>alpha 120</t>
        </is>
      </c>
      <c r="H168" s="8" t="inlineStr"/>
      <c r="I168" s="8" t="inlineStr"/>
      <c r="J168" s="8" t="inlineStr"/>
    </row>
    <row r="169">
      <c r="A169" s="9" t="inlineStr">
        <is>
          <t>q52_accred_difficult</t>
        </is>
      </c>
      <c r="B169" s="10" t="inlineStr">
        <is>
          <t>52. Which of the following requirements were difficult to comply with for accreditation?</t>
        </is>
      </c>
      <c r="C169" s="10" t="inlineStr">
        <is>
          <t>52. Which of the following requirements were difficult to comply with for accreditation? These are the requirements for YAKAP/Konsulta accreditation outlined by DOH. READ OPTIONS OUT LOUD. SELECT ALL THAT APPLY.</t>
        </is>
      </c>
      <c r="D169" s="10" t="inlineStr"/>
      <c r="E169" s="10">
        <f> "None of the above" (90) only → Q62 — reached by falling through the whole Q53–Q61 gate chain, not by a single jump (see below)</f>
        <v/>
      </c>
      <c r="F169" s="10" t="inlineStr">
        <is>
          <t>D. YAKAP/Konsulta Package</t>
        </is>
      </c>
      <c r="G169" s="10" t="inlineStr">
        <is>
          <t>alpha 20</t>
        </is>
      </c>
      <c r="H169" s="10" t="inlineStr">
        <is>
          <t>01 = Ability to conduct preventive/screening services and health education
02 = Capability to provide services for required laboratory and radiologic services
03 = Capability to dispense required medicines
04 = General Infrastructure
05 = Equipment and Supplies
06 = Human resource
07 = Functional Health Information System
08 = Documentary requirements
09 = DOH licensing requirements
90 = None of the above</t>
        </is>
      </c>
      <c r="I169" s="10" t="inlineStr"/>
      <c r="J169" s="10" t="inlineStr">
        <is>
          <t>[HARD] Check Box, at least one required (msg 1271); code 90 "None of the above" exclusive (msg 1272)</t>
        </is>
      </c>
    </row>
    <row r="170">
      <c r="A170" s="7" t="inlineStr">
        <is>
          <t>q53_why_diff_preventive</t>
        </is>
      </c>
      <c r="B170" s="8" t="inlineStr">
        <is>
          <t>53. Why was it difficult to comply with: Ability to conduct preventive/screening services and health education?</t>
        </is>
      </c>
      <c r="C170" s="8" t="inlineStr">
        <is>
          <t>53. Why was it difficult to comply with: Ability to conduct preventive/screening services and health education? DO NOT READ OPTIONS OUT LOUD. SELECT ALL THAT APPLY.</t>
        </is>
      </c>
      <c r="D170" s="8" t="inlineStr"/>
      <c r="E170" s="8" t="inlineStr">
        <is>
          <t>Q52 option 01 not ticked → Q54</t>
        </is>
      </c>
      <c r="F170" s="8" t="inlineStr">
        <is>
          <t>D. YAKAP/Konsulta Package</t>
        </is>
      </c>
      <c r="G170" s="8" t="inlineStr">
        <is>
          <t>alpha 14</t>
        </is>
      </c>
      <c r="H170" s="8" t="inlineStr">
        <is>
          <t>01 = Not enough budget / too expensive
02 = Time-consuming
03 = Limited human resources
04 = Legal processes
05 = Compiling documentary requirements
06 = Stringent standards
99 = Other (specify)</t>
        </is>
      </c>
      <c r="I170" s="8" t="inlineStr"/>
      <c r="J170" s="8" t="inlineStr"/>
    </row>
    <row r="171">
      <c r="A171" s="9" t="inlineStr">
        <is>
          <t>q53_why_diff_preventive_other_txt</t>
        </is>
      </c>
      <c r="B171" s="10" t="inlineStr">
        <is>
          <t>53. Why was it difficult to comply with: Ability to conduct preventive/screening services and health education? — Other (specify) text</t>
        </is>
      </c>
      <c r="C171" s="10" t="inlineStr">
        <is>
          <t>53. Why was it difficult to comply with: Ability to conduct preventive/screening services and health education? — Other (specify) text</t>
        </is>
      </c>
      <c r="D171" s="10" t="inlineStr"/>
      <c r="E171" s="10" t="inlineStr"/>
      <c r="F171" s="10" t="inlineStr">
        <is>
          <t>D. YAKAP/Konsulta Package</t>
        </is>
      </c>
      <c r="G171" s="10" t="inlineStr">
        <is>
          <t>alpha 120</t>
        </is>
      </c>
      <c r="H171" s="10" t="inlineStr"/>
      <c r="I171" s="10" t="inlineStr"/>
      <c r="J171" s="10" t="inlineStr"/>
    </row>
    <row r="172">
      <c r="A172" s="7" t="inlineStr">
        <is>
          <t>q54_why_diff_lab</t>
        </is>
      </c>
      <c r="B172" s="8" t="inlineStr">
        <is>
          <t>54. Why was it difficult to comply with: Capability to provide services for required laboratory and radiologic services?</t>
        </is>
      </c>
      <c r="C172" s="8" t="inlineStr">
        <is>
          <t>54. Why was it difficult to comply with: Capability to provide services for required laboratory and radiologic services? DO NOT READ OPTIONS OUT LOUD. SELECT ALL THAT APPLY.</t>
        </is>
      </c>
      <c r="D172" s="8" t="inlineStr"/>
      <c r="E172" s="8" t="inlineStr">
        <is>
          <t>Q52 option 02 not ticked → Q55</t>
        </is>
      </c>
      <c r="F172" s="8" t="inlineStr">
        <is>
          <t>D. YAKAP/Konsulta Package</t>
        </is>
      </c>
      <c r="G172" s="8" t="inlineStr">
        <is>
          <t>alpha 14</t>
        </is>
      </c>
      <c r="H172" s="8" t="inlineStr">
        <is>
          <t>01 = Not enough budget / too expensive
02 = Time-consuming
03 = Limited human resources
04 = Legal processes
05 = Compiling documentary requirements
06 = Stringent standards
99 = Other (specify)</t>
        </is>
      </c>
      <c r="I172" s="8" t="inlineStr"/>
      <c r="J172" s="8" t="inlineStr"/>
    </row>
    <row r="173">
      <c r="A173" s="9" t="inlineStr">
        <is>
          <t>q54_why_diff_lab_other_txt</t>
        </is>
      </c>
      <c r="B173" s="10" t="inlineStr">
        <is>
          <t>54. Why was it difficult to comply with: Capability to provide services for required laboratory and radiologic services? — Other (specify) text</t>
        </is>
      </c>
      <c r="C173" s="10" t="inlineStr">
        <is>
          <t>54. Why was it difficult to comply with: Capability to provide services for required laboratory and radiologic services? — Other (specify) text</t>
        </is>
      </c>
      <c r="D173" s="10" t="inlineStr"/>
      <c r="E173" s="10" t="inlineStr"/>
      <c r="F173" s="10" t="inlineStr">
        <is>
          <t>D. YAKAP/Konsulta Package</t>
        </is>
      </c>
      <c r="G173" s="10" t="inlineStr">
        <is>
          <t>alpha 120</t>
        </is>
      </c>
      <c r="H173" s="10" t="inlineStr"/>
      <c r="I173" s="10" t="inlineStr"/>
      <c r="J173" s="10" t="inlineStr"/>
    </row>
    <row r="174">
      <c r="A174" s="7" t="inlineStr">
        <is>
          <t>q55_why_diff_meds</t>
        </is>
      </c>
      <c r="B174" s="8" t="inlineStr">
        <is>
          <t>55. Why was it difficult to comply with: Capability to dispense required medicines?</t>
        </is>
      </c>
      <c r="C174" s="8" t="inlineStr">
        <is>
          <t>55. Why was it difficult to comply with: Capability to dispense required medicines? DO NOT READ OPTIONS OUT LOUD. SELECT ALL THAT APPLY.</t>
        </is>
      </c>
      <c r="D174" s="8" t="inlineStr"/>
      <c r="E174" s="8" t="inlineStr">
        <is>
          <t>Q52 option 03 not ticked → Q56</t>
        </is>
      </c>
      <c r="F174" s="8" t="inlineStr">
        <is>
          <t>D. YAKAP/Konsulta Package</t>
        </is>
      </c>
      <c r="G174" s="8" t="inlineStr">
        <is>
          <t>alpha 14</t>
        </is>
      </c>
      <c r="H174" s="8" t="inlineStr">
        <is>
          <t>01 = Not enough budget / too expensive
02 = Time-consuming
03 = Limited human resources
04 = Legal processes
05 = Compiling documentary requirements
06 = Stringent standards
99 = Other (specify)</t>
        </is>
      </c>
      <c r="I174" s="8" t="inlineStr"/>
      <c r="J174" s="8" t="inlineStr"/>
    </row>
    <row r="175">
      <c r="A175" s="9" t="inlineStr">
        <is>
          <t>q55_why_diff_meds_other_txt</t>
        </is>
      </c>
      <c r="B175" s="10" t="inlineStr">
        <is>
          <t>55. Why was it difficult to comply with: Capability to dispense required medicines? — Other (specify) text</t>
        </is>
      </c>
      <c r="C175" s="10" t="inlineStr">
        <is>
          <t>55. Why was it difficult to comply with: Capability to dispense required medicines? — Other (specify) text</t>
        </is>
      </c>
      <c r="D175" s="10" t="inlineStr"/>
      <c r="E175" s="10" t="inlineStr"/>
      <c r="F175" s="10" t="inlineStr">
        <is>
          <t>D. YAKAP/Konsulta Package</t>
        </is>
      </c>
      <c r="G175" s="10" t="inlineStr">
        <is>
          <t>alpha 120</t>
        </is>
      </c>
      <c r="H175" s="10" t="inlineStr"/>
      <c r="I175" s="10" t="inlineStr"/>
      <c r="J175" s="10" t="inlineStr"/>
    </row>
    <row r="176">
      <c r="A176" s="7" t="inlineStr">
        <is>
          <t>q56_why_diff_infra</t>
        </is>
      </c>
      <c r="B176" s="8" t="inlineStr">
        <is>
          <t>56. Why was it difficult to comply with: General Infrastructure?</t>
        </is>
      </c>
      <c r="C176" s="8" t="inlineStr">
        <is>
          <t>56. Why was it difficult to comply with: General Infrastructure? DO NOT READ OPTIONS OUT LOUD. SELECT ALL THAT APPLY.</t>
        </is>
      </c>
      <c r="D176" s="8" t="inlineStr"/>
      <c r="E176" s="8" t="inlineStr">
        <is>
          <t>Q52 option 04 not ticked → Q57</t>
        </is>
      </c>
      <c r="F176" s="8" t="inlineStr">
        <is>
          <t>D. YAKAP/Konsulta Package</t>
        </is>
      </c>
      <c r="G176" s="8" t="inlineStr">
        <is>
          <t>alpha 14</t>
        </is>
      </c>
      <c r="H176" s="8" t="inlineStr">
        <is>
          <t>01 = Not enough budget / too expensive
02 = Time-consuming
03 = Limited human resources
04 = Legal processes
05 = Compiling documentary requirements
06 = Stringent standards
99 = Other (specify)</t>
        </is>
      </c>
      <c r="I176" s="8" t="inlineStr"/>
      <c r="J176" s="8" t="inlineStr"/>
    </row>
    <row r="177">
      <c r="A177" s="9" t="inlineStr">
        <is>
          <t>q56_why_diff_infra_other_txt</t>
        </is>
      </c>
      <c r="B177" s="10" t="inlineStr">
        <is>
          <t>56. Why was it difficult to comply with: General Infrastructure? — Other (specify) text</t>
        </is>
      </c>
      <c r="C177" s="10" t="inlineStr">
        <is>
          <t>56. Why was it difficult to comply with: General Infrastructure? — Other (specify) text</t>
        </is>
      </c>
      <c r="D177" s="10" t="inlineStr"/>
      <c r="E177" s="10" t="inlineStr"/>
      <c r="F177" s="10" t="inlineStr">
        <is>
          <t>D. YAKAP/Konsulta Package</t>
        </is>
      </c>
      <c r="G177" s="10" t="inlineStr">
        <is>
          <t>alpha 120</t>
        </is>
      </c>
      <c r="H177" s="10" t="inlineStr"/>
      <c r="I177" s="10" t="inlineStr"/>
      <c r="J177" s="10" t="inlineStr"/>
    </row>
    <row r="178">
      <c r="A178" s="7" t="inlineStr">
        <is>
          <t>q57_why_diff_equipment</t>
        </is>
      </c>
      <c r="B178" s="8" t="inlineStr">
        <is>
          <t>57. Why was it difficult to comply with: Equipment and Supplies?</t>
        </is>
      </c>
      <c r="C178" s="8" t="inlineStr">
        <is>
          <t>57. Why was it difficult to comply with: Equipment and Supplies? DO NOT READ OPTIONS OUT LOUD. SELECT ALL THAT APPLY.</t>
        </is>
      </c>
      <c r="D178" s="8" t="inlineStr"/>
      <c r="E178" s="8" t="inlineStr">
        <is>
          <t>Q52 option 05 not ticked → Q58</t>
        </is>
      </c>
      <c r="F178" s="8" t="inlineStr">
        <is>
          <t>D. YAKAP/Konsulta Package</t>
        </is>
      </c>
      <c r="G178" s="8" t="inlineStr">
        <is>
          <t>alpha 14</t>
        </is>
      </c>
      <c r="H178" s="8" t="inlineStr">
        <is>
          <t>01 = Not enough budget / too expensive
02 = Time-consuming
03 = Limited human resources
04 = Legal processes
05 = Compiling documentary requirements
06 = Stringent standards
99 = Other (specify)</t>
        </is>
      </c>
      <c r="I178" s="8" t="inlineStr"/>
      <c r="J178" s="8" t="inlineStr"/>
    </row>
    <row r="179">
      <c r="A179" s="9" t="inlineStr">
        <is>
          <t>q57_why_diff_equipment_other_txt</t>
        </is>
      </c>
      <c r="B179" s="10" t="inlineStr">
        <is>
          <t>57. Why was it difficult to comply with: Equipment and Supplies? — Other (specify) text</t>
        </is>
      </c>
      <c r="C179" s="10" t="inlineStr">
        <is>
          <t>57. Why was it difficult to comply with: Equipment and Supplies? — Other (specify) text</t>
        </is>
      </c>
      <c r="D179" s="10" t="inlineStr"/>
      <c r="E179" s="10" t="inlineStr"/>
      <c r="F179" s="10" t="inlineStr">
        <is>
          <t>D. YAKAP/Konsulta Package</t>
        </is>
      </c>
      <c r="G179" s="10" t="inlineStr">
        <is>
          <t>alpha 120</t>
        </is>
      </c>
      <c r="H179" s="10" t="inlineStr"/>
      <c r="I179" s="10" t="inlineStr"/>
      <c r="J179" s="10" t="inlineStr"/>
    </row>
    <row r="180">
      <c r="A180" s="7" t="inlineStr">
        <is>
          <t>q58_why_diff_hr</t>
        </is>
      </c>
      <c r="B180" s="8" t="inlineStr">
        <is>
          <t>58. Why was it difficult to comply with: Human resource?</t>
        </is>
      </c>
      <c r="C180" s="8" t="inlineStr">
        <is>
          <t>58. Why was it difficult to comply with: Human resource? DO NOT READ OPTIONS OUT LOUD. SELECT ALL THAT APPLY.</t>
        </is>
      </c>
      <c r="D180" s="8" t="inlineStr"/>
      <c r="E180" s="8" t="inlineStr">
        <is>
          <t>Q52 option 06 not ticked → Q59</t>
        </is>
      </c>
      <c r="F180" s="8" t="inlineStr">
        <is>
          <t>D. YAKAP/Konsulta Package</t>
        </is>
      </c>
      <c r="G180" s="8" t="inlineStr">
        <is>
          <t>alpha 14</t>
        </is>
      </c>
      <c r="H180" s="8" t="inlineStr">
        <is>
          <t>01 = Not enough budget / too expensive
02 = Time-consuming
03 = Limited human resources
04 = Legal processes
05 = Compiling documentary requirements
06 = Stringent standards
99 = Other (specify)</t>
        </is>
      </c>
      <c r="I180" s="8" t="inlineStr"/>
      <c r="J180" s="8" t="inlineStr"/>
    </row>
    <row r="181">
      <c r="A181" s="9" t="inlineStr">
        <is>
          <t>q58_why_diff_hr_other_txt</t>
        </is>
      </c>
      <c r="B181" s="10" t="inlineStr">
        <is>
          <t>58. Why was it difficult to comply with: Human resource? — Other (specify) text</t>
        </is>
      </c>
      <c r="C181" s="10" t="inlineStr">
        <is>
          <t>58. Why was it difficult to comply with: Human resource? — Other (specify) text</t>
        </is>
      </c>
      <c r="D181" s="10" t="inlineStr"/>
      <c r="E181" s="10" t="inlineStr"/>
      <c r="F181" s="10" t="inlineStr">
        <is>
          <t>D. YAKAP/Konsulta Package</t>
        </is>
      </c>
      <c r="G181" s="10" t="inlineStr">
        <is>
          <t>alpha 120</t>
        </is>
      </c>
      <c r="H181" s="10" t="inlineStr"/>
      <c r="I181" s="10" t="inlineStr"/>
      <c r="J181" s="10" t="inlineStr"/>
    </row>
    <row r="182">
      <c r="A182" s="7" t="inlineStr">
        <is>
          <t>q59_why_diff_his</t>
        </is>
      </c>
      <c r="B182" s="8" t="inlineStr">
        <is>
          <t>59. Why was it difficult to comply with: Functional Health Information System?</t>
        </is>
      </c>
      <c r="C182" s="8" t="inlineStr">
        <is>
          <t>59. Why was it difficult to comply with: Functional Health Information System? DO NOT READ OPTIONS OUT LOUD. SELECT ALL THAT APPLY.</t>
        </is>
      </c>
      <c r="D182" s="8" t="inlineStr"/>
      <c r="E182" s="8" t="inlineStr">
        <is>
          <t>Q52 option 07 not ticked → Q60</t>
        </is>
      </c>
      <c r="F182" s="8" t="inlineStr">
        <is>
          <t>D. YAKAP/Konsulta Package</t>
        </is>
      </c>
      <c r="G182" s="8" t="inlineStr">
        <is>
          <t>alpha 14</t>
        </is>
      </c>
      <c r="H182" s="8" t="inlineStr">
        <is>
          <t>01 = Not enough budget / too expensive
02 = Time-consuming
03 = Limited human resources
04 = Legal processes
05 = Compiling documentary requirements
06 = Stringent standards
99 = Other (specify)</t>
        </is>
      </c>
      <c r="I182" s="8" t="inlineStr"/>
      <c r="J182" s="8" t="inlineStr"/>
    </row>
    <row r="183">
      <c r="A183" s="9" t="inlineStr">
        <is>
          <t>q59_why_diff_his_other_txt</t>
        </is>
      </c>
      <c r="B183" s="10" t="inlineStr">
        <is>
          <t>59. Why was it difficult to comply with: Functional Health Information System? — Other (specify) text</t>
        </is>
      </c>
      <c r="C183" s="10" t="inlineStr">
        <is>
          <t>59. Why was it difficult to comply with: Functional Health Information System? — Other (specify) text</t>
        </is>
      </c>
      <c r="D183" s="10" t="inlineStr"/>
      <c r="E183" s="10" t="inlineStr"/>
      <c r="F183" s="10" t="inlineStr">
        <is>
          <t>D. YAKAP/Konsulta Package</t>
        </is>
      </c>
      <c r="G183" s="10" t="inlineStr">
        <is>
          <t>alpha 120</t>
        </is>
      </c>
      <c r="H183" s="10" t="inlineStr"/>
      <c r="I183" s="10" t="inlineStr"/>
      <c r="J183" s="10" t="inlineStr"/>
    </row>
    <row r="184">
      <c r="A184" s="7" t="inlineStr">
        <is>
          <t>q60_why_diff_docs</t>
        </is>
      </c>
      <c r="B184" s="8" t="inlineStr">
        <is>
          <t>60. Why was it difficult to comply with: Documentary requirements?</t>
        </is>
      </c>
      <c r="C184" s="8" t="inlineStr">
        <is>
          <t>60. Why was it difficult to comply with: Documentary requirements? DO NOT READ OPTIONS OUT LOUD. SELECT ALL THAT APPLY.</t>
        </is>
      </c>
      <c r="D184" s="8" t="inlineStr"/>
      <c r="E184" s="8" t="inlineStr">
        <is>
          <t>Q52 option 08 not ticked → Q61</t>
        </is>
      </c>
      <c r="F184" s="8" t="inlineStr">
        <is>
          <t>D. YAKAP/Konsulta Package</t>
        </is>
      </c>
      <c r="G184" s="8" t="inlineStr">
        <is>
          <t>alpha 14</t>
        </is>
      </c>
      <c r="H184" s="8" t="inlineStr">
        <is>
          <t>01 = Not enough budget / too expensive
02 = Time-consuming
03 = Limited human resources
04 = Legal processes
05 = Compiling documentary requirements
06 = Stringent standards
99 = Other (specify)</t>
        </is>
      </c>
      <c r="I184" s="8" t="inlineStr"/>
      <c r="J184" s="8" t="inlineStr"/>
    </row>
    <row r="185">
      <c r="A185" s="9" t="inlineStr">
        <is>
          <t>q60_why_diff_docs_other_txt</t>
        </is>
      </c>
      <c r="B185" s="10" t="inlineStr">
        <is>
          <t>60. Why was it difficult to comply with: Documentary requirements? — Other (specify) text</t>
        </is>
      </c>
      <c r="C185" s="10" t="inlineStr">
        <is>
          <t>60. Why was it difficult to comply with: Documentary requirements? — Other (specify) text</t>
        </is>
      </c>
      <c r="D185" s="10" t="inlineStr"/>
      <c r="E185" s="10" t="inlineStr"/>
      <c r="F185" s="10" t="inlineStr">
        <is>
          <t>D. YAKAP/Konsulta Package</t>
        </is>
      </c>
      <c r="G185" s="10" t="inlineStr">
        <is>
          <t>alpha 120</t>
        </is>
      </c>
      <c r="H185" s="10" t="inlineStr"/>
      <c r="I185" s="10" t="inlineStr"/>
      <c r="J185" s="10" t="inlineStr"/>
    </row>
    <row r="186">
      <c r="A186" s="7" t="inlineStr">
        <is>
          <t>q61_why_diff_doh_lic</t>
        </is>
      </c>
      <c r="B186" s="8" t="inlineStr">
        <is>
          <t>61. Why was it difficult to comply with: DOH Licensing requirements?</t>
        </is>
      </c>
      <c r="C186" s="8" t="inlineStr">
        <is>
          <t>61. Why was it difficult to comply with: DOH Licensing requirements? DO NOT READ OPTIONS OUT LOUD. SELECT ALL THAT APPLY.</t>
        </is>
      </c>
      <c r="D186" s="8" t="inlineStr"/>
      <c r="E186" s="8" t="inlineStr">
        <is>
          <t>Q52 option 09 not ticked → Q62</t>
        </is>
      </c>
      <c r="F186" s="8" t="inlineStr">
        <is>
          <t>D. YAKAP/Konsulta Package</t>
        </is>
      </c>
      <c r="G186" s="8" t="inlineStr">
        <is>
          <t>alpha 14</t>
        </is>
      </c>
      <c r="H186" s="8" t="inlineStr">
        <is>
          <t>01 = Not enough budget / too expensive
02 = Time-consuming
03 = Limited human resources
04 = Legal processes
05 = Compiling documentary requirements
06 = Stringent standards
99 = Other (specify)</t>
        </is>
      </c>
      <c r="I186" s="8" t="inlineStr"/>
      <c r="J186" s="8" t="inlineStr"/>
    </row>
    <row r="187">
      <c r="A187" s="9" t="inlineStr">
        <is>
          <t>q61_why_diff_doh_lic_other_txt</t>
        </is>
      </c>
      <c r="B187" s="10" t="inlineStr">
        <is>
          <t>61. Why was it difficult to comply with: DOH Licensing requirements? — Other (specify) text</t>
        </is>
      </c>
      <c r="C187" s="10" t="inlineStr">
        <is>
          <t>61. Why was it difficult to comply with: DOH Licensing requirements? — Other (specify) text</t>
        </is>
      </c>
      <c r="D187" s="10" t="inlineStr"/>
      <c r="E187" s="10" t="inlineStr"/>
      <c r="F187" s="10" t="inlineStr">
        <is>
          <t>D. YAKAP/Konsulta Package</t>
        </is>
      </c>
      <c r="G187" s="10" t="inlineStr">
        <is>
          <t>alpha 120</t>
        </is>
      </c>
      <c r="H187" s="10" t="inlineStr"/>
      <c r="I187" s="10" t="inlineStr"/>
      <c r="J187" s="10" t="inlineStr"/>
    </row>
    <row r="188">
      <c r="A188" s="7" t="inlineStr">
        <is>
          <t>q62_enroll_responsibility</t>
        </is>
      </c>
      <c r="B188" s="8" t="inlineStr">
        <is>
          <t>62. Based on your understanding, whose responsibility is it to enroll patients to YAKAP/Konsulta?</t>
        </is>
      </c>
      <c r="C188" s="8" t="inlineStr">
        <is>
          <t>62. Based on your understanding, whose responsibility is it to enroll patients to YAKAP/Konsulta? READ OPTIONS OUT LOUD. SELECT ALL THAT APPLY.</t>
        </is>
      </c>
      <c r="D188" s="8" t="inlineStr"/>
      <c r="E188" s="8" t="inlineStr"/>
      <c r="F188" s="8" t="inlineStr">
        <is>
          <t>D. YAKAP/Konsulta Package</t>
        </is>
      </c>
      <c r="G188" s="8" t="inlineStr">
        <is>
          <t>alpha 14</t>
        </is>
      </c>
      <c r="H188" s="8" t="inlineStr">
        <is>
          <t>01 = Patients' own initiative
02 = Facility
03 = LGU
04 = Someone else
05 = PhilHealth
99 = Other (specify)</t>
        </is>
      </c>
      <c r="I188" s="8" t="inlineStr">
        <is>
          <t>90 = I don't know</t>
        </is>
      </c>
      <c r="J188" s="8" t="inlineStr">
        <is>
          <t>[HARD] Check Box, at least one required (msg 1273); code 90 exclusive (msg 1274)</t>
        </is>
      </c>
    </row>
    <row r="189">
      <c r="A189" s="9" t="inlineStr">
        <is>
          <t>q62_enroll_responsibility_other_txt</t>
        </is>
      </c>
      <c r="B189" s="10" t="inlineStr">
        <is>
          <t>62. Based on your understanding, whose responsibility is it to enroll patients to YAKAP/Konsulta? — Other (specify) text</t>
        </is>
      </c>
      <c r="C189" s="10" t="inlineStr">
        <is>
          <t>62. Based on your understanding, whose responsibility is it to enroll patients to YAKAP/Konsulta? — Other (specify) text</t>
        </is>
      </c>
      <c r="D189" s="10" t="inlineStr"/>
      <c r="E189" s="10" t="inlineStr"/>
      <c r="F189" s="10" t="inlineStr">
        <is>
          <t>D. YAKAP/Konsulta Package</t>
        </is>
      </c>
      <c r="G189" s="10" t="inlineStr">
        <is>
          <t>alpha 120</t>
        </is>
      </c>
      <c r="H189" s="10" t="inlineStr"/>
      <c r="I189" s="10" t="inlineStr"/>
      <c r="J189" s="10" t="inlineStr"/>
    </row>
    <row r="190">
      <c r="A190" s="7" t="inlineStr">
        <is>
          <t>q63_enroll_initiatives</t>
        </is>
      </c>
      <c r="B190" s="8" t="inlineStr">
        <is>
          <t>63. Which of the following initiatives are you doing to enroll patients in this facility to YAKAP/Konsulta?</t>
        </is>
      </c>
      <c r="C190" s="8" t="inlineStr">
        <is>
          <t>63. Which of the following initiatives are you doing to enroll patients in this facility to YAKAP/Konsulta? READ OPTIONS OUT LOUD. SELECT ALL THAT APPLY.</t>
        </is>
      </c>
      <c r="D190" s="8" t="inlineStr"/>
      <c r="E190" s="8" t="inlineStr"/>
      <c r="F190" s="8" t="inlineStr">
        <is>
          <t>D. YAKAP/Konsulta Package</t>
        </is>
      </c>
      <c r="G190" s="8" t="inlineStr">
        <is>
          <t>alpha 18</t>
        </is>
      </c>
      <c r="H190" s="8" t="inlineStr">
        <is>
          <t>01 = On-site Enrollment (e.g., offering patient enrollment at the health facility)
02 = LGU Outreach (e.g., involvement in LGU outreach activities, such as ongoing nutrition programs)
03 = Facility Outreach (e.g., engaging in outreach efforts directly from the facility)
04 = Barangay Health Workers (BHWs) Support (e.g., receiving support from local BHWs)
05 = Information Campaigns (e.g., conducting information campaigns through various channels, including but not limited to online campaigns and house-to-house visits)
06 = Local Health Insurance Offices (LHIO); assistance or partnerships with YAKAP/Konsulta caravans
07 = Coordination with other government agencies and the private sector
90 = No initiatives
99 = Other (specify)</t>
        </is>
      </c>
      <c r="I190" s="8" t="inlineStr"/>
      <c r="J190" s="8" t="inlineStr">
        <is>
          <t>[HARD] Check Box, at least one required (msg 1276); code 90 exclusive (msg 1277)</t>
        </is>
      </c>
    </row>
    <row r="191">
      <c r="A191" s="9" t="inlineStr">
        <is>
          <t>q63_enroll_initiatives_other_txt</t>
        </is>
      </c>
      <c r="B191" s="10" t="inlineStr">
        <is>
          <t>63. Which of the following initiatives are you doing to enroll patients in this facility to YAKAP/Konsulta? — Other (specify) text</t>
        </is>
      </c>
      <c r="C191" s="10" t="inlineStr">
        <is>
          <t>63. Which of the following initiatives are you doing to enroll patients in this facility to YAKAP/Konsulta? — Other (specify) text</t>
        </is>
      </c>
      <c r="D191" s="10" t="inlineStr"/>
      <c r="E191" s="10" t="inlineStr"/>
      <c r="F191" s="10" t="inlineStr">
        <is>
          <t>D. YAKAP/Konsulta Package</t>
        </is>
      </c>
      <c r="G191" s="10" t="inlineStr">
        <is>
          <t>alpha 120</t>
        </is>
      </c>
      <c r="H191" s="10" t="inlineStr"/>
      <c r="I191" s="10" t="inlineStr"/>
      <c r="J191" s="10" t="inlineStr"/>
    </row>
    <row r="192">
      <c r="A192" s="7" t="inlineStr">
        <is>
          <t>q64_enroll_chall</t>
        </is>
      </c>
      <c r="B192" s="8" t="inlineStr">
        <is>
          <t>64. Did you experience any challenges in enrolling patients to YAKAP/Konsulta?</t>
        </is>
      </c>
      <c r="C192" s="8" t="inlineStr">
        <is>
          <t>64. Did you experience any challenges in enrolling patients to YAKAP/Konsulta?</t>
        </is>
      </c>
      <c r="D192" s="8" t="inlineStr"/>
      <c r="E192" s="8">
        <f> No (2) → Q72 (skip Q65)</f>
        <v/>
      </c>
      <c r="F192" s="8" t="inlineStr">
        <is>
          <t>D. YAKAP/Konsulta Package</t>
        </is>
      </c>
      <c r="G192" s="8" t="inlineStr">
        <is>
          <t>numeric 1</t>
        </is>
      </c>
      <c r="H192" s="8" t="inlineStr">
        <is>
          <t>1 = Yes
2 = No</t>
        </is>
      </c>
      <c r="I192" s="8" t="inlineStr"/>
      <c r="J192" s="8" t="inlineStr"/>
    </row>
    <row r="193">
      <c r="A193" s="9" t="inlineStr">
        <is>
          <t>q65_enroll_chall_list</t>
        </is>
      </c>
      <c r="B193" s="10" t="inlineStr">
        <is>
          <t>65. What are the challenges you have faced?</t>
        </is>
      </c>
      <c r="C193" s="10" t="inlineStr">
        <is>
          <t>65. What are the challenges you have faced? READ OPTIONS OUT LOUD. SELECT ALL THAT APPLY.</t>
        </is>
      </c>
      <c r="D193" s="10" t="inlineStr">
        <is>
          <t>not asked when Q38 YK_ACCRED = No (2)
not asked when Q64 ENROLL_CHALL = No (2)</t>
        </is>
      </c>
      <c r="E193" s="10" t="inlineStr">
        <is>
          <t>Q38 = Yes (accredited) → Q72 (skip Q66–Q71, the not-accredited block)</t>
        </is>
      </c>
      <c r="F193" s="10" t="inlineStr">
        <is>
          <t>D. YAKAP/Konsulta Package</t>
        </is>
      </c>
      <c r="G193" s="10" t="inlineStr">
        <is>
          <t>alpha 12</t>
        </is>
      </c>
      <c r="H193" s="10" t="inlineStr">
        <is>
          <t>01 = Lack of patient awareness (i.e., patients are unaware of YAKAP/Konsulta, its benefits, and registration process)
02 = Lack of patient willingness (i.e., patient is hesitant to provide personal information or has concerns about data security)
03 = Lack of resources (e.g., not enough manpower to conduct information campaigns or outreaches to enroll patients to YAKAP/Konsulta)
04 = Competition with other health facilities over patient registration
05 = Technical / system issues of PhilHealth (e.g., data loss, errors, or platform accessibility problems)
99 = Other (specify)</t>
        </is>
      </c>
      <c r="I193" s="10" t="inlineStr"/>
      <c r="J193" s="10" t="inlineStr">
        <is>
          <t>[HARD] Check Box, at least one required (msg 1079)</t>
        </is>
      </c>
    </row>
    <row r="194">
      <c r="A194" s="7" t="inlineStr">
        <is>
          <t>q65_enroll_chall_list_other_txt</t>
        </is>
      </c>
      <c r="B194" s="8" t="inlineStr">
        <is>
          <t>65. What are the challenges you have faced? — Other (specify) text</t>
        </is>
      </c>
      <c r="C194" s="8" t="inlineStr">
        <is>
          <t>65. What are the challenges you have faced? — Other (specify) text</t>
        </is>
      </c>
      <c r="D194" s="8" t="inlineStr">
        <is>
          <t>not asked when Q38 YK_ACCRED = No (2)
not asked when Q64 ENROLL_CHALL = No (2)</t>
        </is>
      </c>
      <c r="E194" s="8" t="inlineStr"/>
      <c r="F194" s="8" t="inlineStr">
        <is>
          <t>D. YAKAP/Konsulta Package</t>
        </is>
      </c>
      <c r="G194" s="8" t="inlineStr">
        <is>
          <t>alpha 120</t>
        </is>
      </c>
      <c r="H194" s="8" t="inlineStr"/>
      <c r="I194" s="8" t="inlineStr"/>
      <c r="J194" s="8" t="inlineStr"/>
    </row>
    <row r="195">
      <c r="A195" s="9" t="inlineStr">
        <is>
          <t>q66_not_accred_reason</t>
        </is>
      </c>
      <c r="B195" s="10" t="inlineStr">
        <is>
          <t>66. If not YAKAP/ Konsulta accredited, why are you not accredited?</t>
        </is>
      </c>
      <c r="C195" s="10" t="inlineStr">
        <is>
          <t>66. If not YAKAP/ Konsulta accredited, why are you not accredited? READ OPTIONS OUT LOUD. SELECT ALL THAT APPLY.</t>
        </is>
      </c>
      <c r="D195" s="10" t="inlineStr">
        <is>
          <t>not asked when Q65 ENROLL_CHALL_LIST Q38 = Yes (accredited)</t>
        </is>
      </c>
      <c r="E195" s="10" t="inlineStr">
        <is>
          <t>Q38 ≠ No (belt-and-braces entry gate) → Q72</t>
        </is>
      </c>
      <c r="F195" s="10" t="inlineStr">
        <is>
          <t>D. YAKAP/Konsulta Package</t>
        </is>
      </c>
      <c r="G195" s="10" t="inlineStr">
        <is>
          <t>alpha 8</t>
        </is>
      </c>
      <c r="H195" s="10" t="inlineStr">
        <is>
          <t>01 = Difficult process
02 = No time
03 = Ongoing application
99 = Other (specify)</t>
        </is>
      </c>
      <c r="I195" s="10" t="inlineStr"/>
      <c r="J195" s="10" t="inlineStr">
        <is>
          <t>[HARD] Check Box, at least one required (msg 1132)</t>
        </is>
      </c>
    </row>
    <row r="196">
      <c r="A196" s="7" t="inlineStr">
        <is>
          <t>q66_not_accred_reason_other_txt</t>
        </is>
      </c>
      <c r="B196" s="8" t="inlineStr">
        <is>
          <t>66. If not YAKAP/ Konsulta accredited, why are you not accredited? — Other (specify) text</t>
        </is>
      </c>
      <c r="C196" s="8" t="inlineStr">
        <is>
          <t>66. If not YAKAP/ Konsulta accredited, why are you not accredited? — Other (specify) text</t>
        </is>
      </c>
      <c r="D196" s="8" t="inlineStr">
        <is>
          <t>not asked when Q65 ENROLL_CHALL_LIST Q38 = Yes (accredited)</t>
        </is>
      </c>
      <c r="E196" s="8" t="inlineStr"/>
      <c r="F196" s="8" t="inlineStr">
        <is>
          <t>D. YAKAP/Konsulta Package</t>
        </is>
      </c>
      <c r="G196" s="8" t="inlineStr">
        <is>
          <t>alpha 120</t>
        </is>
      </c>
      <c r="H196" s="8" t="inlineStr"/>
      <c r="I196" s="8" t="inlineStr"/>
      <c r="J196" s="8" t="inlineStr"/>
    </row>
    <row r="197">
      <c r="A197" s="9" t="inlineStr">
        <is>
          <t>q67_intend_accred</t>
        </is>
      </c>
      <c r="B197" s="10" t="inlineStr">
        <is>
          <t>67. Are you intending to become a YAKAP/Konsulta provider?</t>
        </is>
      </c>
      <c r="C197" s="10" t="inlineStr">
        <is>
          <t>67. Are you intending to become a YAKAP/Konsulta provider?</t>
        </is>
      </c>
      <c r="D197" s="10" t="inlineStr"/>
      <c r="E197" s="10" t="inlineStr">
        <is>
          <t>in 1, 2 (Yes, in process / Yes, not yet in process) → Q71
= 3 (No, decided not to) → Q69
= 4 (No, tried and failed) → Q70
= 5 (No, have not thought about it yet) → Q68
= 6 (I don't know) → Q79 — defect-fix: the paper sends this to Q72, which is the accredited-only block a Q67 respondent can never be in</t>
        </is>
      </c>
      <c r="F197" s="10" t="inlineStr">
        <is>
          <t>D. YAKAP/Konsulta Package</t>
        </is>
      </c>
      <c r="G197" s="10" t="inlineStr">
        <is>
          <t>numeric 1</t>
        </is>
      </c>
      <c r="H197" s="10" t="inlineStr">
        <is>
          <t>1 = Yes, already in process
2 = Yes, not yet in process
3 = No, decided not to
4 = No, tried and failed
5 = No, haven't thought about it yet</t>
        </is>
      </c>
      <c r="I197" s="10" t="inlineStr">
        <is>
          <t>6 = I don't know</t>
        </is>
      </c>
      <c r="J197" s="10" t="inlineStr"/>
    </row>
    <row r="198">
      <c r="A198" s="7" t="inlineStr">
        <is>
          <t>q68_know_how_start</t>
        </is>
      </c>
      <c r="B198" s="8" t="inlineStr">
        <is>
          <t>68. If you decide to apply today, would you know how to start the process?</t>
        </is>
      </c>
      <c r="C198" s="8" t="inlineStr">
        <is>
          <t>68. If you decide to apply today, would you know how to start the process?</t>
        </is>
      </c>
      <c r="D198" s="8" t="inlineStr"/>
      <c r="E198" s="8" t="inlineStr">
        <is>
          <t>(unconditional — the Q67 = 5 tail) → Q79</t>
        </is>
      </c>
      <c r="F198" s="8" t="inlineStr">
        <is>
          <t>D. YAKAP/Konsulta Package</t>
        </is>
      </c>
      <c r="G198" s="8" t="inlineStr">
        <is>
          <t>numeric 1</t>
        </is>
      </c>
      <c r="H198" s="8" t="inlineStr">
        <is>
          <t>1 = Yes
2 = No</t>
        </is>
      </c>
      <c r="I198" s="8" t="inlineStr"/>
      <c r="J198" s="8" t="inlineStr"/>
    </row>
    <row r="199">
      <c r="A199" s="9" t="inlineStr">
        <is>
          <t>q69_decided_not_reason</t>
        </is>
      </c>
      <c r="B199" s="10" t="inlineStr">
        <is>
          <t>69. What was the deciding factor not to apply?</t>
        </is>
      </c>
      <c r="C199" s="10" t="inlineStr">
        <is>
          <t>69. What was the deciding factor not to apply?</t>
        </is>
      </c>
      <c r="D199" s="10" t="inlineStr"/>
      <c r="E199" s="10" t="inlineStr">
        <is>
          <t>(unconditional — the Q67 = 3 tail) → Q79</t>
        </is>
      </c>
      <c r="F199" s="10" t="inlineStr">
        <is>
          <t>D. YAKAP/Konsulta Package</t>
        </is>
      </c>
      <c r="G199" s="10" t="inlineStr">
        <is>
          <t>alpha 240</t>
        </is>
      </c>
      <c r="H199" s="10" t="inlineStr"/>
      <c r="I199" s="10" t="inlineStr"/>
      <c r="J199" s="10" t="inlineStr"/>
    </row>
    <row r="200">
      <c r="A200" s="7" t="inlineStr">
        <is>
          <t>q70_tried_failed_reason</t>
        </is>
      </c>
      <c r="B200" s="8" t="inlineStr">
        <is>
          <t>70. What went wrong with the application?</t>
        </is>
      </c>
      <c r="C200" s="8" t="inlineStr">
        <is>
          <t>70. What went wrong with the application?</t>
        </is>
      </c>
      <c r="D200" s="8" t="inlineStr"/>
      <c r="E200" s="8" t="inlineStr">
        <is>
          <t>(unconditional — the Q67 = 4 tail) → Q79</t>
        </is>
      </c>
      <c r="F200" s="8" t="inlineStr">
        <is>
          <t>D. YAKAP/Konsulta Package</t>
        </is>
      </c>
      <c r="G200" s="8" t="inlineStr">
        <is>
          <t>alpha 240</t>
        </is>
      </c>
      <c r="H200" s="8" t="inlineStr"/>
      <c r="I200" s="8" t="inlineStr"/>
      <c r="J200" s="8" t="inlineStr"/>
    </row>
    <row r="201">
      <c r="A201" s="9" t="inlineStr">
        <is>
          <t>q71_process_chall</t>
        </is>
      </c>
      <c r="B201" s="10" t="inlineStr">
        <is>
          <t>71. What are some challenges in the process, if any?</t>
        </is>
      </c>
      <c r="C201" s="10" t="inlineStr">
        <is>
          <t>71. What are some challenges in the process, if any?</t>
        </is>
      </c>
      <c r="D201" s="10" t="inlineStr">
        <is>
          <t>not asked when Q65 ENROLL_CHALL_LIST Q38 = Yes (accredited)</t>
        </is>
      </c>
      <c r="E201" s="10" t="inlineStr">
        <is>
          <t>(unconditional — the Q67 in 1,2 tail; the not-accredited block ends here) → Q79</t>
        </is>
      </c>
      <c r="F201" s="10" t="inlineStr">
        <is>
          <t>D. YAKAP/Konsulta Package</t>
        </is>
      </c>
      <c r="G201" s="10" t="inlineStr">
        <is>
          <t>alpha 240</t>
        </is>
      </c>
      <c r="H201" s="10" t="inlineStr"/>
      <c r="I201" s="10" t="inlineStr"/>
      <c r="J201" s="10" t="inlineStr"/>
    </row>
    <row r="202">
      <c r="A202" s="7" t="inlineStr">
        <is>
          <t>q72_catchment_area</t>
        </is>
      </c>
      <c r="B202" s="8" t="inlineStr">
        <is>
          <t>72. What areas do you consider as the facility's catchment area/s?</t>
        </is>
      </c>
      <c r="C202" s="8" t="inlineStr">
        <is>
          <t>72. What areas do you consider as the facility's catchment area/s?</t>
        </is>
      </c>
      <c r="D202" s="8" t="inlineStr"/>
      <c r="E202" s="8" t="inlineStr">
        <is>
          <t>Q38 = No (entry gate on the accredited costing block) → Q79</t>
        </is>
      </c>
      <c r="F202" s="8" t="inlineStr">
        <is>
          <t>D. YAKAP/Konsulta Package</t>
        </is>
      </c>
      <c r="G202" s="8" t="inlineStr">
        <is>
          <t>alpha 240</t>
        </is>
      </c>
      <c r="H202" s="8" t="inlineStr"/>
      <c r="I202" s="8" t="inlineStr"/>
      <c r="J202" s="8" t="inlineStr"/>
    </row>
    <row r="203">
      <c r="A203" s="9" t="inlineStr">
        <is>
          <t>q73_eligible_patients</t>
        </is>
      </c>
      <c r="B203" s="10" t="inlineStr">
        <is>
          <t>73. How many patients in your catchment area are eligible to register to this YAKAP/Konsulta provider?</t>
        </is>
      </c>
      <c r="C203" s="10" t="inlineStr">
        <is>
          <t>73. How many patients in your catchment area are eligible to register to this YAKAP/Konsulta provider?</t>
        </is>
      </c>
      <c r="D203" s="10" t="inlineStr"/>
      <c r="E203" s="10" t="inlineStr"/>
      <c r="F203" s="10" t="inlineStr">
        <is>
          <t>D. YAKAP/Konsulta Package</t>
        </is>
      </c>
      <c r="G203" s="10" t="inlineStr">
        <is>
          <t>numeric 7</t>
        </is>
      </c>
      <c r="H203" s="10" t="inlineStr"/>
      <c r="I203" s="10" t="inlineStr"/>
      <c r="J203" s="10" t="inlineStr">
        <is>
          <t>[SOFT] `&gt; 500,000` warns without blocking (msg 1093)</t>
        </is>
      </c>
    </row>
    <row r="204">
      <c r="A204" s="7" t="inlineStr">
        <is>
          <t>q74_registered_patients</t>
        </is>
      </c>
      <c r="B204" s="8" t="inlineStr">
        <is>
          <t>74. How many eligible patients in your catchment area are already registered to this YAKAP/Konsulta provider?</t>
        </is>
      </c>
      <c r="C204" s="8" t="inlineStr">
        <is>
          <t>74. How many eligible patients in your catchment area are already registered to this YAKAP/Konsulta provider?</t>
        </is>
      </c>
      <c r="D204" s="8" t="inlineStr"/>
      <c r="E204" s="8" t="inlineStr"/>
      <c r="F204" s="8" t="inlineStr">
        <is>
          <t>D. YAKAP/Konsulta Package</t>
        </is>
      </c>
      <c r="G204" s="8" t="inlineStr">
        <is>
          <t>numeric 7</t>
        </is>
      </c>
      <c r="H204" s="8" t="inlineStr"/>
      <c r="I204" s="8" t="inlineStr"/>
      <c r="J204" s="8" t="inlineStr">
        <is>
          <t>[HARD] `≤ Q73_ELIGIBLE_PATIENTS` — registered cannot exceed eligible (msg 1094)</t>
        </is>
      </c>
    </row>
    <row r="205">
      <c r="A205" s="9" t="inlineStr">
        <is>
          <t>q75_is_1700_enough</t>
        </is>
      </c>
      <c r="B205" s="10" t="inlineStr">
        <is>
          <t>75. The maximum per capita rate for YAKAP/Konsulta is Php 1,700 across private and public facilities (40% after first patient encounter, 60% based on registered catchment population by December). Based on your practice, is this enough?</t>
        </is>
      </c>
      <c r="C205" s="10" t="inlineStr">
        <is>
          <t>75. The maximum per capita rate for YAKAP/Konsulta is Php 1,700 across private and public facilities (40% after first patient encounter, 60% based on registered catchment population by December). Based on your practice, is this enough?</t>
        </is>
      </c>
      <c r="D205" s="10" t="inlineStr"/>
      <c r="E205" s="10" t="inlineStr"/>
      <c r="F205" s="10" t="inlineStr">
        <is>
          <t>D. YAKAP/Konsulta Package</t>
        </is>
      </c>
      <c r="G205" s="10" t="inlineStr">
        <is>
          <t>numeric 1</t>
        </is>
      </c>
      <c r="H205" s="10" t="inlineStr">
        <is>
          <t>1 = Yes
2 = No</t>
        </is>
      </c>
      <c r="I205" s="10" t="inlineStr">
        <is>
          <t>3 = I don't know</t>
        </is>
      </c>
      <c r="J205" s="10" t="inlineStr"/>
    </row>
    <row r="206">
      <c r="A206" s="7" t="inlineStr">
        <is>
          <t>q76_costing_done</t>
        </is>
      </c>
      <c r="B206" s="8" t="inlineStr">
        <is>
          <t>76. Did you go through a costing exercise to figure out if this was viable for your facility?</t>
        </is>
      </c>
      <c r="C206" s="8" t="inlineStr">
        <is>
          <t>76. Did you go through a costing exercise to figure out if this was viable for your facility?</t>
        </is>
      </c>
      <c r="D206" s="8" t="inlineStr"/>
      <c r="E206" s="8">
        <f> No (2) → Q78 (skip Q77)</f>
        <v/>
      </c>
      <c r="F206" s="8" t="inlineStr">
        <is>
          <t>D. YAKAP/Konsulta Package</t>
        </is>
      </c>
      <c r="G206" s="8" t="inlineStr">
        <is>
          <t>numeric 1</t>
        </is>
      </c>
      <c r="H206" s="8" t="inlineStr">
        <is>
          <t>1 = Yes
2 = No</t>
        </is>
      </c>
      <c r="I206" s="8" t="inlineStr">
        <is>
          <t>3 = I don't know</t>
        </is>
      </c>
      <c r="J206" s="8" t="inlineStr"/>
    </row>
    <row r="207">
      <c r="A207" s="9" t="inlineStr">
        <is>
          <t>q77_costing_viable</t>
        </is>
      </c>
      <c r="B207" s="10" t="inlineStr">
        <is>
          <t>77. Did the costing exercise show that Php 1,700 was viable for your facility?</t>
        </is>
      </c>
      <c r="C207" s="10" t="inlineStr">
        <is>
          <t>77. Did the costing exercise show that Php 1,700 was viable for your facility?</t>
        </is>
      </c>
      <c r="D207" s="10" t="inlineStr">
        <is>
          <t>not asked when Q76 COSTING_DONE = No (2)</t>
        </is>
      </c>
      <c r="E207" s="10">
        <f> No (2) → Q78
in 1, 3 (Yes / I don't know) → Q80</f>
        <v/>
      </c>
      <c r="F207" s="10" t="inlineStr">
        <is>
          <t>D. YAKAP/Konsulta Package</t>
        </is>
      </c>
      <c r="G207" s="10" t="inlineStr">
        <is>
          <t>numeric 1</t>
        </is>
      </c>
      <c r="H207" s="10" t="inlineStr">
        <is>
          <t>1 = Yes
2 = No</t>
        </is>
      </c>
      <c r="I207" s="10" t="inlineStr">
        <is>
          <t>3 = I don't know</t>
        </is>
      </c>
      <c r="J207" s="10" t="inlineStr"/>
    </row>
    <row r="208">
      <c r="A208" s="7" t="inlineStr">
        <is>
          <t>q78_min_cap_value_acc</t>
        </is>
      </c>
      <c r="B208" s="8" t="inlineStr">
        <is>
          <t>78. What would be the minimum acceptable capitation value per patient per year for you as a YAKAP/ Konsulta provider?</t>
        </is>
      </c>
      <c r="C208" s="8" t="inlineStr">
        <is>
          <t>78. What would be the minimum acceptable capitation value per patient per year for you as a YAKAP/ Konsulta provider?</t>
        </is>
      </c>
      <c r="D208" s="8" t="inlineStr"/>
      <c r="E208" s="8" t="inlineStr"/>
      <c r="F208" s="8" t="inlineStr">
        <is>
          <t>D. YAKAP/Konsulta Package</t>
        </is>
      </c>
      <c r="G208" s="8" t="inlineStr">
        <is>
          <t>numeric 6</t>
        </is>
      </c>
      <c r="H208" s="8" t="inlineStr"/>
      <c r="I208" s="8" t="inlineStr"/>
      <c r="J208" s="8" t="inlineStr">
        <is>
          <t>[SOFT] `&gt; 0` and `&lt; 1700` prompts "below the PHP 1,700 PhilHealth max — confirm?" and re-enters on No (#533)</t>
        </is>
      </c>
    </row>
    <row r="209">
      <c r="A209" s="9" t="inlineStr">
        <is>
          <t>q79_min_cap_value_nonacc</t>
        </is>
      </c>
      <c r="B209" s="10" t="inlineStr">
        <is>
          <t>79. What would be the minimum acceptable capitation value per patient per year for you to consider being a YAKAP/Konsulta provider?</t>
        </is>
      </c>
      <c r="C209" s="10" t="inlineStr">
        <is>
          <t>79. What would be the minimum acceptable capitation value per patient per year for you to consider being a YAKAP/Konsulta provider?</t>
        </is>
      </c>
      <c r="D209" s="10" t="inlineStr"/>
      <c r="E209" s="10" t="inlineStr">
        <is>
          <t>Q38 ≠ No — entry gate; accredited facilities never see this item → Q80
(unconditional, once answered) → Q88 — the not-accredited arm exits Section D here</t>
        </is>
      </c>
      <c r="F209" s="10" t="inlineStr">
        <is>
          <t>D. YAKAP/Konsulta Package</t>
        </is>
      </c>
      <c r="G209" s="10" t="inlineStr">
        <is>
          <t>numeric 6</t>
        </is>
      </c>
      <c r="H209" s="10" t="inlineStr"/>
      <c r="I209" s="10" t="inlineStr"/>
      <c r="J209" s="10" t="inlineStr">
        <is>
          <t>[GATE] `Q38_YK_ACCRED = No` only</t>
        </is>
      </c>
    </row>
    <row r="210">
      <c r="A210" s="7" t="inlineStr">
        <is>
          <t>q80_charge_addl_cap</t>
        </is>
      </c>
      <c r="B210" s="8" t="inlineStr">
        <is>
          <t>80. Does your facility charge additional capitation fees?</t>
        </is>
      </c>
      <c r="C210" s="8" t="inlineStr">
        <is>
          <t>80. Does your facility charge additional capitation fees?</t>
        </is>
      </c>
      <c r="D210" s="8" t="inlineStr"/>
      <c r="E210" s="8">
        <f> No (2) → Q82 (skip Q81)</f>
        <v/>
      </c>
      <c r="F210" s="8" t="inlineStr">
        <is>
          <t>D. YAKAP/Konsulta Package</t>
        </is>
      </c>
      <c r="G210" s="8" t="inlineStr">
        <is>
          <t>numeric 1</t>
        </is>
      </c>
      <c r="H210" s="8" t="inlineStr">
        <is>
          <t>1 = Yes
2 = No</t>
        </is>
      </c>
      <c r="I210" s="8" t="inlineStr"/>
      <c r="J210" s="8" t="inlineStr"/>
    </row>
    <row r="211">
      <c r="A211" s="9" t="inlineStr">
        <is>
          <t>q81_charge_addl_cap_reasons</t>
        </is>
      </c>
      <c r="B211" s="10" t="inlineStr">
        <is>
          <t>81. What is/are the reason/s for the facility to charge additional capitation fees?</t>
        </is>
      </c>
      <c r="C211" s="10" t="inlineStr">
        <is>
          <t>81. What is/are the reason/s for the facility to charge additional capitation fees? DO NOT READ OPTIONS OUT LOUD. SELECT ALL THAT APPLY.</t>
        </is>
      </c>
      <c r="D211" s="10" t="inlineStr">
        <is>
          <t>not asked when Q80 CHARGE_ADDL_CAP = No (2)</t>
        </is>
      </c>
      <c r="E211" s="10" t="inlineStr"/>
      <c r="F211" s="10" t="inlineStr">
        <is>
          <t>D. YAKAP/Konsulta Package</t>
        </is>
      </c>
      <c r="G211" s="10" t="inlineStr">
        <is>
          <t>alpha 12</t>
        </is>
      </c>
      <c r="H211" s="10" t="inlineStr">
        <is>
          <t>01 = To cover expenses related to building maintenance, equipment, and non-clinical staff
02 = A patient's care costs exceed the predetermined fixed payment
03 = Services excluded from capitation coverage
04 = Provide preventive care that may not be adequately compensated under a basic capitation plan
05 = Offset losses
99 = Other (Specify)</t>
        </is>
      </c>
      <c r="I211" s="10" t="inlineStr"/>
      <c r="J211" s="10" t="inlineStr">
        <is>
          <t>[HARD] Check Box, at least one required (msg 1280)</t>
        </is>
      </c>
    </row>
    <row r="212">
      <c r="A212" s="7" t="inlineStr">
        <is>
          <t>q81_charge_addl_cap_reasons_other_txt</t>
        </is>
      </c>
      <c r="B212" s="8" t="inlineStr">
        <is>
          <t>81. What is/are the reason/s for the facility to charge additional capitation fees? — Other (specify) text</t>
        </is>
      </c>
      <c r="C212" s="8" t="inlineStr">
        <is>
          <t>81. What is/are the reason/s for the facility to charge additional capitation fees? — Other (specify) text</t>
        </is>
      </c>
      <c r="D212" s="8" t="inlineStr">
        <is>
          <t>not asked when Q80 CHARGE_ADDL_CAP = No (2)</t>
        </is>
      </c>
      <c r="E212" s="8" t="inlineStr"/>
      <c r="F212" s="8" t="inlineStr">
        <is>
          <t>D. YAKAP/Konsulta Package</t>
        </is>
      </c>
      <c r="G212" s="8" t="inlineStr">
        <is>
          <t>alpha 120</t>
        </is>
      </c>
      <c r="H212" s="8" t="inlineStr"/>
      <c r="I212" s="8" t="inlineStr"/>
      <c r="J212" s="8" t="inlineStr"/>
    </row>
    <row r="213">
      <c r="A213" s="9" t="inlineStr">
        <is>
          <t>q82_received_payments</t>
        </is>
      </c>
      <c r="B213" s="10" t="inlineStr">
        <is>
          <t>82. Have you already received payments for patients enrolled?</t>
        </is>
      </c>
      <c r="C213" s="10" t="inlineStr">
        <is>
          <t>82. Have you already received payments for patients enrolled? READ OPTIONS OUT LOUD. SELECT ONE ANSWER ONLY.</t>
        </is>
      </c>
      <c r="D213" s="10" t="inlineStr"/>
      <c r="E213" s="10" t="inlineStr">
        <is>
          <t>in 1, 2 (all expected payments / some but not all) → Q84 (skip Q83)</t>
        </is>
      </c>
      <c r="F213" s="10" t="inlineStr">
        <is>
          <t>D. YAKAP/Konsulta Package</t>
        </is>
      </c>
      <c r="G213" s="10" t="inlineStr">
        <is>
          <t>numeric 1</t>
        </is>
      </c>
      <c r="H213" s="10" t="inlineStr">
        <is>
          <t>1 = Yes, we have received all expected payments
2 = Yes, we have received some but not all expected payments yet
3 = No, we have not received any expected payments yet
4 = No, we have not expected any payments yet</t>
        </is>
      </c>
      <c r="I213" s="10" t="inlineStr"/>
      <c r="J213" s="10" t="inlineStr"/>
    </row>
    <row r="214">
      <c r="A214" s="7" t="inlineStr">
        <is>
          <t>q83_not_received_reasons</t>
        </is>
      </c>
      <c r="B214" s="8" t="inlineStr">
        <is>
          <t>83. Why not?</t>
        </is>
      </c>
      <c r="C214" s="8" t="inlineStr">
        <is>
          <t>83. Why not? DO NOT READ OPTIONS OUT LOUD. SELECT ALL THAT APPLY.</t>
        </is>
      </c>
      <c r="D214" s="8" t="inlineStr">
        <is>
          <t>not asked when Q82 RECEIVED_PAYMENTS in 1, 2 (all expected payments / some but not all)</t>
        </is>
      </c>
      <c r="E214" s="8" t="inlineStr"/>
      <c r="F214" s="8" t="inlineStr">
        <is>
          <t>D. YAKAP/Konsulta Package</t>
        </is>
      </c>
      <c r="G214" s="8" t="inlineStr">
        <is>
          <t>alpha 14</t>
        </is>
      </c>
      <c r="H214" s="8" t="inlineStr">
        <is>
          <t>01 = Delays in PhilHealth processing
02 = Delays in facility's tracking of patient enrollment
03 = Difficulties in verifying patient enrollment (PhilHealth)
04 = Facility is not active in meeting criteria for payments (e.g., facility doesn't submit necessary requirements, facility doesn't enroll patients to YAKAP/Konsulta)
05 = Criteria for payments is unclear
99 = Other (specify)</t>
        </is>
      </c>
      <c r="I214" s="8" t="inlineStr">
        <is>
          <t>90 = I don't know</t>
        </is>
      </c>
      <c r="J214" s="8" t="inlineStr">
        <is>
          <t>[HARD] Check Box, at least one required (msg 1282); code 90 exclusive (msg 1283)</t>
        </is>
      </c>
    </row>
    <row r="215">
      <c r="A215" s="9" t="inlineStr">
        <is>
          <t>q83_not_received_reasons_other_txt</t>
        </is>
      </c>
      <c r="B215" s="10" t="inlineStr">
        <is>
          <t>83. Why not? — Other (specify) text</t>
        </is>
      </c>
      <c r="C215" s="10" t="inlineStr">
        <is>
          <t>83. Why not? — Other (specify) text</t>
        </is>
      </c>
      <c r="D215" s="10" t="inlineStr">
        <is>
          <t>not asked when Q82 RECEIVED_PAYMENTS in 1, 2 (all expected payments / some but not all)</t>
        </is>
      </c>
      <c r="E215" s="10" t="inlineStr"/>
      <c r="F215" s="10" t="inlineStr">
        <is>
          <t>D. YAKAP/Konsulta Package</t>
        </is>
      </c>
      <c r="G215" s="10" t="inlineStr">
        <is>
          <t>alpha 120</t>
        </is>
      </c>
      <c r="H215" s="10" t="inlineStr"/>
      <c r="I215" s="10" t="inlineStr"/>
      <c r="J215" s="10" t="inlineStr"/>
    </row>
    <row r="216">
      <c r="A216" s="7" t="inlineStr">
        <is>
          <t>q84_payment_chall</t>
        </is>
      </c>
      <c r="B216" s="8" t="inlineStr">
        <is>
          <t>84. Did you face any challenges in getting these payments?</t>
        </is>
      </c>
      <c r="C216" s="8" t="inlineStr">
        <is>
          <t>84. Did you face any challenges in getting these payments?</t>
        </is>
      </c>
      <c r="D216" s="8" t="inlineStr"/>
      <c r="E216" s="8">
        <f> No (2) → Q86 (skip Q85)</f>
        <v/>
      </c>
      <c r="F216" s="8" t="inlineStr">
        <is>
          <t>D. YAKAP/Konsulta Package</t>
        </is>
      </c>
      <c r="G216" s="8" t="inlineStr">
        <is>
          <t>numeric 1</t>
        </is>
      </c>
      <c r="H216" s="8" t="inlineStr">
        <is>
          <t>1 = Yes
2 = No</t>
        </is>
      </c>
      <c r="I216" s="8" t="inlineStr"/>
      <c r="J216" s="8" t="inlineStr"/>
    </row>
    <row r="217">
      <c r="A217" s="9" t="inlineStr">
        <is>
          <t>q85_payment_chall_list</t>
        </is>
      </c>
      <c r="B217" s="10" t="inlineStr">
        <is>
          <t>85. What were these challenges?</t>
        </is>
      </c>
      <c r="C217" s="10" t="inlineStr">
        <is>
          <t>85. What were these challenges? DO NOT READ OPTIONS OUT LOUD. SELECT ALL THAT APPLY.</t>
        </is>
      </c>
      <c r="D217" s="10" t="inlineStr">
        <is>
          <t>not asked when Q84 PAYMENT_CHALL = No (2)</t>
        </is>
      </c>
      <c r="E217" s="10" t="inlineStr"/>
      <c r="F217" s="10" t="inlineStr">
        <is>
          <t>D. YAKAP/Konsulta Package</t>
        </is>
      </c>
      <c r="G217" s="10" t="inlineStr">
        <is>
          <t>alpha 12</t>
        </is>
      </c>
      <c r="H217" s="10" t="inlineStr">
        <is>
          <t>01 = Delayed payment process
02 = Unclear criteria for capitation
03 = Difficult to meet criteria for capitation
04 = PhilHealth process to apply for payments is difficult/unclear
99 = Other (specify)</t>
        </is>
      </c>
      <c r="I217" s="10" t="inlineStr">
        <is>
          <t>90 = I don't know</t>
        </is>
      </c>
      <c r="J217" s="10" t="inlineStr">
        <is>
          <t>[HARD] Check Box, at least one required (msg 1285); code 90 exclusive (msg 1286)</t>
        </is>
      </c>
    </row>
    <row r="218">
      <c r="A218" s="7" t="inlineStr">
        <is>
          <t>q85_payment_chall_list_other_txt</t>
        </is>
      </c>
      <c r="B218" s="8" t="inlineStr">
        <is>
          <t>85. What were these challenges? — Other (specify) text</t>
        </is>
      </c>
      <c r="C218" s="8" t="inlineStr">
        <is>
          <t>85. What were these challenges? — Other (specify) text</t>
        </is>
      </c>
      <c r="D218" s="8" t="inlineStr">
        <is>
          <t>not asked when Q84 PAYMENT_CHALL = No (2)</t>
        </is>
      </c>
      <c r="E218" s="8" t="inlineStr"/>
      <c r="F218" s="8" t="inlineStr">
        <is>
          <t>D. YAKAP/Konsulta Package</t>
        </is>
      </c>
      <c r="G218" s="8" t="inlineStr">
        <is>
          <t>alpha 120</t>
        </is>
      </c>
      <c r="H218" s="8" t="inlineStr"/>
      <c r="I218" s="8" t="inlineStr"/>
      <c r="J218" s="8" t="inlineStr"/>
    </row>
    <row r="219">
      <c r="A219" s="9" t="inlineStr">
        <is>
          <t>q86_expand_next</t>
        </is>
      </c>
      <c r="B219" s="10" t="inlineStr">
        <is>
          <t>86. If you were to expand the YAKAP/Konsulta package, what would you expand next?</t>
        </is>
      </c>
      <c r="C219" s="10" t="inlineStr">
        <is>
          <t>86. If you were to expand the YAKAP/Konsulta package, what would you expand next? READ OPTIONS OUT LOUD. SELECT ALL THAT APPLY.</t>
        </is>
      </c>
      <c r="D219" s="10" t="inlineStr"/>
      <c r="E219" s="10" t="inlineStr"/>
      <c r="F219" s="10" t="inlineStr">
        <is>
          <t>D. YAKAP/Konsulta Package</t>
        </is>
      </c>
      <c r="G219" s="10" t="inlineStr">
        <is>
          <t>alpha 10</t>
        </is>
      </c>
      <c r="H219" s="10" t="inlineStr">
        <is>
          <t>01 = The current list of medicines and drugs offered
02 = The current laboratory/diagnostic services offered
03 = Additional features
99 = Other (specify)</t>
        </is>
      </c>
      <c r="I219" s="10" t="inlineStr">
        <is>
          <t>90 = I don't know</t>
        </is>
      </c>
      <c r="J219" s="10" t="inlineStr">
        <is>
          <t>[HARD] Check Box, at least one required (msg 1288); code 90 exclusive (msg 1289)</t>
        </is>
      </c>
    </row>
    <row r="220">
      <c r="A220" s="7" t="inlineStr">
        <is>
          <t>q86_expand_next_other_txt</t>
        </is>
      </c>
      <c r="B220" s="8" t="inlineStr">
        <is>
          <t>86. If you were to expand the YAKAP/Konsulta package, what would you expand next? — Other (specify) text</t>
        </is>
      </c>
      <c r="C220" s="8" t="inlineStr">
        <is>
          <t>86. If you were to expand the YAKAP/Konsulta package, what would you expand next? — Other (specify) text</t>
        </is>
      </c>
      <c r="D220" s="8" t="inlineStr"/>
      <c r="E220" s="8" t="inlineStr"/>
      <c r="F220" s="8" t="inlineStr">
        <is>
          <t>D. YAKAP/Konsulta Package</t>
        </is>
      </c>
      <c r="G220" s="8" t="inlineStr">
        <is>
          <t>alpha 120</t>
        </is>
      </c>
      <c r="H220" s="8" t="inlineStr"/>
      <c r="I220" s="8" t="inlineStr"/>
      <c r="J220" s="8" t="inlineStr"/>
    </row>
    <row r="221">
      <c r="A221" s="9" t="inlineStr">
        <is>
          <t>q87_addl_features</t>
        </is>
      </c>
      <c r="B221" s="10" t="inlineStr">
        <is>
          <t>87. What additional features would you add?</t>
        </is>
      </c>
      <c r="C221" s="10" t="inlineStr">
        <is>
          <t>87. What additional features would you add?</t>
        </is>
      </c>
      <c r="D221" s="10" t="inlineStr"/>
      <c r="E221" s="10" t="inlineStr"/>
      <c r="F221" s="10" t="inlineStr">
        <is>
          <t>D. YAKAP/Konsulta Package</t>
        </is>
      </c>
      <c r="G221" s="10" t="inlineStr">
        <is>
          <t>alpha 240</t>
        </is>
      </c>
      <c r="H221" s="10" t="inlineStr"/>
      <c r="I221" s="10" t="inlineStr"/>
      <c r="J221" s="10" t="inlineStr">
        <is>
          <t>[HARD / GATE] Free text gated on `Q86_EXPAND_NEXT` code 03 being ticked — cleared and `noinput` otherwise, required when it is (msg 1291). The one gated free-text item without an `_OTHER_TXT` suffix</t>
        </is>
      </c>
    </row>
    <row r="222">
      <c r="A222" s="7" t="inlineStr">
        <is>
          <t>q88_heard_bucas</t>
        </is>
      </c>
      <c r="B222" s="8" t="inlineStr">
        <is>
          <t>88. Have you heard about the Bagong Urgent Care and Ambulatory Service (BUCAS)?</t>
        </is>
      </c>
      <c r="C222" s="8" t="inlineStr">
        <is>
          <t>We will now ask questions related to BUCAS center and GAMOT package. 88. Have you heard about the Bagong Urgent Care and Ambulatory Service (BUCAS)?</t>
        </is>
      </c>
      <c r="D222" s="8" t="inlineStr"/>
      <c r="E222" s="8">
        <f> No (2) → Q95 (skip Q89–Q94, the whole BUCAS block)</f>
        <v/>
      </c>
      <c r="F222" s="8" t="inlineStr">
        <is>
          <t>E. Awareness on Expanded Health Programs (BUCAS and GAMOT)</t>
        </is>
      </c>
      <c r="G222" s="8" t="inlineStr">
        <is>
          <t>numeric 1</t>
        </is>
      </c>
      <c r="H222" s="8" t="inlineStr">
        <is>
          <t>1 = Yes
2 = No</t>
        </is>
      </c>
      <c r="I222" s="8" t="inlineStr"/>
      <c r="J222" s="8" t="inlineStr"/>
    </row>
    <row r="223">
      <c r="A223" s="9" t="inlineStr">
        <is>
          <t>q89_has_bucas</t>
        </is>
      </c>
      <c r="B223" s="10" t="inlineStr">
        <is>
          <t>89. Do you have a BUCAS Center?</t>
        </is>
      </c>
      <c r="C223" s="10" t="inlineStr">
        <is>
          <t>89. Do you have a BUCAS Center?</t>
        </is>
      </c>
      <c r="D223" s="10" t="inlineStr">
        <is>
          <t>not asked when Q88 HEARD_BUCAS = No (2)</t>
        </is>
      </c>
      <c r="E223" s="10">
        <f> 1 (Yes) → Q91 (skip Q90)
= 3 (I don't know) → Q95</f>
        <v/>
      </c>
      <c r="F223" s="10" t="inlineStr">
        <is>
          <t>E. Awareness on Expanded Health Programs (BUCAS and GAMOT)</t>
        </is>
      </c>
      <c r="G223" s="10" t="inlineStr">
        <is>
          <t>numeric 1</t>
        </is>
      </c>
      <c r="H223" s="10" t="inlineStr">
        <is>
          <t>1 = Yes
2 = No</t>
        </is>
      </c>
      <c r="I223" s="10" t="inlineStr">
        <is>
          <t>3 = I don't know</t>
        </is>
      </c>
      <c r="J223" s="10" t="inlineStr"/>
    </row>
    <row r="224">
      <c r="A224" s="7" t="inlineStr">
        <is>
          <t>q90_no_bucas_reason</t>
        </is>
      </c>
      <c r="B224" s="8" t="inlineStr">
        <is>
          <t>90. If none, what is the primary reason?</t>
        </is>
      </c>
      <c r="C224" s="8" t="inlineStr">
        <is>
          <t>90. If none, what is the primary reason? READ OPTIONS OUT LOUD. SELECT ONE ANSWER ONLY.</t>
        </is>
      </c>
      <c r="D224" s="8" t="inlineStr">
        <is>
          <t>not asked when Q89 HAS_BUCAS = 1 (Yes)</t>
        </is>
      </c>
      <c r="E224" s="8" t="inlineStr">
        <is>
          <t>≠ 5 (anything but "Other") → Q95 — on 5 it falls through to the specify box first, which then resumes the same skip</t>
        </is>
      </c>
      <c r="F224" s="8" t="inlineStr">
        <is>
          <t>E. Awareness on Expanded Health Programs (BUCAS and GAMOT)</t>
        </is>
      </c>
      <c r="G224" s="8" t="inlineStr">
        <is>
          <t>numeric 2</t>
        </is>
      </c>
      <c r="H224" s="8" t="inlineStr">
        <is>
          <t>1 = Proposal not yet submitted
2 = Limited information on establishment process
3 = Did not meet standard requirements
4 = Awaiting assessment or approval
5 = Others (specify)</t>
        </is>
      </c>
      <c r="I224" s="8" t="inlineStr">
        <is>
          <t>99 = Not applicable</t>
        </is>
      </c>
      <c r="J224" s="8" t="inlineStr">
        <is>
          <t>[GATE] `Q89_HAS_BUCAS = No`</t>
        </is>
      </c>
    </row>
    <row r="225">
      <c r="A225" s="9" t="inlineStr">
        <is>
          <t>q90_other_txt</t>
        </is>
      </c>
      <c r="B225" s="10" t="inlineStr">
        <is>
          <t>90. If none, what is the primary reason? Other (specify)</t>
        </is>
      </c>
      <c r="C225" s="10" t="inlineStr">
        <is>
          <t>90. If none, what is the primary reason? Other (specify)</t>
        </is>
      </c>
      <c r="D225" s="10" t="inlineStr">
        <is>
          <t>not asked when Q89 HAS_BUCAS = 1 (Yes)</t>
        </is>
      </c>
      <c r="E225" s="10" t="inlineStr"/>
      <c r="F225" s="10" t="inlineStr">
        <is>
          <t>E. Awareness on Expanded Health Programs (BUCAS and GAMOT)</t>
        </is>
      </c>
      <c r="G225" s="10" t="inlineStr">
        <is>
          <t>alpha 120</t>
        </is>
      </c>
      <c r="H225" s="10" t="inlineStr"/>
      <c r="I225" s="10" t="inlineStr"/>
      <c r="J225" s="10" t="inlineStr"/>
    </row>
    <row r="226">
      <c r="A226" s="7" t="inlineStr">
        <is>
          <t>q91_bucas_services</t>
        </is>
      </c>
      <c r="B226" s="8" t="inlineStr">
        <is>
          <t>91. What are the available services offered by your BUCAS Center?</t>
        </is>
      </c>
      <c r="C226" s="8" t="inlineStr">
        <is>
          <t>91. What are the available services offered by your BUCAS Center? READ OPTIONS OUT LOUD. SELECT ALL THAT APPLY.</t>
        </is>
      </c>
      <c r="D226" s="8" t="inlineStr"/>
      <c r="E226" s="8" t="inlineStr"/>
      <c r="F226" s="8" t="inlineStr">
        <is>
          <t>E. Awareness on Expanded Health Programs (BUCAS and GAMOT)</t>
        </is>
      </c>
      <c r="G226" s="8" t="inlineStr">
        <is>
          <t>alpha 10</t>
        </is>
      </c>
      <c r="H226" s="8" t="inlineStr">
        <is>
          <t>01 = Urgent care and consultation
02 = Minor surgical procedures
03 = Diagnostic and laboratory services
04 = Reproductive and special health services
99 = Other (specify)</t>
        </is>
      </c>
      <c r="I226" s="8" t="inlineStr"/>
      <c r="J226" s="8" t="inlineStr">
        <is>
          <t>[HARD] Check Box, at least one required (msg 1293)</t>
        </is>
      </c>
    </row>
    <row r="227">
      <c r="A227" s="9" t="inlineStr">
        <is>
          <t>q91_bucas_services_other_txt</t>
        </is>
      </c>
      <c r="B227" s="10" t="inlineStr">
        <is>
          <t>91. What are the available services offered by your BUCAS Center? — Other (specify) text</t>
        </is>
      </c>
      <c r="C227" s="10" t="inlineStr">
        <is>
          <t>91. What are the available services offered by your BUCAS Center? — Other (specify) text</t>
        </is>
      </c>
      <c r="D227" s="10" t="inlineStr"/>
      <c r="E227" s="10" t="inlineStr"/>
      <c r="F227" s="10" t="inlineStr">
        <is>
          <t>E. Awareness on Expanded Health Programs (BUCAS and GAMOT)</t>
        </is>
      </c>
      <c r="G227" s="10" t="inlineStr">
        <is>
          <t>alpha 120</t>
        </is>
      </c>
      <c r="H227" s="10" t="inlineStr"/>
      <c r="I227" s="10" t="inlineStr"/>
      <c r="J227" s="10" t="inlineStr"/>
    </row>
    <row r="228">
      <c r="A228" s="7" t="inlineStr">
        <is>
          <t>q92_bucas_factors</t>
        </is>
      </c>
      <c r="B228" s="8" t="inlineStr">
        <is>
          <t>92. In your assessment, what are the main factors affecting the utilization of BUCAS in your facility?</t>
        </is>
      </c>
      <c r="C228" s="8" t="inlineStr">
        <is>
          <t>92. In your assessment, what are the main factors affecting the utilization of BUCAS in your facility? READ OPTIONS OUT LOUD. SELECT ALL THAT APPLY.</t>
        </is>
      </c>
      <c r="D228" s="8" t="inlineStr"/>
      <c r="E228" s="8" t="inlineStr"/>
      <c r="F228" s="8" t="inlineStr">
        <is>
          <t>E. Awareness on Expanded Health Programs (BUCAS and GAMOT)</t>
        </is>
      </c>
      <c r="G228" s="8" t="inlineStr">
        <is>
          <t>alpha 12</t>
        </is>
      </c>
      <c r="H228" s="8" t="inlineStr">
        <is>
          <t>01 = Patient awareness
02 = Facility location and accessibility
03 = Referral patterns
04 = PhilHealth coverage and reimbursement
05 = Availability of staff/services
99 = Others (specify)</t>
        </is>
      </c>
      <c r="I228" s="8" t="inlineStr"/>
      <c r="J228" s="8" t="inlineStr">
        <is>
          <t>[HARD] Check Box, at least one required (msg 1295)</t>
        </is>
      </c>
    </row>
    <row r="229">
      <c r="A229" s="9" t="inlineStr">
        <is>
          <t>q92_bucas_factors_other_txt</t>
        </is>
      </c>
      <c r="B229" s="10" t="inlineStr">
        <is>
          <t>92. In your assessment, what are the main factors affecting the utilization of BUCAS in your facility? — Other (specify) text</t>
        </is>
      </c>
      <c r="C229" s="10" t="inlineStr">
        <is>
          <t>92. In your assessment, what are the main factors affecting the utilization of BUCAS in your facility? — Other (specify) text</t>
        </is>
      </c>
      <c r="D229" s="10" t="inlineStr"/>
      <c r="E229" s="10" t="inlineStr"/>
      <c r="F229" s="10" t="inlineStr">
        <is>
          <t>E. Awareness on Expanded Health Programs (BUCAS and GAMOT)</t>
        </is>
      </c>
      <c r="G229" s="10" t="inlineStr">
        <is>
          <t>alpha 120</t>
        </is>
      </c>
      <c r="H229" s="10" t="inlineStr"/>
      <c r="I229" s="10" t="inlineStr"/>
      <c r="J229" s="10" t="inlineStr"/>
    </row>
    <row r="230">
      <c r="A230" s="7" t="inlineStr">
        <is>
          <t>q93_bucas_resources_needed</t>
        </is>
      </c>
      <c r="B230" s="8" t="inlineStr">
        <is>
          <t>93. What are the resources you need to support/sustain the BUCAS center?</t>
        </is>
      </c>
      <c r="C230" s="8" t="inlineStr">
        <is>
          <t>93. What are the resources you need to support/sustain the BUCAS center?</t>
        </is>
      </c>
      <c r="D230" s="8" t="inlineStr"/>
      <c r="E230" s="8" t="inlineStr"/>
      <c r="F230" s="8" t="inlineStr">
        <is>
          <t>E. Awareness on Expanded Health Programs (BUCAS and GAMOT)</t>
        </is>
      </c>
      <c r="G230" s="8" t="inlineStr">
        <is>
          <t>alpha 240</t>
        </is>
      </c>
      <c r="H230" s="8" t="inlineStr"/>
      <c r="I230" s="8" t="inlineStr"/>
      <c r="J230" s="8" t="inlineStr"/>
    </row>
    <row r="231">
      <c r="A231" s="9" t="inlineStr">
        <is>
          <t>q94_bucas_decongest</t>
        </is>
      </c>
      <c r="B231" s="10" t="inlineStr">
        <is>
          <t>94. Based on your experience, does the BUCAS Center decongest your health facility of patients?</t>
        </is>
      </c>
      <c r="C231" s="10" t="inlineStr">
        <is>
          <t>94. Based on your experience, does the BUCAS Center decongest your health facility of patients?</t>
        </is>
      </c>
      <c r="D231" s="10" t="inlineStr">
        <is>
          <t>not asked when Q88 HEARD_BUCAS = No (2)</t>
        </is>
      </c>
      <c r="E231" s="10" t="inlineStr">
        <is>
          <t>Q89 ≠ Yes (entry gate: Q91–Q94 are for facilities that HAVE a BUCAS Center) → Q95</t>
        </is>
      </c>
      <c r="F231" s="10" t="inlineStr">
        <is>
          <t>E. Awareness on Expanded Health Programs (BUCAS and GAMOT)</t>
        </is>
      </c>
      <c r="G231" s="10" t="inlineStr">
        <is>
          <t>numeric 1</t>
        </is>
      </c>
      <c r="H231" s="10" t="inlineStr">
        <is>
          <t>1 = Yes
2 = No</t>
        </is>
      </c>
      <c r="I231" s="10" t="inlineStr"/>
      <c r="J231" s="10" t="inlineStr"/>
    </row>
    <row r="232">
      <c r="A232" s="7" t="inlineStr">
        <is>
          <t>q95_heard_gamot</t>
        </is>
      </c>
      <c r="B232" s="8" t="inlineStr">
        <is>
          <t>95. Have you heard about the Guaranteed and Accessible Medications for Outpatient Treatment (GAMOT) package?</t>
        </is>
      </c>
      <c r="C232" s="8" t="inlineStr">
        <is>
          <t>95. Have you heard about the Guaranteed and Accessible Medications for Outpatient Treatment (GAMOT) package?</t>
        </is>
      </c>
      <c r="D232" s="8" t="inlineStr"/>
      <c r="E232" s="8">
        <f> No (2) → Q99 (skip Q96, Q97, Q98)</f>
        <v/>
      </c>
      <c r="F232" s="8" t="inlineStr">
        <is>
          <t>E. Awareness on Expanded Health Programs (BUCAS and GAMOT)</t>
        </is>
      </c>
      <c r="G232" s="8" t="inlineStr">
        <is>
          <t>numeric 1</t>
        </is>
      </c>
      <c r="H232" s="8" t="inlineStr">
        <is>
          <t>1 = Yes
2 = No</t>
        </is>
      </c>
      <c r="I232" s="8" t="inlineStr"/>
      <c r="J232" s="8" t="inlineStr"/>
    </row>
    <row r="233">
      <c r="A233" s="9" t="inlineStr">
        <is>
          <t>q96_gamot_accred</t>
        </is>
      </c>
      <c r="B233" s="10" t="inlineStr">
        <is>
          <t>96. Is your facility an accredited GAMOT provider?</t>
        </is>
      </c>
      <c r="C233" s="10" t="inlineStr">
        <is>
          <t>96. Is your facility an accredited GAMOT provider?</t>
        </is>
      </c>
      <c r="D233" s="10" t="inlineStr">
        <is>
          <t>not asked when Q95 HEARD_GAMOT = No (2)</t>
        </is>
      </c>
      <c r="E233" s="10">
        <f> Yes (1) → Q98 (skip Q97)</f>
        <v/>
      </c>
      <c r="F233" s="10" t="inlineStr">
        <is>
          <t>E. Awareness on Expanded Health Programs (BUCAS and GAMOT)</t>
        </is>
      </c>
      <c r="G233" s="10" t="inlineStr">
        <is>
          <t>numeric 1</t>
        </is>
      </c>
      <c r="H233" s="10" t="inlineStr">
        <is>
          <t>1 = Yes
2 = No</t>
        </is>
      </c>
      <c r="I233" s="10" t="inlineStr"/>
      <c r="J233" s="10" t="inlineStr"/>
    </row>
    <row r="234">
      <c r="A234" s="7" t="inlineStr">
        <is>
          <t>q97_no_gamot_reason</t>
        </is>
      </c>
      <c r="B234" s="8" t="inlineStr">
        <is>
          <t>97. If no, what is the primary reason?</t>
        </is>
      </c>
      <c r="C234" s="8" t="inlineStr">
        <is>
          <t>97. If no, what is the primary reason? READ OPTIONS OUT LOUD. SELECT ONE ANSWER ONLY.</t>
        </is>
      </c>
      <c r="D234" s="8" t="inlineStr">
        <is>
          <t>not asked when Q95 HEARD_GAMOT = No (2)
not asked when Q96 GAMOT_ACCRED = Yes (1)</t>
        </is>
      </c>
      <c r="E234" s="8" t="inlineStr">
        <is>
          <t>≠ 5 (anything but "Other") → Q99 — same specify-box fall-through as Q90</t>
        </is>
      </c>
      <c r="F234" s="8" t="inlineStr">
        <is>
          <t>E. Awareness on Expanded Health Programs (BUCAS and GAMOT)</t>
        </is>
      </c>
      <c r="G234" s="8" t="inlineStr">
        <is>
          <t>numeric 2</t>
        </is>
      </c>
      <c r="H234" s="8" t="inlineStr">
        <is>
          <t>1 = Application not yet submitted
2 = Limited information on accreditation process
3 = Did not meet accreditation requirements
4 = Awaiting assessment or approval
5 = Others (specify)</t>
        </is>
      </c>
      <c r="I234" s="8" t="inlineStr">
        <is>
          <t>99 = Not applicable</t>
        </is>
      </c>
      <c r="J234" s="8" t="inlineStr">
        <is>
          <t>[GATE] `Q96_GAMOT_ACCRED = No`</t>
        </is>
      </c>
    </row>
    <row r="235">
      <c r="A235" s="9" t="inlineStr">
        <is>
          <t>q97_other_txt</t>
        </is>
      </c>
      <c r="B235" s="10" t="inlineStr">
        <is>
          <t>97. If no, what is the primary reason? Other (specify)</t>
        </is>
      </c>
      <c r="C235" s="10" t="inlineStr">
        <is>
          <t>97. If no, what is the primary reason? Other (specify)</t>
        </is>
      </c>
      <c r="D235" s="10" t="inlineStr">
        <is>
          <t>not asked when Q95 HEARD_GAMOT = No (2)
not asked when Q96 GAMOT_ACCRED = Yes (1)</t>
        </is>
      </c>
      <c r="E235" s="10" t="inlineStr"/>
      <c r="F235" s="10" t="inlineStr">
        <is>
          <t>E. Awareness on Expanded Health Programs (BUCAS and GAMOT)</t>
        </is>
      </c>
      <c r="G235" s="10" t="inlineStr">
        <is>
          <t>alpha 120</t>
        </is>
      </c>
      <c r="H235" s="10" t="inlineStr"/>
      <c r="I235" s="10" t="inlineStr"/>
      <c r="J235" s="10" t="inlineStr"/>
    </row>
    <row r="236">
      <c r="A236" s="7" t="inlineStr">
        <is>
          <t>q98_gamot_factors</t>
        </is>
      </c>
      <c r="B236" s="8" t="inlineStr">
        <is>
          <t>98. In your assessment, what are the main factors affecting the utilization of the GAMOT Program in your facility?</t>
        </is>
      </c>
      <c r="C236" s="8" t="inlineStr">
        <is>
          <t>98. In your assessment, what are the main factors affecting the utilization of the GAMOT Program in your facility? READ OPTIONS OUT LOUD. SELECT ALL THAT APPLY.</t>
        </is>
      </c>
      <c r="D236" s="8" t="inlineStr">
        <is>
          <t>not asked when Q95 HEARD_GAMOT = No (2)</t>
        </is>
      </c>
      <c r="E236" s="8" t="inlineStr"/>
      <c r="F236" s="8" t="inlineStr">
        <is>
          <t>E. Awareness on Expanded Health Programs (BUCAS and GAMOT)</t>
        </is>
      </c>
      <c r="G236" s="8" t="inlineStr">
        <is>
          <t>alpha 12</t>
        </is>
      </c>
      <c r="H236" s="8" t="inlineStr">
        <is>
          <t>01 = Availability of GAMOT medicines
02 = Pharmacy capacity
03 = Patient awareness of the program
04 = PhilHealth eligibility and reimbursement processes
05 = Prescribing practices of physicians
99 = Others (specify)</t>
        </is>
      </c>
      <c r="I236" s="8" t="inlineStr"/>
      <c r="J236" s="8" t="inlineStr">
        <is>
          <t>[HARD / GATE] Check Box, at least one required (msg 1100); entered when `Q96_GAMOT_ACCRED = Yes`</t>
        </is>
      </c>
    </row>
    <row r="237">
      <c r="A237" s="9" t="inlineStr">
        <is>
          <t>q98_gamot_factors_other_txt</t>
        </is>
      </c>
      <c r="B237" s="10" t="inlineStr">
        <is>
          <t>98. In your assessment, what are the main factors affecting the utilization of the GAMOT Program in your facility? — Other (specify) text</t>
        </is>
      </c>
      <c r="C237" s="10" t="inlineStr">
        <is>
          <t>98. In your assessment, what are the main factors affecting the utilization of the GAMOT Program in your facility? — Other (specify) text</t>
        </is>
      </c>
      <c r="D237" s="10" t="inlineStr">
        <is>
          <t>not asked when Q95 HEARD_GAMOT = No (2)</t>
        </is>
      </c>
      <c r="E237" s="10" t="inlineStr"/>
      <c r="F237" s="10" t="inlineStr">
        <is>
          <t>E. Awareness on Expanded Health Programs (BUCAS and GAMOT)</t>
        </is>
      </c>
      <c r="G237" s="10" t="inlineStr">
        <is>
          <t>alpha 120</t>
        </is>
      </c>
      <c r="H237" s="10" t="inlineStr"/>
      <c r="I237" s="10" t="inlineStr"/>
      <c r="J237" s="10" t="inlineStr"/>
    </row>
    <row r="238">
      <c r="A238" s="7" t="inlineStr">
        <is>
          <t>q99_stockout</t>
        </is>
      </c>
      <c r="B238" s="8" t="inlineStr">
        <is>
          <t>99. In the past 3 months, has this facility experienced a stock-out (zero supply) of any tracer essential medicines?</t>
        </is>
      </c>
      <c r="C238" s="8" t="inlineStr">
        <is>
          <t>99. In the past 3 months, has this facility experienced a stock-out (zero supply) of any tracer essential medicines?</t>
        </is>
      </c>
      <c r="D238" s="8" t="inlineStr"/>
      <c r="E238" s="8">
        <f> No (2) → Q105 (skip Q100–Q104, and with it the rest of Section E)</f>
        <v/>
      </c>
      <c r="F238" s="8" t="inlineStr">
        <is>
          <t>E. Awareness on Expanded Health Programs (BUCAS and GAMOT)</t>
        </is>
      </c>
      <c r="G238" s="8" t="inlineStr">
        <is>
          <t>numeric 1</t>
        </is>
      </c>
      <c r="H238" s="8" t="inlineStr">
        <is>
          <t>1 = Yes
2 = No</t>
        </is>
      </c>
      <c r="I238" s="8" t="inlineStr"/>
      <c r="J238" s="8" t="inlineStr"/>
    </row>
    <row r="239">
      <c r="A239" s="9" t="inlineStr">
        <is>
          <t>q100_stockout_meds</t>
        </is>
      </c>
      <c r="B239" s="10" t="inlineStr">
        <is>
          <t>100. What specific medicines? (antihypertensives, antibiotics, etc.)</t>
        </is>
      </c>
      <c r="C239" s="10" t="inlineStr">
        <is>
          <t>100. What specific medicines? (antihypertensives, antibiotics, etc.)</t>
        </is>
      </c>
      <c r="D239" s="10" t="inlineStr">
        <is>
          <t>not asked when Q99 STOCKOUT = No (2)</t>
        </is>
      </c>
      <c r="E239" s="10" t="inlineStr"/>
      <c r="F239" s="10" t="inlineStr">
        <is>
          <t>E. Awareness on Expanded Health Programs (BUCAS and GAMOT)</t>
        </is>
      </c>
      <c r="G239" s="10" t="inlineStr">
        <is>
          <t>alpha 240</t>
        </is>
      </c>
      <c r="H239" s="10" t="inlineStr"/>
      <c r="I239" s="10" t="inlineStr"/>
      <c r="J239" s="10" t="inlineStr"/>
    </row>
    <row r="240">
      <c r="A240" s="7" t="inlineStr">
        <is>
          <t>q101_stockout_duration</t>
        </is>
      </c>
      <c r="B240" s="8" t="inlineStr">
        <is>
          <t>101. How many days did the stock-out last?</t>
        </is>
      </c>
      <c r="C240" s="8" t="inlineStr">
        <is>
          <t>101. How many days did the stock-out last?</t>
        </is>
      </c>
      <c r="D240" s="8" t="inlineStr"/>
      <c r="E240" s="8" t="inlineStr"/>
      <c r="F240" s="8" t="inlineStr">
        <is>
          <t>E. Awareness on Expanded Health Programs (BUCAS and GAMOT)</t>
        </is>
      </c>
      <c r="G240" s="8" t="inlineStr">
        <is>
          <t>numeric 2</t>
        </is>
      </c>
      <c r="H240" s="8" t="inlineStr">
        <is>
          <t>1 = 30 days and less
2 = 31-60 days
3 = More than 60 days</t>
        </is>
      </c>
      <c r="I240" s="8" t="inlineStr"/>
      <c r="J240" s="8" t="inlineStr"/>
    </row>
    <row r="241">
      <c r="A241" s="9" t="inlineStr">
        <is>
          <t>q102_stockout_avg</t>
        </is>
      </c>
      <c r="B241" s="10" t="inlineStr">
        <is>
          <t>102. On average, how many months do these stock-outs last?</t>
        </is>
      </c>
      <c r="C241" s="10" t="inlineStr">
        <is>
          <t>102. On average, how many months do these stock-outs last?</t>
        </is>
      </c>
      <c r="D241" s="10" t="inlineStr"/>
      <c r="E241" s="10" t="inlineStr">
        <is>
          <t>Q101 ≠ 3 — entry gate; below 60 days the month band is implied by Q101 itself → Q103</t>
        </is>
      </c>
      <c r="F241" s="10" t="inlineStr">
        <is>
          <t>E. Awareness on Expanded Health Programs (BUCAS and GAMOT)</t>
        </is>
      </c>
      <c r="G241" s="10" t="inlineStr">
        <is>
          <t>numeric 2</t>
        </is>
      </c>
      <c r="H241" s="10" t="inlineStr">
        <is>
          <t>1 = less than a month
2 = 1-2 months
3 = 3-4 months
4 = 5-6 months
5 = more than 6 months</t>
        </is>
      </c>
      <c r="I241" s="10" t="inlineStr"/>
      <c r="J241" s="10" t="inlineStr">
        <is>
          <t>[GATE] `Q101_STOCKOUT_DURATION = 3` (more than 60 days) — below that the month band is already implied, so the item is skipped rather than asked redundantly</t>
        </is>
      </c>
    </row>
    <row r="242">
      <c r="A242" s="7" t="inlineStr">
        <is>
          <t>q103_addr_stockout</t>
        </is>
      </c>
      <c r="B242" s="8" t="inlineStr">
        <is>
          <t>103. Did you do anything to address the medicine stock-outs in the GAMOT Package?</t>
        </is>
      </c>
      <c r="C242" s="8" t="inlineStr">
        <is>
          <t>103. Did you do anything to address the medicine stock-outs in the GAMOT Package?</t>
        </is>
      </c>
      <c r="D242" s="8" t="inlineStr"/>
      <c r="E242" s="8" t="inlineStr">
        <is>
          <t>entry gate (#384): asked only when Q95 = Yes AND Q96 = Yes AND Q99 = Yes → Q105
in 2, 3 (No / Did not experience stock-outs under GAMOT) → Q105 (skip Q104)</t>
        </is>
      </c>
      <c r="F242" s="8" t="inlineStr">
        <is>
          <t>E. Awareness on Expanded Health Programs (BUCAS and GAMOT)</t>
        </is>
      </c>
      <c r="G242" s="8" t="inlineStr">
        <is>
          <t>numeric 2</t>
        </is>
      </c>
      <c r="H242" s="8" t="inlineStr">
        <is>
          <t>1 = Yes
2 = No
3 = Did not experience stock outs of medicines under the GAMOT package</t>
        </is>
      </c>
      <c r="I242" s="8" t="inlineStr"/>
      <c r="J242" s="8" t="inlineStr"/>
    </row>
    <row r="243">
      <c r="A243" s="9" t="inlineStr">
        <is>
          <t>q104_addr_stockout_how</t>
        </is>
      </c>
      <c r="B243" s="10" t="inlineStr">
        <is>
          <t>104. If yes, what did you do to address the medicine stock-outs in the GAMOT Package?</t>
        </is>
      </c>
      <c r="C243" s="10" t="inlineStr">
        <is>
          <t>104. If yes, what did you do to address the medicine stock-outs in the GAMOT Package? DO NOT READ OPTIONS OUT LOUD. SELECT ALL THAT APPLY.</t>
        </is>
      </c>
      <c r="D243" s="10" t="inlineStr">
        <is>
          <t>not asked when Q99 STOCKOUT = No (2)
not asked when Q103 ADDR_STOCKOUT in 2, 3 (No / Did not experience stock-outs under GAMOT)</t>
        </is>
      </c>
      <c r="E243" s="10" t="inlineStr"/>
      <c r="F243" s="10" t="inlineStr">
        <is>
          <t>E. Awareness on Expanded Health Programs (BUCAS and GAMOT)</t>
        </is>
      </c>
      <c r="G243" s="10" t="inlineStr">
        <is>
          <t>alpha 8</t>
        </is>
      </c>
      <c r="H243" s="10" t="inlineStr">
        <is>
          <t>01 = Resorted to alternative procurement
02 = Active inventory monitoring
03 = Improve forecasting and quantification
99 = Other (specify)</t>
        </is>
      </c>
      <c r="I243" s="10" t="inlineStr"/>
      <c r="J243" s="10" t="inlineStr">
        <is>
          <t>[HARD / GATE] Required, non-blank (msg 1010); entered only when `Q103_ADDR_STOCKOUT = Yes`</t>
        </is>
      </c>
    </row>
    <row r="244">
      <c r="A244" s="7" t="inlineStr">
        <is>
          <t>q104_addr_stockout_how_other_txt</t>
        </is>
      </c>
      <c r="B244" s="8" t="inlineStr">
        <is>
          <t>104. If yes, what did you do to address the medicine stock-outs in the GAMOT Package? — Other (specify) text</t>
        </is>
      </c>
      <c r="C244" s="8" t="inlineStr">
        <is>
          <t>104. If yes, what did you do to address the medicine stock-outs in the GAMOT Package? — Other (specify) text</t>
        </is>
      </c>
      <c r="D244" s="8" t="inlineStr">
        <is>
          <t>not asked when Q99 STOCKOUT = No (2)
not asked when Q103 ADDR_STOCKOUT in 2, 3 (No / Did not experience stock-outs under GAMOT)</t>
        </is>
      </c>
      <c r="E244" s="8" t="inlineStr"/>
      <c r="F244" s="8" t="inlineStr">
        <is>
          <t>E. Awareness on Expanded Health Programs (BUCAS and GAMOT)</t>
        </is>
      </c>
      <c r="G244" s="8" t="inlineStr">
        <is>
          <t>alpha 120</t>
        </is>
      </c>
      <c r="H244" s="8" t="inlineStr"/>
      <c r="I244" s="8" t="inlineStr"/>
      <c r="J244" s="8" t="inlineStr"/>
    </row>
    <row r="245">
      <c r="A245" s="9" t="inlineStr">
        <is>
          <t>q105_doh_licensed</t>
        </is>
      </c>
      <c r="B245" s="10" t="inlineStr">
        <is>
          <t>105. Is this facility DOH licensed?</t>
        </is>
      </c>
      <c r="C245" s="10" t="inlineStr">
        <is>
          <t>We will now ask you about your facility’s experience with the licensing process. 105. Is this facility DOH licensed?</t>
        </is>
      </c>
      <c r="D245" s="10" t="inlineStr"/>
      <c r="E245" s="10" t="inlineStr">
        <is>
          <t>in 2, 3, 4 (No / submitted and waiting / don't know what DOH licensing is) → Q122 (skip Q106–Q121, the whole of Section F)</t>
        </is>
      </c>
      <c r="F245" s="10" t="inlineStr">
        <is>
          <t>F. DOH Licensing: Status and Barriers to Licensing</t>
        </is>
      </c>
      <c r="G245" s="10" t="inlineStr">
        <is>
          <t>numeric 2</t>
        </is>
      </c>
      <c r="H245" s="10" t="inlineStr">
        <is>
          <t>1 = Yes
2 = No
3 = No, but have submitted requirements and waiting for license</t>
        </is>
      </c>
      <c r="I245" s="10" t="inlineStr">
        <is>
          <t>4 = I don't know what DOH licensing is</t>
        </is>
      </c>
      <c r="J245" s="10" t="inlineStr"/>
    </row>
    <row r="246">
      <c r="A246" s="7" t="inlineStr">
        <is>
          <t>q106_lic_received_when</t>
        </is>
      </c>
      <c r="B246" s="8" t="inlineStr">
        <is>
          <t>106. When did you receive your DOH license from your most recent application?</t>
        </is>
      </c>
      <c r="C246" s="8" t="inlineStr">
        <is>
          <t>106. When did you receive your DOH license from your most recent application?</t>
        </is>
      </c>
      <c r="D246" s="8" t="inlineStr">
        <is>
          <t>not asked when Q105 DOH_LICENSED in 2, 3, 4 (No / submitted and waiting / don't know what DOH licensing is)</t>
        </is>
      </c>
      <c r="E246" s="8" t="inlineStr"/>
      <c r="F246" s="8" t="inlineStr">
        <is>
          <t>F. DOH Licensing: Status and Barriers to Licensing</t>
        </is>
      </c>
      <c r="G246" s="8" t="inlineStr">
        <is>
          <t>numeric 2</t>
        </is>
      </c>
      <c r="H246" s="8" t="inlineStr">
        <is>
          <t>1 = Within the last 1 to 3 months
2 = Within the last 4 to 6 months
3 = Over 6 months but within 1 year
4 = More than 1 year ago</t>
        </is>
      </c>
      <c r="I246" s="8" t="inlineStr">
        <is>
          <t>5 = I don't know</t>
        </is>
      </c>
      <c r="J246" s="8" t="inlineStr"/>
    </row>
    <row r="247">
      <c r="A247" s="9" t="inlineStr">
        <is>
          <t>q107_lic_days_num</t>
        </is>
      </c>
      <c r="B247" s="10" t="inlineStr">
        <is>
          <t>107. How many days did it take you to receive the license? — No. of Days</t>
        </is>
      </c>
      <c r="C247" s="10" t="inlineStr">
        <is>
          <t>107. How many days did it take you to receive the license? — No. of Days</t>
        </is>
      </c>
      <c r="D247" s="10" t="inlineStr"/>
      <c r="E247" s="10" t="inlineStr"/>
      <c r="F247" s="10" t="inlineStr">
        <is>
          <t>F. DOH Licensing: Status and Barriers to Licensing</t>
        </is>
      </c>
      <c r="G247" s="10" t="inlineStr">
        <is>
          <t>numeric 4</t>
        </is>
      </c>
      <c r="H247" s="10" t="inlineStr"/>
      <c r="I247" s="10" t="inlineStr"/>
      <c r="J247" s="10" t="inlineStr"/>
    </row>
    <row r="248">
      <c r="A248" s="7" t="inlineStr">
        <is>
          <t>q107_lic_days</t>
        </is>
      </c>
      <c r="B248" s="8" t="inlineStr">
        <is>
          <t>107. How many days did it take you to receive the license?</t>
        </is>
      </c>
      <c r="C248" s="8" t="inlineStr">
        <is>
          <t>107. How many days did it take you to receive the license?</t>
        </is>
      </c>
      <c r="D248" s="8" t="inlineStr"/>
      <c r="E248" s="8" t="inlineStr"/>
      <c r="F248" s="8" t="inlineStr">
        <is>
          <t>F. DOH Licensing: Status and Barriers to Licensing</t>
        </is>
      </c>
      <c r="G248" s="8" t="inlineStr">
        <is>
          <t>numeric 2</t>
        </is>
      </c>
      <c r="H248" s="8" t="inlineStr">
        <is>
          <t>1 = 30 days and less
2 = 31-60 days
3 = More than 60 days</t>
        </is>
      </c>
      <c r="I248" s="8" t="inlineStr"/>
      <c r="J248" s="8" t="inlineStr"/>
    </row>
    <row r="249">
      <c r="A249" s="9" t="inlineStr">
        <is>
          <t>q108_doh_lic_difficult</t>
        </is>
      </c>
      <c r="B249" s="10" t="inlineStr">
        <is>
          <t>108. Which of the following requirements were difficult to comply with in the DOH licensing process?</t>
        </is>
      </c>
      <c r="C249" s="10" t="inlineStr">
        <is>
          <t>108. Which of the following requirements were difficult to comply with in the DOH licensing process? READ OPTIONS OUT LOUD. SELECT ALL THAT APPLY.</t>
        </is>
      </c>
      <c r="D249" s="10" t="inlineStr"/>
      <c r="E249" s="10">
        <f> "None of the above" (90) only → Q122 — same cascade mechanism as Q52, via Q109–Q121</f>
        <v/>
      </c>
      <c r="F249" s="10" t="inlineStr">
        <is>
          <t>F. DOH Licensing: Status and Barriers to Licensing</t>
        </is>
      </c>
      <c r="G249" s="10" t="inlineStr">
        <is>
          <t>alpha 28</t>
        </is>
      </c>
      <c r="H249" s="10" t="inlineStr">
        <is>
          <t>01 = Patient rights and organization ethics
02 = Patient care
03 = Leadership and management
04 = Human resource management
05 = Information management
06 = Safe practice and environment
07 = Improving performance
08 = Physical plant
09 = Equipment and instruments
10 = National laws and DOH issuances implemented in hospitals and other health facilities (hospitals only)
11 = Emergency cart contents (hospitals only)
12 = Add-on services (hospitals only)
13 = Public access to price information (primary care facilities only)
90 = None of the above</t>
        </is>
      </c>
      <c r="I249" s="10" t="inlineStr"/>
      <c r="J249" s="10" t="inlineStr">
        <is>
          <t>[GATE] Swapped at preproc on `Q8_SERVICE_LEVEL`: `Q108_DOH_LIC_DIFFICULT_PCF_VS1` for a Primary Care Facility, `_HOSP_VS1` for Level 1/2/3 hospitals (#385)
[HARD] Check Box, at least one required (msg 1228); code 90 "None of the above" exclusive (msg 1229)</t>
        </is>
      </c>
    </row>
    <row r="250">
      <c r="A250" s="7" t="inlineStr">
        <is>
          <t>q109_why_diff_pt_rights</t>
        </is>
      </c>
      <c r="B250" s="8" t="inlineStr">
        <is>
          <t>109. Why was it difficult to comply with: Patient rights and organization ethics?</t>
        </is>
      </c>
      <c r="C250" s="8" t="inlineStr">
        <is>
          <t>109. Why was it difficult to comply with: Patient rights and organization ethics? DO NOT READ OPTIONS OUT LOUD. SELECT ALL THAT APPLY.</t>
        </is>
      </c>
      <c r="D250" s="8" t="inlineStr"/>
      <c r="E250" s="8" t="inlineStr">
        <is>
          <t>Q108 option 01 not ticked → Q110</t>
        </is>
      </c>
      <c r="F250" s="8" t="inlineStr">
        <is>
          <t>F. DOH Licensing: Status and Barriers to Licensing</t>
        </is>
      </c>
      <c r="G250" s="8" t="inlineStr">
        <is>
          <t>alpha 18</t>
        </is>
      </c>
      <c r="H250" s="8" t="inlineStr">
        <is>
          <t>01 = Not enough budget / too expensive
02 = Time-consuming
03 = Limited human resources
04 = Legal processes
05 = Compiling documentary requirements
06 = Stringent standards
07 = Lack of training
08 = Lack of space
99 = Other (specify)</t>
        </is>
      </c>
      <c r="I250" s="8" t="inlineStr"/>
      <c r="J250" s="8" t="inlineStr"/>
    </row>
    <row r="251">
      <c r="A251" s="9" t="inlineStr">
        <is>
          <t>q109_why_diff_pt_rights_other_txt</t>
        </is>
      </c>
      <c r="B251" s="10" t="inlineStr">
        <is>
          <t>109. Why was it difficult to comply with: Patient rights and organization ethics? — Other (specify) text</t>
        </is>
      </c>
      <c r="C251" s="10" t="inlineStr">
        <is>
          <t>109. Why was it difficult to comply with: Patient rights and organization ethics? — Other (specify) text</t>
        </is>
      </c>
      <c r="D251" s="10" t="inlineStr"/>
      <c r="E251" s="10" t="inlineStr"/>
      <c r="F251" s="10" t="inlineStr">
        <is>
          <t>F. DOH Licensing: Status and Barriers to Licensing</t>
        </is>
      </c>
      <c r="G251" s="10" t="inlineStr">
        <is>
          <t>alpha 120</t>
        </is>
      </c>
      <c r="H251" s="10" t="inlineStr"/>
      <c r="I251" s="10" t="inlineStr"/>
      <c r="J251" s="10" t="inlineStr"/>
    </row>
    <row r="252">
      <c r="A252" s="7" t="inlineStr">
        <is>
          <t>q110_why_diff_pt_care</t>
        </is>
      </c>
      <c r="B252" s="8" t="inlineStr">
        <is>
          <t>110. Why was it difficult to comply with: Patient care?</t>
        </is>
      </c>
      <c r="C252" s="8" t="inlineStr">
        <is>
          <t>110. Why was it difficult to comply with: Patient care? DO NOT READ OPTIONS OUT LOUD. SELECT ALL THAT APPLY.</t>
        </is>
      </c>
      <c r="D252" s="8" t="inlineStr"/>
      <c r="E252" s="8" t="inlineStr">
        <is>
          <t>Q108 option 02 not ticked → Q111</t>
        </is>
      </c>
      <c r="F252" s="8" t="inlineStr">
        <is>
          <t>F. DOH Licensing: Status and Barriers to Licensing</t>
        </is>
      </c>
      <c r="G252" s="8" t="inlineStr">
        <is>
          <t>alpha 18</t>
        </is>
      </c>
      <c r="H252" s="8" t="inlineStr">
        <is>
          <t>01 = Not enough budget / too expensive
02 = Time-consuming
03 = Limited human resources
04 = Legal processes
05 = Compiling documentary requirements
06 = Stringent standards
07 = Lack of training
08 = Lack of space
99 = Other (specify)</t>
        </is>
      </c>
      <c r="I252" s="8" t="inlineStr"/>
      <c r="J252" s="8" t="inlineStr"/>
    </row>
    <row r="253">
      <c r="A253" s="9" t="inlineStr">
        <is>
          <t>q110_why_diff_pt_care_other_txt</t>
        </is>
      </c>
      <c r="B253" s="10" t="inlineStr">
        <is>
          <t>110. Why was it difficult to comply with: Patient care? — Other (specify) text</t>
        </is>
      </c>
      <c r="C253" s="10" t="inlineStr">
        <is>
          <t>110. Why was it difficult to comply with: Patient care? — Other (specify) text</t>
        </is>
      </c>
      <c r="D253" s="10" t="inlineStr"/>
      <c r="E253" s="10" t="inlineStr"/>
      <c r="F253" s="10" t="inlineStr">
        <is>
          <t>F. DOH Licensing: Status and Barriers to Licensing</t>
        </is>
      </c>
      <c r="G253" s="10" t="inlineStr">
        <is>
          <t>alpha 120</t>
        </is>
      </c>
      <c r="H253" s="10" t="inlineStr"/>
      <c r="I253" s="10" t="inlineStr"/>
      <c r="J253" s="10" t="inlineStr"/>
    </row>
    <row r="254">
      <c r="A254" s="7" t="inlineStr">
        <is>
          <t>q111_why_diff_leadership</t>
        </is>
      </c>
      <c r="B254" s="8" t="inlineStr">
        <is>
          <t>111. Why was it difficult to comply with: Leadership and management?</t>
        </is>
      </c>
      <c r="C254" s="8" t="inlineStr">
        <is>
          <t>111. Why was it difficult to comply with: Leadership and management? DO NOT READ OPTIONS OUT LOUD. SELECT ALL THAT APPLY.</t>
        </is>
      </c>
      <c r="D254" s="8" t="inlineStr"/>
      <c r="E254" s="8" t="inlineStr">
        <is>
          <t>Q108 option 03 not ticked → Q112</t>
        </is>
      </c>
      <c r="F254" s="8" t="inlineStr">
        <is>
          <t>F. DOH Licensing: Status and Barriers to Licensing</t>
        </is>
      </c>
      <c r="G254" s="8" t="inlineStr">
        <is>
          <t>alpha 22</t>
        </is>
      </c>
      <c r="H254" s="8" t="inlineStr">
        <is>
          <t>01 = Not enough budget / too expensive
02 = Time-consuming
03 = Limited human resources
04 = Legal processes
05 = Compiling documentary requirements
06 = Stringent standards
07 = Lack of training
08 = Lack of space
09 = Frequent changes to guidelines and policies
10 = Resistance to change of staff
99 = Other (specify)</t>
        </is>
      </c>
      <c r="I254" s="8" t="inlineStr"/>
      <c r="J254" s="8" t="inlineStr"/>
    </row>
    <row r="255">
      <c r="A255" s="9" t="inlineStr">
        <is>
          <t>q111_why_diff_leadership_other_txt</t>
        </is>
      </c>
      <c r="B255" s="10" t="inlineStr">
        <is>
          <t>111. Why was it difficult to comply with: Leadership and management? — Other (specify) text</t>
        </is>
      </c>
      <c r="C255" s="10" t="inlineStr">
        <is>
          <t>111. Why was it difficult to comply with: Leadership and management? — Other (specify) text</t>
        </is>
      </c>
      <c r="D255" s="10" t="inlineStr"/>
      <c r="E255" s="10" t="inlineStr"/>
      <c r="F255" s="10" t="inlineStr">
        <is>
          <t>F. DOH Licensing: Status and Barriers to Licensing</t>
        </is>
      </c>
      <c r="G255" s="10" t="inlineStr">
        <is>
          <t>alpha 120</t>
        </is>
      </c>
      <c r="H255" s="10" t="inlineStr"/>
      <c r="I255" s="10" t="inlineStr"/>
      <c r="J255" s="10" t="inlineStr"/>
    </row>
    <row r="256">
      <c r="A256" s="7" t="inlineStr">
        <is>
          <t>q112_why_diff_hrm</t>
        </is>
      </c>
      <c r="B256" s="8" t="inlineStr">
        <is>
          <t>112. Why was it difficult to comply with: Human resource management?</t>
        </is>
      </c>
      <c r="C256" s="8" t="inlineStr">
        <is>
          <t>112. Why was it difficult to comply with: Human resource management? DO NOT READ OPTIONS OUT LOUD. SELECT ALL THAT APPLY.</t>
        </is>
      </c>
      <c r="D256" s="8" t="inlineStr"/>
      <c r="E256" s="8" t="inlineStr">
        <is>
          <t>Q108 option 04 not ticked → Q113</t>
        </is>
      </c>
      <c r="F256" s="8" t="inlineStr">
        <is>
          <t>F. DOH Licensing: Status and Barriers to Licensing</t>
        </is>
      </c>
      <c r="G256" s="8" t="inlineStr">
        <is>
          <t>alpha 20</t>
        </is>
      </c>
      <c r="H256" s="8" t="inlineStr">
        <is>
          <t>01 = Not enough budget / too expensive
02 = Time-consuming
03 = Limited human resources
04 = Legal processes
05 = Compiling documentary requirements
06 = Stringent standards
07 = Lack of training
08 = Lack of space
09 = Staff are resistant to change
99 = Other (specify)</t>
        </is>
      </c>
      <c r="I256" s="8" t="inlineStr"/>
      <c r="J256" s="8" t="inlineStr"/>
    </row>
    <row r="257">
      <c r="A257" s="9" t="inlineStr">
        <is>
          <t>q112_why_diff_hrm_other_txt</t>
        </is>
      </c>
      <c r="B257" s="10" t="inlineStr">
        <is>
          <t>112. Why was it difficult to comply with: Human resource management? — Other (specify) text</t>
        </is>
      </c>
      <c r="C257" s="10" t="inlineStr">
        <is>
          <t>112. Why was it difficult to comply with: Human resource management? — Other (specify) text</t>
        </is>
      </c>
      <c r="D257" s="10" t="inlineStr"/>
      <c r="E257" s="10" t="inlineStr"/>
      <c r="F257" s="10" t="inlineStr">
        <is>
          <t>F. DOH Licensing: Status and Barriers to Licensing</t>
        </is>
      </c>
      <c r="G257" s="10" t="inlineStr">
        <is>
          <t>alpha 120</t>
        </is>
      </c>
      <c r="H257" s="10" t="inlineStr"/>
      <c r="I257" s="10" t="inlineStr"/>
      <c r="J257" s="10" t="inlineStr"/>
    </row>
    <row r="258">
      <c r="A258" s="7" t="inlineStr">
        <is>
          <t>q113_why_diff_info_mgmt</t>
        </is>
      </c>
      <c r="B258" s="8" t="inlineStr">
        <is>
          <t>113. Why was it difficult to comply with: Information management?</t>
        </is>
      </c>
      <c r="C258" s="8" t="inlineStr">
        <is>
          <t>113. Why was it difficult to comply with: Information management? DO NOT READ OPTIONS OUT LOUD. SELECT ALL THAT APPLY.</t>
        </is>
      </c>
      <c r="D258" s="8" t="inlineStr"/>
      <c r="E258" s="8" t="inlineStr">
        <is>
          <t>Q108 option 05 not ticked → Q114</t>
        </is>
      </c>
      <c r="F258" s="8" t="inlineStr">
        <is>
          <t>F. DOH Licensing: Status and Barriers to Licensing</t>
        </is>
      </c>
      <c r="G258" s="8" t="inlineStr">
        <is>
          <t>alpha 18</t>
        </is>
      </c>
      <c r="H258" s="8" t="inlineStr">
        <is>
          <t>01 = Not enough budget / too expensive
02 = Time-consuming
03 = Limited human resources
04 = Legal processes
05 = Compiling documentary requirements
06 = Stringent standards
07 = Lack of training
08 = Lack of space
99 = Other (specify)</t>
        </is>
      </c>
      <c r="I258" s="8" t="inlineStr"/>
      <c r="J258" s="8" t="inlineStr"/>
    </row>
    <row r="259">
      <c r="A259" s="9" t="inlineStr">
        <is>
          <t>q113_why_diff_info_mgmt_other_txt</t>
        </is>
      </c>
      <c r="B259" s="10" t="inlineStr">
        <is>
          <t>113. Why was it difficult to comply with: Information management? — Other (specify) text</t>
        </is>
      </c>
      <c r="C259" s="10" t="inlineStr">
        <is>
          <t>113. Why was it difficult to comply with: Information management? — Other (specify) text</t>
        </is>
      </c>
      <c r="D259" s="10" t="inlineStr"/>
      <c r="E259" s="10" t="inlineStr"/>
      <c r="F259" s="10" t="inlineStr">
        <is>
          <t>F. DOH Licensing: Status and Barriers to Licensing</t>
        </is>
      </c>
      <c r="G259" s="10" t="inlineStr">
        <is>
          <t>alpha 120</t>
        </is>
      </c>
      <c r="H259" s="10" t="inlineStr"/>
      <c r="I259" s="10" t="inlineStr"/>
      <c r="J259" s="10" t="inlineStr"/>
    </row>
    <row r="260">
      <c r="A260" s="7" t="inlineStr">
        <is>
          <t>q114_why_diff_safe</t>
        </is>
      </c>
      <c r="B260" s="8" t="inlineStr">
        <is>
          <t>114. Why was it difficult to comply with: Safe practice and environment?</t>
        </is>
      </c>
      <c r="C260" s="8" t="inlineStr">
        <is>
          <t>114. Why was it difficult to comply with: Safe practice and environment? DO NOT READ OPTIONS OUT LOUD. SELECT ALL THAT APPLY.</t>
        </is>
      </c>
      <c r="D260" s="8" t="inlineStr"/>
      <c r="E260" s="8" t="inlineStr">
        <is>
          <t>Q108 option 06 not ticked → Q115</t>
        </is>
      </c>
      <c r="F260" s="8" t="inlineStr">
        <is>
          <t>F. DOH Licensing: Status and Barriers to Licensing</t>
        </is>
      </c>
      <c r="G260" s="8" t="inlineStr">
        <is>
          <t>alpha 18</t>
        </is>
      </c>
      <c r="H260" s="8" t="inlineStr">
        <is>
          <t>01 = Not enough budget / too expensive
02 = Time-consuming
03 = Limited human resources
04 = Legal processes
05 = Compiling documentary requirements
06 = Stringent standards
07 = Lack of training
08 = Lack of space
99 = Other (specify)</t>
        </is>
      </c>
      <c r="I260" s="8" t="inlineStr"/>
      <c r="J260" s="8" t="inlineStr"/>
    </row>
    <row r="261">
      <c r="A261" s="9" t="inlineStr">
        <is>
          <t>q114_why_diff_safe_other_txt</t>
        </is>
      </c>
      <c r="B261" s="10" t="inlineStr">
        <is>
          <t>114. Why was it difficult to comply with: Safe practice and environment? — Other (specify) text</t>
        </is>
      </c>
      <c r="C261" s="10" t="inlineStr">
        <is>
          <t>114. Why was it difficult to comply with: Safe practice and environment? — Other (specify) text</t>
        </is>
      </c>
      <c r="D261" s="10" t="inlineStr"/>
      <c r="E261" s="10" t="inlineStr"/>
      <c r="F261" s="10" t="inlineStr">
        <is>
          <t>F. DOH Licensing: Status and Barriers to Licensing</t>
        </is>
      </c>
      <c r="G261" s="10" t="inlineStr">
        <is>
          <t>alpha 120</t>
        </is>
      </c>
      <c r="H261" s="10" t="inlineStr"/>
      <c r="I261" s="10" t="inlineStr"/>
      <c r="J261" s="10" t="inlineStr"/>
    </row>
    <row r="262">
      <c r="A262" s="7" t="inlineStr">
        <is>
          <t>q115_why_diff_perf</t>
        </is>
      </c>
      <c r="B262" s="8" t="inlineStr">
        <is>
          <t>115. Why was it difficult to comply with: Improving performance?</t>
        </is>
      </c>
      <c r="C262" s="8" t="inlineStr">
        <is>
          <t>115. Why was it difficult to comply with: Improving performance? DO NOT READ OPTIONS OUT LOUD. SELECT ALL THAT APPLY.</t>
        </is>
      </c>
      <c r="D262" s="8" t="inlineStr"/>
      <c r="E262" s="8" t="inlineStr">
        <is>
          <t>Q108 option 07 not ticked → Q116</t>
        </is>
      </c>
      <c r="F262" s="8" t="inlineStr">
        <is>
          <t>F. DOH Licensing: Status and Barriers to Licensing</t>
        </is>
      </c>
      <c r="G262" s="8" t="inlineStr">
        <is>
          <t>alpha 18</t>
        </is>
      </c>
      <c r="H262" s="8" t="inlineStr">
        <is>
          <t>01 = Not enough budget / too expensive
02 = Time-consuming
03 = Limited human resources
04 = Legal processes
05 = Compiling documentary requirements
06 = Stringent standards
07 = Lack of training
08 = Lack of space
99 = Other (specify)</t>
        </is>
      </c>
      <c r="I262" s="8" t="inlineStr"/>
      <c r="J262" s="8" t="inlineStr"/>
    </row>
    <row r="263">
      <c r="A263" s="9" t="inlineStr">
        <is>
          <t>q115_why_diff_perf_other_txt</t>
        </is>
      </c>
      <c r="B263" s="10" t="inlineStr">
        <is>
          <t>115. Why was it difficult to comply with: Improving performance? — Other (specify) text</t>
        </is>
      </c>
      <c r="C263" s="10" t="inlineStr">
        <is>
          <t>115. Why was it difficult to comply with: Improving performance? — Other (specify) text</t>
        </is>
      </c>
      <c r="D263" s="10" t="inlineStr"/>
      <c r="E263" s="10" t="inlineStr"/>
      <c r="F263" s="10" t="inlineStr">
        <is>
          <t>F. DOH Licensing: Status and Barriers to Licensing</t>
        </is>
      </c>
      <c r="G263" s="10" t="inlineStr">
        <is>
          <t>alpha 120</t>
        </is>
      </c>
      <c r="H263" s="10" t="inlineStr"/>
      <c r="I263" s="10" t="inlineStr"/>
      <c r="J263" s="10" t="inlineStr"/>
    </row>
    <row r="264">
      <c r="A264" s="7" t="inlineStr">
        <is>
          <t>q116_why_diff_phys_plant</t>
        </is>
      </c>
      <c r="B264" s="8" t="inlineStr">
        <is>
          <t>116. Why was it difficult to comply with: Physical plant?</t>
        </is>
      </c>
      <c r="C264" s="8" t="inlineStr">
        <is>
          <t>116. Why was it difficult to comply with: Physical plant? DO NOT READ OPTIONS OUT LOUD. SELECT ALL THAT APPLY.</t>
        </is>
      </c>
      <c r="D264" s="8" t="inlineStr"/>
      <c r="E264" s="8" t="inlineStr">
        <is>
          <t>Q108 option 08 not ticked → Q117</t>
        </is>
      </c>
      <c r="F264" s="8" t="inlineStr">
        <is>
          <t>F. DOH Licensing: Status and Barriers to Licensing</t>
        </is>
      </c>
      <c r="G264" s="8" t="inlineStr">
        <is>
          <t>alpha 18</t>
        </is>
      </c>
      <c r="H264" s="8" t="inlineStr">
        <is>
          <t>01 = Not enough budget / too expensive
02 = Time-consuming
03 = Limited human resources
04 = Legal processes
05 = Compiling documentary requirements
06 = Stringent standards
07 = Lack of training
08 = Lack of space
99 = Other (specify)</t>
        </is>
      </c>
      <c r="I264" s="8" t="inlineStr"/>
      <c r="J264" s="8" t="inlineStr"/>
    </row>
    <row r="265">
      <c r="A265" s="9" t="inlineStr">
        <is>
          <t>q116_why_diff_phys_plant_other_txt</t>
        </is>
      </c>
      <c r="B265" s="10" t="inlineStr">
        <is>
          <t>116. Why was it difficult to comply with: Physical plant? — Other (specify) text</t>
        </is>
      </c>
      <c r="C265" s="10" t="inlineStr">
        <is>
          <t>116. Why was it difficult to comply with: Physical plant? — Other (specify) text</t>
        </is>
      </c>
      <c r="D265" s="10" t="inlineStr"/>
      <c r="E265" s="10" t="inlineStr"/>
      <c r="F265" s="10" t="inlineStr">
        <is>
          <t>F. DOH Licensing: Status and Barriers to Licensing</t>
        </is>
      </c>
      <c r="G265" s="10" t="inlineStr">
        <is>
          <t>alpha 120</t>
        </is>
      </c>
      <c r="H265" s="10" t="inlineStr"/>
      <c r="I265" s="10" t="inlineStr"/>
      <c r="J265" s="10" t="inlineStr"/>
    </row>
    <row r="266">
      <c r="A266" s="7" t="inlineStr">
        <is>
          <t>q117_why_diff_price_info</t>
        </is>
      </c>
      <c r="B266" s="8" t="inlineStr">
        <is>
          <t>117. Why was it difficult to comply with: Public access to price information?</t>
        </is>
      </c>
      <c r="C266" s="8" t="inlineStr">
        <is>
          <t>117. Why was it difficult to comply with: Public access to price information? DO NOT READ OPTIONS OUT LOUD. SELECT ALL THAT APPLY.</t>
        </is>
      </c>
      <c r="D266" s="8" t="inlineStr"/>
      <c r="E266" s="8" t="inlineStr">
        <is>
          <t>Q108 option 13 not ticked (PCF-only topic — the printed tail is reordered vs the gate's codes) → Q118</t>
        </is>
      </c>
      <c r="F266" s="8" t="inlineStr">
        <is>
          <t>F. DOH Licensing: Status and Barriers to Licensing</t>
        </is>
      </c>
      <c r="G266" s="8" t="inlineStr">
        <is>
          <t>alpha 18</t>
        </is>
      </c>
      <c r="H266" s="8" t="inlineStr">
        <is>
          <t>01 = Not enough budget / too expensive
02 = Time-consuming
03 = Limited human resources
04 = Legal processes
05 = Compiling documentary requirements
06 = Stringent standards
07 = Lack of training
08 = Lack of space
99 = Other (specify)</t>
        </is>
      </c>
      <c r="I266" s="8" t="inlineStr"/>
      <c r="J266" s="8" t="inlineStr">
        <is>
          <t>[GATE] PCF-only topic — reachable only through Q108's PCF value set</t>
        </is>
      </c>
    </row>
    <row r="267">
      <c r="A267" s="9" t="inlineStr">
        <is>
          <t>q117_why_diff_price_info_other_txt</t>
        </is>
      </c>
      <c r="B267" s="10" t="inlineStr">
        <is>
          <t>117. Why was it difficult to comply with: Public access to price information? — Other (specify) text</t>
        </is>
      </c>
      <c r="C267" s="10" t="inlineStr">
        <is>
          <t>117. Why was it difficult to comply with: Public access to price information? — Other (specify) text</t>
        </is>
      </c>
      <c r="D267" s="10" t="inlineStr"/>
      <c r="E267" s="10" t="inlineStr"/>
      <c r="F267" s="10" t="inlineStr">
        <is>
          <t>F. DOH Licensing: Status and Barriers to Licensing</t>
        </is>
      </c>
      <c r="G267" s="10" t="inlineStr">
        <is>
          <t>alpha 120</t>
        </is>
      </c>
      <c r="H267" s="10" t="inlineStr"/>
      <c r="I267" s="10" t="inlineStr"/>
      <c r="J267" s="10" t="inlineStr"/>
    </row>
    <row r="268">
      <c r="A268" s="7" t="inlineStr">
        <is>
          <t>q118_why_diff_equipment</t>
        </is>
      </c>
      <c r="B268" s="8" t="inlineStr">
        <is>
          <t>118. Why was it difficult to comply with: Equipment and instruments?</t>
        </is>
      </c>
      <c r="C268" s="8" t="inlineStr">
        <is>
          <t>118. Why was it difficult to comply with: Equipment and instruments? DO NOT READ OPTIONS OUT LOUD. SELECT ALL THAT APPLY.</t>
        </is>
      </c>
      <c r="D268" s="8" t="inlineStr"/>
      <c r="E268" s="8" t="inlineStr">
        <is>
          <t>Q108 option 09 not ticked → Q119</t>
        </is>
      </c>
      <c r="F268" s="8" t="inlineStr">
        <is>
          <t>F. DOH Licensing: Status and Barriers to Licensing</t>
        </is>
      </c>
      <c r="G268" s="8" t="inlineStr">
        <is>
          <t>alpha 18</t>
        </is>
      </c>
      <c r="H268" s="8" t="inlineStr">
        <is>
          <t>01 = Not enough budget / too expensive
02 = Time-consuming
03 = Limited human resources
04 = Legal processes
05 = Compiling documentary requirements
06 = Stringent standards
07 = Lack of training
08 = Lack of space
99 = Other (specify)</t>
        </is>
      </c>
      <c r="I268" s="8" t="inlineStr"/>
      <c r="J268" s="8" t="inlineStr"/>
    </row>
    <row r="269">
      <c r="A269" s="9" t="inlineStr">
        <is>
          <t>q118_why_diff_equipment_other_txt</t>
        </is>
      </c>
      <c r="B269" s="10" t="inlineStr">
        <is>
          <t>118. Why was it difficult to comply with: Equipment and instruments? — Other (specify) text</t>
        </is>
      </c>
      <c r="C269" s="10" t="inlineStr">
        <is>
          <t>118. Why was it difficult to comply with: Equipment and instruments? — Other (specify) text</t>
        </is>
      </c>
      <c r="D269" s="10" t="inlineStr"/>
      <c r="E269" s="10" t="inlineStr"/>
      <c r="F269" s="10" t="inlineStr">
        <is>
          <t>F. DOH Licensing: Status and Barriers to Licensing</t>
        </is>
      </c>
      <c r="G269" s="10" t="inlineStr">
        <is>
          <t>alpha 120</t>
        </is>
      </c>
      <c r="H269" s="10" t="inlineStr"/>
      <c r="I269" s="10" t="inlineStr"/>
      <c r="J269" s="10" t="inlineStr"/>
    </row>
    <row r="270">
      <c r="A270" s="7" t="inlineStr">
        <is>
          <t>q119_why_diff_nat_laws</t>
        </is>
      </c>
      <c r="B270" s="8" t="inlineStr">
        <is>
          <t>119. Why was it difficult to comply with: National laws and DOH issuances implemented in hospitals and other health facilities?</t>
        </is>
      </c>
      <c r="C270" s="8" t="inlineStr">
        <is>
          <t>119. Why was it difficult to comply with: National laws and DOH issuances implemented in hospitals and other health facilities? DO NOT READ OPTIONS OUT LOUD. SELECT ALL THAT APPLY.</t>
        </is>
      </c>
      <c r="D270" s="8" t="inlineStr"/>
      <c r="E270" s="8" t="inlineStr">
        <is>
          <t>Q108 option 10 not ticked → Q120</t>
        </is>
      </c>
      <c r="F270" s="8" t="inlineStr">
        <is>
          <t>F. DOH Licensing: Status and Barriers to Licensing</t>
        </is>
      </c>
      <c r="G270" s="8" t="inlineStr">
        <is>
          <t>alpha 18</t>
        </is>
      </c>
      <c r="H270" s="8" t="inlineStr">
        <is>
          <t>01 = Not enough budget / too expensive
02 = Time-consuming
03 = Limited human resources
04 = Legal processes
05 = Compiling documentary requirements
06 = Stringent standards
07 = Lack of training
08 = Lack of space
99 = Other (specify)</t>
        </is>
      </c>
      <c r="I270" s="8" t="inlineStr"/>
      <c r="J270" s="8" t="inlineStr"/>
    </row>
    <row r="271">
      <c r="A271" s="9" t="inlineStr">
        <is>
          <t>q119_why_diff_nat_laws_other_txt</t>
        </is>
      </c>
      <c r="B271" s="10" t="inlineStr">
        <is>
          <t>119. Why was it difficult to comply with: National laws and DOH issuances implemented in hospitals and other health facilities? — Other (specify) text</t>
        </is>
      </c>
      <c r="C271" s="10" t="inlineStr">
        <is>
          <t>119. Why was it difficult to comply with: National laws and DOH issuances implemented in hospitals and other health facilities? — Other (specify) text</t>
        </is>
      </c>
      <c r="D271" s="10" t="inlineStr"/>
      <c r="E271" s="10" t="inlineStr"/>
      <c r="F271" s="10" t="inlineStr">
        <is>
          <t>F. DOH Licensing: Status and Barriers to Licensing</t>
        </is>
      </c>
      <c r="G271" s="10" t="inlineStr">
        <is>
          <t>alpha 120</t>
        </is>
      </c>
      <c r="H271" s="10" t="inlineStr"/>
      <c r="I271" s="10" t="inlineStr"/>
      <c r="J271" s="10" t="inlineStr"/>
    </row>
    <row r="272">
      <c r="A272" s="7" t="inlineStr">
        <is>
          <t>q120_why_diff_emerg_cart</t>
        </is>
      </c>
      <c r="B272" s="8" t="inlineStr">
        <is>
          <t>120. Why was it difficult to comply with: Emergency Cart Contents?</t>
        </is>
      </c>
      <c r="C272" s="8" t="inlineStr">
        <is>
          <t>120. Why was it difficult to comply with: Emergency Cart Contents? DO NOT READ OPTIONS OUT LOUD. SELECT ALL THAT APPLY.</t>
        </is>
      </c>
      <c r="D272" s="8" t="inlineStr"/>
      <c r="E272" s="8" t="inlineStr">
        <is>
          <t>Q108 option 11 not ticked (hospitals only) → Q121</t>
        </is>
      </c>
      <c r="F272" s="8" t="inlineStr">
        <is>
          <t>F. DOH Licensing: Status and Barriers to Licensing</t>
        </is>
      </c>
      <c r="G272" s="8" t="inlineStr">
        <is>
          <t>alpha 18</t>
        </is>
      </c>
      <c r="H272" s="8" t="inlineStr">
        <is>
          <t>01 = Not enough budget / too expensive
02 = Time-consuming
03 = Limited human resources
04 = Legal processes
05 = Compiling documentary requirements
06 = Stringent standards
07 = Lack of training
08 = Lack of space
99 = Other (specify)</t>
        </is>
      </c>
      <c r="I272" s="8" t="inlineStr"/>
      <c r="J272" s="8" t="inlineStr">
        <is>
          <t>[GATE] Hospital-only topics — reachable only through Q108's hospital value set</t>
        </is>
      </c>
    </row>
    <row r="273">
      <c r="A273" s="9" t="inlineStr">
        <is>
          <t>q120_why_diff_emerg_cart_other_txt</t>
        </is>
      </c>
      <c r="B273" s="10" t="inlineStr">
        <is>
          <t>120. Why was it difficult to comply with: Emergency Cart Contents? — Other (specify) text</t>
        </is>
      </c>
      <c r="C273" s="10" t="inlineStr">
        <is>
          <t>120. Why was it difficult to comply with: Emergency Cart Contents? — Other (specify) text</t>
        </is>
      </c>
      <c r="D273" s="10" t="inlineStr"/>
      <c r="E273" s="10" t="inlineStr"/>
      <c r="F273" s="10" t="inlineStr">
        <is>
          <t>F. DOH Licensing: Status and Barriers to Licensing</t>
        </is>
      </c>
      <c r="G273" s="10" t="inlineStr">
        <is>
          <t>alpha 120</t>
        </is>
      </c>
      <c r="H273" s="10" t="inlineStr"/>
      <c r="I273" s="10" t="inlineStr"/>
      <c r="J273" s="10" t="inlineStr"/>
    </row>
    <row r="274">
      <c r="A274" s="7" t="inlineStr">
        <is>
          <t>q121_why_diff_addons</t>
        </is>
      </c>
      <c r="B274" s="8" t="inlineStr">
        <is>
          <t>121. Why was it difficult to comply with: Add-on services?</t>
        </is>
      </c>
      <c r="C274" s="8" t="inlineStr">
        <is>
          <t>121. Why was it difficult to comply with: Add-on services? DO NOT READ OPTIONS OUT LOUD. SELECT ALL THAT APPLY.</t>
        </is>
      </c>
      <c r="D274" s="8" t="inlineStr">
        <is>
          <t>not asked when Q105 DOH_LICENSED in 2, 3, 4 (No / submitted and waiting / don't know what DOH licensing is)</t>
        </is>
      </c>
      <c r="E274" s="8" t="inlineStr">
        <is>
          <t>Q108 option 12 not ticked (hospitals only) → Q122</t>
        </is>
      </c>
      <c r="F274" s="8" t="inlineStr">
        <is>
          <t>F. DOH Licensing: Status and Barriers to Licensing</t>
        </is>
      </c>
      <c r="G274" s="8" t="inlineStr">
        <is>
          <t>alpha 18</t>
        </is>
      </c>
      <c r="H274" s="8" t="inlineStr">
        <is>
          <t>01 = Not enough budget / too expensive
02 = Time-consuming
03 = Limited human resources
04 = Legal processes
05 = Compiling documentary requirements
06 = Stringent standards
07 = Lack of training
08 = Lack of space
99 = Other (specify)</t>
        </is>
      </c>
      <c r="I274" s="8" t="inlineStr"/>
      <c r="J274" s="8" t="inlineStr">
        <is>
          <t>[GATE] Hospital-only topics — reachable only through Q108's hospital value set</t>
        </is>
      </c>
    </row>
    <row r="275">
      <c r="A275" s="9" t="inlineStr">
        <is>
          <t>q121_why_diff_addons_other_txt</t>
        </is>
      </c>
      <c r="B275" s="10" t="inlineStr">
        <is>
          <t>121. Why was it difficult to comply with: Add-on services? — Other (specify) text</t>
        </is>
      </c>
      <c r="C275" s="10" t="inlineStr">
        <is>
          <t>121. Why was it difficult to comply with: Add-on services? — Other (specify) text</t>
        </is>
      </c>
      <c r="D275" s="10" t="inlineStr">
        <is>
          <t>not asked when Q105 DOH_LICENSED in 2, 3, 4 (No / submitted and waiting / don't know what DOH licensing is)</t>
        </is>
      </c>
      <c r="E275" s="10" t="inlineStr"/>
      <c r="F275" s="10" t="inlineStr">
        <is>
          <t>F. DOH Licensing: Status and Barriers to Licensing</t>
        </is>
      </c>
      <c r="G275" s="10" t="inlineStr">
        <is>
          <t>alpha 120</t>
        </is>
      </c>
      <c r="H275" s="10" t="inlineStr"/>
      <c r="I275" s="10" t="inlineStr"/>
      <c r="J275" s="10" t="inlineStr"/>
    </row>
    <row r="276">
      <c r="A276" s="7" t="inlineStr">
        <is>
          <t>q122_nbb_curr</t>
        </is>
      </c>
      <c r="B276" s="8" t="inlineStr">
        <is>
          <t>122. Do you currently implement the No Balance Billing (NBB) for your patients?</t>
        </is>
      </c>
      <c r="C276" s="8" t="inlineStr">
        <is>
          <t>The next set of questions covers the service delivery process. This section covers the implementation of NBB and ZBB, LGU support, and the Referral System. 122. Do you currently implement the No Balance Billing (NBB) for your patients?</t>
        </is>
      </c>
      <c r="D276" s="8" t="inlineStr"/>
      <c r="E276" s="8">
        <f> No (2) → Q125 (skip Q123, Q124)</f>
        <v/>
      </c>
      <c r="F276" s="8" t="inlineStr">
        <is>
          <t>G. Service Delivery Process</t>
        </is>
      </c>
      <c r="G276" s="8" t="inlineStr">
        <is>
          <t>numeric 1</t>
        </is>
      </c>
      <c r="H276" s="8" t="inlineStr">
        <is>
          <t>1 = Yes
2 = No</t>
        </is>
      </c>
      <c r="I276" s="8" t="inlineStr"/>
      <c r="J276" s="8" t="inlineStr"/>
    </row>
    <row r="277">
      <c r="A277" s="9" t="inlineStr">
        <is>
          <t>q123_nbb_all_patients</t>
        </is>
      </c>
      <c r="B277" s="10" t="inlineStr">
        <is>
          <t>123. Are you able to implement NBB for all patients, to the best of your knowledge, for the last 6 months?</t>
        </is>
      </c>
      <c r="C277" s="10" t="inlineStr">
        <is>
          <t>123. Are you able to implement NBB for all patients, to the best of your knowledge, for the last 6 months?</t>
        </is>
      </c>
      <c r="D277" s="10" t="inlineStr">
        <is>
          <t>not asked when Q122 NBB_CURR = No (2)</t>
        </is>
      </c>
      <c r="E277" s="10" t="inlineStr"/>
      <c r="F277" s="10" t="inlineStr">
        <is>
          <t>G. Service Delivery Process</t>
        </is>
      </c>
      <c r="G277" s="10" t="inlineStr">
        <is>
          <t>numeric 1</t>
        </is>
      </c>
      <c r="H277" s="10" t="inlineStr">
        <is>
          <t>1 = Yes
2 = No</t>
        </is>
      </c>
      <c r="I277" s="10" t="inlineStr"/>
      <c r="J277" s="10" t="inlineStr"/>
    </row>
    <row r="278">
      <c r="A278" s="7" t="inlineStr">
        <is>
          <t>q124_nbb_barriers</t>
        </is>
      </c>
      <c r="B278" s="8" t="inlineStr">
        <is>
          <t>124. In your view, what are some of the barriers to implementing NBB?</t>
        </is>
      </c>
      <c r="C278" s="8" t="inlineStr">
        <is>
          <t>124. In your view, what are some of the barriers to implementing NBB? READ OPTIONS OUT LOUD. SELECT ALL THAT APPLY.</t>
        </is>
      </c>
      <c r="D278" s="8" t="inlineStr">
        <is>
          <t>not asked when Q122 NBB_CURR = No (2)</t>
        </is>
      </c>
      <c r="E278" s="8" t="inlineStr"/>
      <c r="F278" s="8" t="inlineStr">
        <is>
          <t>G. Service Delivery Process</t>
        </is>
      </c>
      <c r="G278" s="8" t="inlineStr">
        <is>
          <t>alpha 16</t>
        </is>
      </c>
      <c r="H278" s="8" t="inlineStr">
        <is>
          <t>01 = Complying with the no fees for basic or ward accommodation
02 = Complying the prescribed ratio of allocation of basic and non-basic accommodation
03 = Patients do not go through the process of availing it
04 = Insufficient PhilHealth support value
05 = Insufficient other sources (e.g. MAIFIP, DSWD, PCSO) (late payments applicable for MAIFIP)
06 = PhilHealth delayed payment
90 = None of the above
99 = Other (specify)</t>
        </is>
      </c>
      <c r="I278" s="8" t="inlineStr"/>
      <c r="J278" s="8" t="inlineStr">
        <is>
          <t>[HARD] Check Box, at least one required (msg 1110); code 90 exclusive (msg 1230)</t>
        </is>
      </c>
    </row>
    <row r="279">
      <c r="A279" s="9" t="inlineStr">
        <is>
          <t>q124_nbb_barriers_other_txt</t>
        </is>
      </c>
      <c r="B279" s="10" t="inlineStr">
        <is>
          <t>124. In your view, what are some of the barriers to implementing NBB? — Other (specify) text</t>
        </is>
      </c>
      <c r="C279" s="10" t="inlineStr">
        <is>
          <t>124. In your view, what are some of the barriers to implementing NBB? — Other (specify) text</t>
        </is>
      </c>
      <c r="D279" s="10" t="inlineStr">
        <is>
          <t>not asked when Q122 NBB_CURR = No (2)</t>
        </is>
      </c>
      <c r="E279" s="10" t="inlineStr"/>
      <c r="F279" s="10" t="inlineStr">
        <is>
          <t>G. Service Delivery Process</t>
        </is>
      </c>
      <c r="G279" s="10" t="inlineStr">
        <is>
          <t>alpha 120</t>
        </is>
      </c>
      <c r="H279" s="10" t="inlineStr"/>
      <c r="I279" s="10" t="inlineStr"/>
      <c r="J279" s="10" t="inlineStr"/>
    </row>
    <row r="280">
      <c r="A280" s="7" t="inlineStr">
        <is>
          <t>q125_zbb_curr</t>
        </is>
      </c>
      <c r="B280" s="8" t="inlineStr">
        <is>
          <t>125. Do you currently implement the Zero Balance Billing (ZBB) for your patients?</t>
        </is>
      </c>
      <c r="C280" s="8" t="inlineStr">
        <is>
          <t>125. Do you currently implement the Zero Balance Billing (ZBB) for your patients?</t>
        </is>
      </c>
      <c r="D280" s="8" t="inlineStr"/>
      <c r="E280" s="8">
        <f> No (2) → Q128 (skip Q126, Q127)</f>
        <v/>
      </c>
      <c r="F280" s="8" t="inlineStr">
        <is>
          <t>G. Service Delivery Process</t>
        </is>
      </c>
      <c r="G280" s="8" t="inlineStr">
        <is>
          <t>numeric 1</t>
        </is>
      </c>
      <c r="H280" s="8" t="inlineStr">
        <is>
          <t>1 = Yes
2 = No</t>
        </is>
      </c>
      <c r="I280" s="8" t="inlineStr"/>
      <c r="J280" s="8" t="inlineStr"/>
    </row>
    <row r="281">
      <c r="A281" s="9" t="inlineStr">
        <is>
          <t>q126_zbb_all_patients</t>
        </is>
      </c>
      <c r="B281" s="10" t="inlineStr">
        <is>
          <t>126. Are you able to implement ZBB for all patients, to the best of your knowledge, for the last six months?</t>
        </is>
      </c>
      <c r="C281" s="10" t="inlineStr">
        <is>
          <t>126. Are you able to implement ZBB for all patients, to the best of your knowledge, for the last six months?</t>
        </is>
      </c>
      <c r="D281" s="10" t="inlineStr">
        <is>
          <t>not asked when Q125 ZBB_CURR = No (2)</t>
        </is>
      </c>
      <c r="E281" s="10" t="inlineStr"/>
      <c r="F281" s="10" t="inlineStr">
        <is>
          <t>G. Service Delivery Process</t>
        </is>
      </c>
      <c r="G281" s="10" t="inlineStr">
        <is>
          <t>numeric 1</t>
        </is>
      </c>
      <c r="H281" s="10" t="inlineStr">
        <is>
          <t>1 = Yes
2 = No</t>
        </is>
      </c>
      <c r="I281" s="10" t="inlineStr"/>
      <c r="J281" s="10" t="inlineStr"/>
    </row>
    <row r="282">
      <c r="A282" s="7" t="inlineStr">
        <is>
          <t>q127_zbb_barriers</t>
        </is>
      </c>
      <c r="B282" s="8" t="inlineStr">
        <is>
          <t>127. In your view, what are some of the barriers to implementing ZBB?</t>
        </is>
      </c>
      <c r="C282" s="8" t="inlineStr">
        <is>
          <t>127. In your view, what are some of the barriers to implementing ZBB? READ OPTIONS OUT LOUD. SELECT ALL THAT APPLY.</t>
        </is>
      </c>
      <c r="D282" s="8" t="inlineStr">
        <is>
          <t>not asked when Q125 ZBB_CURR = No (2)</t>
        </is>
      </c>
      <c r="E282" s="8" t="inlineStr"/>
      <c r="F282" s="8" t="inlineStr">
        <is>
          <t>G. Service Delivery Process</t>
        </is>
      </c>
      <c r="G282" s="8" t="inlineStr">
        <is>
          <t>alpha 16</t>
        </is>
      </c>
      <c r="H282" s="8" t="inlineStr">
        <is>
          <t>01 = Complying with the no fees for basic or ward accommodation
02 = Complying the prescribed ratio of allocation of basic and non-basic accommodation
03 = Patients do not go through the process of availing it
04 = Insufficient PhilHealth support value
05 = Insufficient other sources (e.g. MAIFIP, DSWD, PCSO) (late payments applicable for MAIFIP)
06 = PhilHealth delayed payment
90 = None of the above
99 = Other (specify)</t>
        </is>
      </c>
      <c r="I282" s="8" t="inlineStr"/>
      <c r="J282" s="8" t="inlineStr">
        <is>
          <t>[HARD] Check Box, at least one required (msg 1116); code 90 exclusive (msg 1231)</t>
        </is>
      </c>
    </row>
    <row r="283">
      <c r="A283" s="9" t="inlineStr">
        <is>
          <t>q127_zbb_barriers_other_txt</t>
        </is>
      </c>
      <c r="B283" s="10" t="inlineStr">
        <is>
          <t>127. In your view, what are some of the barriers to implementing ZBB? — Other (specify) text</t>
        </is>
      </c>
      <c r="C283" s="10" t="inlineStr">
        <is>
          <t>127. In your view, what are some of the barriers to implementing ZBB? — Other (specify) text</t>
        </is>
      </c>
      <c r="D283" s="10" t="inlineStr">
        <is>
          <t>not asked when Q125 ZBB_CURR = No (2)</t>
        </is>
      </c>
      <c r="E283" s="10" t="inlineStr"/>
      <c r="F283" s="10" t="inlineStr">
        <is>
          <t>G. Service Delivery Process</t>
        </is>
      </c>
      <c r="G283" s="10" t="inlineStr">
        <is>
          <t>alpha 120</t>
        </is>
      </c>
      <c r="H283" s="10" t="inlineStr"/>
      <c r="I283" s="10" t="inlineStr"/>
      <c r="J283" s="10" t="inlineStr"/>
    </row>
    <row r="284">
      <c r="A284" s="7" t="inlineStr">
        <is>
          <t>q128_allow_oop_basic</t>
        </is>
      </c>
      <c r="B284" s="8" t="inlineStr">
        <is>
          <t>128. Does the facility allow out-of-pocket (OOP) expenses for basic accommodation?</t>
        </is>
      </c>
      <c r="C284" s="8" t="inlineStr">
        <is>
          <t>128. Does the facility allow out-of-pocket (OOP) expenses for basic accommodation?</t>
        </is>
      </c>
      <c r="D284" s="8" t="inlineStr"/>
      <c r="E284" s="8">
        <f> No (2) → Q130 (skip Q129)</f>
        <v/>
      </c>
      <c r="F284" s="8" t="inlineStr">
        <is>
          <t>G. Service Delivery Process</t>
        </is>
      </c>
      <c r="G284" s="8" t="inlineStr">
        <is>
          <t>numeric 1</t>
        </is>
      </c>
      <c r="H284" s="8" t="inlineStr">
        <is>
          <t>1 = Yes
2 = No</t>
        </is>
      </c>
      <c r="I284" s="8" t="inlineStr"/>
      <c r="J284" s="8" t="inlineStr"/>
    </row>
    <row r="285">
      <c r="A285" s="9" t="inlineStr">
        <is>
          <t>q129_oop_reason</t>
        </is>
      </c>
      <c r="B285" s="10" t="inlineStr">
        <is>
          <t>129. Why does the facility allow OOP expenses for basic accommodation? Specify the reason.</t>
        </is>
      </c>
      <c r="C285" s="10" t="inlineStr">
        <is>
          <t>129. Why does the facility allow OOP expenses for basic accommodation? Specify the reason.</t>
        </is>
      </c>
      <c r="D285" s="10" t="inlineStr">
        <is>
          <t>not asked when Q128 ALLOW_OOP_BASIC = No (2)</t>
        </is>
      </c>
      <c r="E285" s="10" t="inlineStr"/>
      <c r="F285" s="10" t="inlineStr">
        <is>
          <t>G. Service Delivery Process</t>
        </is>
      </c>
      <c r="G285" s="10" t="inlineStr">
        <is>
          <t>alpha 240</t>
        </is>
      </c>
      <c r="H285" s="10" t="inlineStr"/>
      <c r="I285" s="10" t="inlineStr"/>
      <c r="J285" s="10" t="inlineStr">
        <is>
          <t>[GATE] `Q128_ALLOW_OOP_BASIC = Yes`</t>
        </is>
      </c>
    </row>
    <row r="286">
      <c r="A286" s="7" t="inlineStr">
        <is>
          <t>q130_difficult_benefit</t>
        </is>
      </c>
      <c r="B286" s="8" t="inlineStr">
        <is>
          <t>130. Which of the UHC benefits do you find most difficult to implement?</t>
        </is>
      </c>
      <c r="C286" s="8" t="inlineStr">
        <is>
          <t>130. Which of the UHC benefits do you find most difficult to implement?</t>
        </is>
      </c>
      <c r="D286" s="8" t="inlineStr"/>
      <c r="E286" s="8" t="inlineStr"/>
      <c r="F286" s="8" t="inlineStr">
        <is>
          <t>G. Service Delivery Process</t>
        </is>
      </c>
      <c r="G286" s="8" t="inlineStr">
        <is>
          <t>numeric 2</t>
        </is>
      </c>
      <c r="H286" s="8" t="inlineStr">
        <is>
          <t>1 = PhilHealth/financial protection benefits
2 = Establishment of health care provider networks (HCPNs) (i.e., referral system)
3 = Human resources for health reforms
4 = Other (specify)</t>
        </is>
      </c>
      <c r="I286" s="8" t="inlineStr"/>
      <c r="J286" s="8" t="inlineStr"/>
    </row>
    <row r="287">
      <c r="A287" s="9" t="inlineStr">
        <is>
          <t>q130_other_txt</t>
        </is>
      </c>
      <c r="B287" s="10" t="inlineStr">
        <is>
          <t>130. Which of the UHC benefits do you find most difficult to implement? Other (specify)</t>
        </is>
      </c>
      <c r="C287" s="10" t="inlineStr">
        <is>
          <t>130. Which of the UHC benefits do you find most difficult to implement? Other (specify)</t>
        </is>
      </c>
      <c r="D287" s="10" t="inlineStr"/>
      <c r="E287" s="10" t="inlineStr"/>
      <c r="F287" s="10" t="inlineStr">
        <is>
          <t>G. Service Delivery Process</t>
        </is>
      </c>
      <c r="G287" s="10" t="inlineStr">
        <is>
          <t>alpha 120</t>
        </is>
      </c>
      <c r="H287" s="10" t="inlineStr"/>
      <c r="I287" s="10" t="inlineStr"/>
      <c r="J287" s="10" t="inlineStr"/>
    </row>
    <row r="288">
      <c r="A288" s="7" t="inlineStr">
        <is>
          <t>q131_difficult_reason</t>
        </is>
      </c>
      <c r="B288" s="8" t="inlineStr">
        <is>
          <t>131. Why is this difficult to implement?</t>
        </is>
      </c>
      <c r="C288" s="8" t="inlineStr">
        <is>
          <t>131. Why is this difficult to implement?</t>
        </is>
      </c>
      <c r="D288" s="8" t="inlineStr"/>
      <c r="E288" s="8" t="inlineStr"/>
      <c r="F288" s="8" t="inlineStr">
        <is>
          <t>G. Service Delivery Process</t>
        </is>
      </c>
      <c r="G288" s="8" t="inlineStr">
        <is>
          <t>alpha 8</t>
        </is>
      </c>
      <c r="H288" s="8" t="inlineStr">
        <is>
          <t>01 = The implementation of UHC benefits is heavily reliant on LGU decisions
02 = Not enough funding/budget
03 = Technical/system issues of PhilHealth (e.g., data loss, errors, or platform accessibility problems)
99 = Other (specify)</t>
        </is>
      </c>
      <c r="I288" s="8" t="inlineStr"/>
      <c r="J288" s="8" t="inlineStr">
        <is>
          <t>[HARD] Required, non-blank (msg 1124)</t>
        </is>
      </c>
    </row>
    <row r="289">
      <c r="A289" s="9" t="inlineStr">
        <is>
          <t>q131_difficult_reason_other_txt</t>
        </is>
      </c>
      <c r="B289" s="10" t="inlineStr">
        <is>
          <t>131. Why is this difficult to implement? — Other (specify) text</t>
        </is>
      </c>
      <c r="C289" s="10" t="inlineStr">
        <is>
          <t>131. Why is this difficult to implement? — Other (specify) text</t>
        </is>
      </c>
      <c r="D289" s="10" t="inlineStr"/>
      <c r="E289" s="10" t="inlineStr"/>
      <c r="F289" s="10" t="inlineStr">
        <is>
          <t>G. Service Delivery Process</t>
        </is>
      </c>
      <c r="G289" s="10" t="inlineStr">
        <is>
          <t>alpha 120</t>
        </is>
      </c>
      <c r="H289" s="10" t="inlineStr"/>
      <c r="I289" s="10" t="inlineStr"/>
      <c r="J289" s="10" t="inlineStr"/>
    </row>
    <row r="290">
      <c r="A290" s="7" t="inlineStr">
        <is>
          <t>q132_malasakit_provided</t>
        </is>
      </c>
      <c r="B290" s="8" t="inlineStr">
        <is>
          <t>132. Has the facility been providing medical social welfare or assistance (e.g., through Malasakit Centers, MAIFIP)?</t>
        </is>
      </c>
      <c r="C290" s="8" t="inlineStr">
        <is>
          <t>132. Has the facility been providing medical social welfare or assistance (e.g., through Malasakit Centers, MAIFIP)?</t>
        </is>
      </c>
      <c r="D290" s="8" t="inlineStr"/>
      <c r="E290" s="8">
        <f> No (2) → Q134 (skip Q133)</f>
        <v/>
      </c>
      <c r="F290" s="8" t="inlineStr">
        <is>
          <t>G. Service Delivery Process</t>
        </is>
      </c>
      <c r="G290" s="8" t="inlineStr">
        <is>
          <t>numeric 1</t>
        </is>
      </c>
      <c r="H290" s="8" t="inlineStr">
        <is>
          <t>1 = Yes
2 = No</t>
        </is>
      </c>
      <c r="I290" s="8" t="inlineStr"/>
      <c r="J290" s="8" t="inlineStr"/>
    </row>
    <row r="291">
      <c r="A291" s="9" t="inlineStr">
        <is>
          <t>q133_malasakit_why</t>
        </is>
      </c>
      <c r="B291" s="10" t="inlineStr">
        <is>
          <t>133. Why is the facility providing medical social welfare or assistance through Malasakit Centers or MAIFIP?</t>
        </is>
      </c>
      <c r="C291" s="10" t="inlineStr">
        <is>
          <t>133. Why is the facility providing medical social welfare or assistance through Malasakit Centers or MAIFIP? READ OPTIONS OUT LOUD. SELECT ALL THAT APPLY.</t>
        </is>
      </c>
      <c r="D291" s="10" t="inlineStr">
        <is>
          <t>not asked when Q132 MALASAKIT_PROVIDED = No (2)</t>
        </is>
      </c>
      <c r="E291" s="10" t="inlineStr"/>
      <c r="F291" s="10" t="inlineStr">
        <is>
          <t>G. Service Delivery Process</t>
        </is>
      </c>
      <c r="G291" s="10" t="inlineStr">
        <is>
          <t>alpha 10</t>
        </is>
      </c>
      <c r="H291" s="10" t="inlineStr">
        <is>
          <t>01 = Streamline access to medical and financial aid for indigent and financially incapacitated patients
02 = Reduce out-of-pocket expenses
03 = Eliminate the need to travel to multiple government agencies
04 = Foster a more compassionate approach to healthcare
99 = Other (specify)</t>
        </is>
      </c>
      <c r="I291" s="10" t="inlineStr"/>
      <c r="J291" s="10" t="inlineStr">
        <is>
          <t>[HARD / GATE] `Q132_MALASAKIT_PROVIDED = Yes`; required when reached (msg 1128)</t>
        </is>
      </c>
    </row>
    <row r="292">
      <c r="A292" s="7" t="inlineStr">
        <is>
          <t>q133_malasakit_why_other_txt</t>
        </is>
      </c>
      <c r="B292" s="8" t="inlineStr">
        <is>
          <t>133. Why is the facility providing medical social welfare or assistance through Malasakit Centers or MAIFIP? — Other (specify) text</t>
        </is>
      </c>
      <c r="C292" s="8" t="inlineStr">
        <is>
          <t>133. Why is the facility providing medical social welfare or assistance through Malasakit Centers or MAIFIP? — Other (specify) text</t>
        </is>
      </c>
      <c r="D292" s="8" t="inlineStr">
        <is>
          <t>not asked when Q132 MALASAKIT_PROVIDED = No (2)</t>
        </is>
      </c>
      <c r="E292" s="8" t="inlineStr"/>
      <c r="F292" s="8" t="inlineStr">
        <is>
          <t>G. Service Delivery Process</t>
        </is>
      </c>
      <c r="G292" s="8" t="inlineStr">
        <is>
          <t>alpha 120</t>
        </is>
      </c>
      <c r="H292" s="8" t="inlineStr"/>
      <c r="I292" s="8" t="inlineStr"/>
      <c r="J292" s="8" t="inlineStr"/>
    </row>
    <row r="293">
      <c r="A293" s="9" t="inlineStr">
        <is>
          <t>q134_no_malasakit_why</t>
        </is>
      </c>
      <c r="B293" s="10" t="inlineStr">
        <is>
          <t>134. Why is the facility not providing medical social welfare or assistance through Malasakit Centers or MAIFIP?</t>
        </is>
      </c>
      <c r="C293" s="10" t="inlineStr">
        <is>
          <t>134. Why is the facility not providing medical social welfare or assistance through Malasakit Centers or MAIFIP? READ OPTIONS OUT LOUD. SELECT ALL THAT APPLY.</t>
        </is>
      </c>
      <c r="D293" s="10" t="inlineStr"/>
      <c r="E293" s="10" t="inlineStr">
        <is>
          <t>Q132 = Yes — entry gate; the not-provided block does not apply → Q135</t>
        </is>
      </c>
      <c r="F293" s="10" t="inlineStr">
        <is>
          <t>G. Service Delivery Process</t>
        </is>
      </c>
      <c r="G293" s="10" t="inlineStr">
        <is>
          <t>alpha 10</t>
        </is>
      </c>
      <c r="H293" s="10" t="inlineStr">
        <is>
          <t>01 = Limited budget
02 = Stringent eligibility requirements
03 = Incomplete documentation from patients
04 = High patient volume leading to service bottlenecks
99 = Other (specify)</t>
        </is>
      </c>
      <c r="I293" s="10" t="inlineStr"/>
      <c r="J293" s="10" t="inlineStr">
        <is>
          <t>[HARD / GATE] `Q132_MALASAKIT_PROVIDED = No`; required when reached (msg 1130)</t>
        </is>
      </c>
    </row>
    <row r="294">
      <c r="A294" s="7" t="inlineStr">
        <is>
          <t>q134_no_malasakit_why_other_txt</t>
        </is>
      </c>
      <c r="B294" s="8" t="inlineStr">
        <is>
          <t>134. Why is the facility not providing medical social welfare or assistance through Malasakit Centers or MAIFIP? — Other (specify) text</t>
        </is>
      </c>
      <c r="C294" s="8" t="inlineStr">
        <is>
          <t>134. Why is the facility not providing medical social welfare or assistance through Malasakit Centers or MAIFIP? — Other (specify) text</t>
        </is>
      </c>
      <c r="D294" s="8" t="inlineStr"/>
      <c r="E294" s="8" t="inlineStr"/>
      <c r="F294" s="8" t="inlineStr">
        <is>
          <t>G. Service Delivery Process</t>
        </is>
      </c>
      <c r="G294" s="8" t="inlineStr">
        <is>
          <t>alpha 120</t>
        </is>
      </c>
      <c r="H294" s="8" t="inlineStr"/>
      <c r="I294" s="8" t="inlineStr"/>
      <c r="J294" s="8" t="inlineStr"/>
    </row>
    <row r="295">
      <c r="A295" s="9" t="inlineStr">
        <is>
          <t>q135_lgu_support</t>
        </is>
      </c>
      <c r="B295" s="10" t="inlineStr">
        <is>
          <t>135. Do you receive any support from your LGU to implement UHC reforms?</t>
        </is>
      </c>
      <c r="C295" s="10" t="inlineStr">
        <is>
          <t>135. Do you receive any support from your LGU to implement UHC reforms?</t>
        </is>
      </c>
      <c r="D295" s="10" t="inlineStr"/>
      <c r="E295" s="10">
        <f> No (2) → Q139 (skip Q136, Q137, Q138)</f>
        <v/>
      </c>
      <c r="F295" s="10" t="inlineStr">
        <is>
          <t>G. Service Delivery Process</t>
        </is>
      </c>
      <c r="G295" s="10" t="inlineStr">
        <is>
          <t>numeric 1</t>
        </is>
      </c>
      <c r="H295" s="10" t="inlineStr">
        <is>
          <t>1 = Yes
2 = No</t>
        </is>
      </c>
      <c r="I295" s="10" t="inlineStr"/>
      <c r="J295" s="10" t="inlineStr"/>
    </row>
    <row r="296">
      <c r="A296" s="7" t="inlineStr">
        <is>
          <t>q136_lgu_support_forms</t>
        </is>
      </c>
      <c r="B296" s="8" t="inlineStr">
        <is>
          <t>136. What forms of support do you receive?</t>
        </is>
      </c>
      <c r="C296" s="8" t="inlineStr">
        <is>
          <t>136. What forms of support do you receive? READ OPTIONS OUT LOUD. SELECT ALL THAT APPLY.</t>
        </is>
      </c>
      <c r="D296" s="8" t="inlineStr">
        <is>
          <t>not asked when Q135 LGU_SUPPORT = No (2)</t>
        </is>
      </c>
      <c r="E296" s="8" t="inlineStr"/>
      <c r="F296" s="8" t="inlineStr">
        <is>
          <t>G. Service Delivery Process</t>
        </is>
      </c>
      <c r="G296" s="8" t="inlineStr">
        <is>
          <t>alpha 10</t>
        </is>
      </c>
      <c r="H296" s="8" t="inlineStr">
        <is>
          <t>01 = Financial assistance
02 = Technical assistance
03 = Medical supplies and equipment
04 = Manpower support
99 = Other (specify)</t>
        </is>
      </c>
      <c r="I296" s="8" t="inlineStr"/>
      <c r="J296" s="8" t="inlineStr">
        <is>
          <t>[HARD] Check Box, at least one required (msg 1232)</t>
        </is>
      </c>
    </row>
    <row r="297">
      <c r="A297" s="9" t="inlineStr">
        <is>
          <t>q136_lgu_support_forms_other_txt</t>
        </is>
      </c>
      <c r="B297" s="10" t="inlineStr">
        <is>
          <t>136. What forms of support do you receive? — Other (specify) text</t>
        </is>
      </c>
      <c r="C297" s="10" t="inlineStr">
        <is>
          <t>136. What forms of support do you receive? — Other (specify) text</t>
        </is>
      </c>
      <c r="D297" s="10" t="inlineStr">
        <is>
          <t>not asked when Q135 LGU_SUPPORT = No (2)</t>
        </is>
      </c>
      <c r="E297" s="10" t="inlineStr"/>
      <c r="F297" s="10" t="inlineStr">
        <is>
          <t>G. Service Delivery Process</t>
        </is>
      </c>
      <c r="G297" s="10" t="inlineStr">
        <is>
          <t>alpha 120</t>
        </is>
      </c>
      <c r="H297" s="10" t="inlineStr"/>
      <c r="I297" s="10" t="inlineStr"/>
      <c r="J297" s="10" t="inlineStr"/>
    </row>
    <row r="298">
      <c r="A298" s="7" t="inlineStr">
        <is>
          <t>q137_lgu_satisfied</t>
        </is>
      </c>
      <c r="B298" s="8" t="inlineStr">
        <is>
          <t>137. Are you satisfied with the support you receive from your LGU?</t>
        </is>
      </c>
      <c r="C298" s="8" t="inlineStr">
        <is>
          <t>137. Are you satisfied with the support you receive from your LGU?</t>
        </is>
      </c>
      <c r="D298" s="8" t="inlineStr">
        <is>
          <t>not asked when Q135 LGU_SUPPORT = No (2)</t>
        </is>
      </c>
      <c r="E298" s="8">
        <f> Yes (1) → Q139 (skip Q138) — defect-fix: the paper sends Yes to Q141, which orphans the Q139/Q140 PHO protocol pair for every satisfied respondent</f>
        <v/>
      </c>
      <c r="F298" s="8" t="inlineStr">
        <is>
          <t>G. Service Delivery Process</t>
        </is>
      </c>
      <c r="G298" s="8" t="inlineStr">
        <is>
          <t>numeric 1</t>
        </is>
      </c>
      <c r="H298" s="8" t="inlineStr">
        <is>
          <t>1 = Yes
2 = No</t>
        </is>
      </c>
      <c r="I298" s="8" t="inlineStr"/>
      <c r="J298" s="8" t="inlineStr"/>
    </row>
    <row r="299">
      <c r="A299" s="9" t="inlineStr">
        <is>
          <t>q138_lgu_not_sat_why</t>
        </is>
      </c>
      <c r="B299" s="10" t="inlineStr">
        <is>
          <t>138. Why not?</t>
        </is>
      </c>
      <c r="C299" s="10" t="inlineStr">
        <is>
          <t>138. Why not? DO NOT READ OPTIONS OUT LOUD. SELECT ALL THAT APPLY.</t>
        </is>
      </c>
      <c r="D299" s="10" t="inlineStr">
        <is>
          <t>not asked when Q135 LGU_SUPPORT = No (2)
not asked when Q137 LGU_SATISFIED = Yes (1)</t>
        </is>
      </c>
      <c r="E299" s="10" t="inlineStr"/>
      <c r="F299" s="10" t="inlineStr">
        <is>
          <t>G. Service Delivery Process</t>
        </is>
      </c>
      <c r="G299" s="10" t="inlineStr">
        <is>
          <t>alpha 10</t>
        </is>
      </c>
      <c r="H299" s="10" t="inlineStr">
        <is>
          <t>01 = Insufficient
02 = Hard to coordinate
03 = Support given is not aligned with the needs of the facility
99 = Other (specify)</t>
        </is>
      </c>
      <c r="I299" s="10" t="inlineStr">
        <is>
          <t>90 = I don't know</t>
        </is>
      </c>
      <c r="J299" s="10" t="inlineStr">
        <is>
          <t>[HARD / GATE] `Q137_LGU_SATISFIED = No`; Check Box, at least one required (msg 1234); code 90 exclusive (msg 1235)</t>
        </is>
      </c>
    </row>
    <row r="300">
      <c r="A300" s="7" t="inlineStr">
        <is>
          <t>q138_lgu_not_sat_why_other_txt</t>
        </is>
      </c>
      <c r="B300" s="8" t="inlineStr">
        <is>
          <t>138. Why not? — Other (specify) text</t>
        </is>
      </c>
      <c r="C300" s="8" t="inlineStr">
        <is>
          <t>138. Why not? — Other (specify) text</t>
        </is>
      </c>
      <c r="D300" s="8" t="inlineStr">
        <is>
          <t>not asked when Q135 LGU_SUPPORT = No (2)
not asked when Q137 LGU_SATISFIED = Yes (1)</t>
        </is>
      </c>
      <c r="E300" s="8" t="inlineStr"/>
      <c r="F300" s="8" t="inlineStr">
        <is>
          <t>G. Service Delivery Process</t>
        </is>
      </c>
      <c r="G300" s="8" t="inlineStr">
        <is>
          <t>alpha 120</t>
        </is>
      </c>
      <c r="H300" s="8" t="inlineStr"/>
      <c r="I300" s="8" t="inlineStr"/>
      <c r="J300" s="8" t="inlineStr"/>
    </row>
    <row r="301">
      <c r="A301" s="9" t="inlineStr">
        <is>
          <t>q139_pho_protocol_clarity</t>
        </is>
      </c>
      <c r="B301" s="10" t="inlineStr">
        <is>
          <t>139. How clear are the protocols regarding which decisions require Provincial Health Office (PHO) approval versus those you can decide at the facility level?</t>
        </is>
      </c>
      <c r="C301" s="10" t="inlineStr">
        <is>
          <t>139. How clear are the protocols regarding which decisions require Provincial Health Office (PHO) approval versus those you can decide at the facility level?</t>
        </is>
      </c>
      <c r="D301" s="10" t="inlineStr"/>
      <c r="E301" s="10" t="inlineStr">
        <is>
          <t>entry gate: asked only when Q7 = Public AND Q8 in Level 1/2/3 Hospital (#386) → Q141 (skip Q140)
in 1, 2 (Very Clear / Clear) → Q141 (skip Q140)</t>
        </is>
      </c>
      <c r="F301" s="10" t="inlineStr">
        <is>
          <t>G. Service Delivery Process</t>
        </is>
      </c>
      <c r="G301" s="10" t="inlineStr">
        <is>
          <t>numeric 2</t>
        </is>
      </c>
      <c r="H301" s="10" t="inlineStr">
        <is>
          <t>1 = Very Clear
2 = Clear
3 = Neither
4 = Unclear
5 = Very unclear</t>
        </is>
      </c>
      <c r="I301" s="10" t="inlineStr"/>
      <c r="J301" s="10" t="inlineStr"/>
    </row>
    <row r="302">
      <c r="A302" s="7" t="inlineStr">
        <is>
          <t>q140_unclear_protocol</t>
        </is>
      </c>
      <c r="B302" s="8" t="inlineStr">
        <is>
          <t>140. Which specific protocol that you consider as unclear?</t>
        </is>
      </c>
      <c r="C302" s="8" t="inlineStr">
        <is>
          <t>140. Which specific protocol that you consider as unclear?</t>
        </is>
      </c>
      <c r="D302" s="8" t="inlineStr">
        <is>
          <t>not asked when Q139 PHO_PROTOCOL_CLARITY entry gate: asked only when Q7 = Public AND Q8 in Level 1/2/3 Hospital (#386)
not asked when Q139 PHO_PROTOCOL_CLARITY in 1, 2 (Very Clear / Clear)</t>
        </is>
      </c>
      <c r="E302" s="8" t="inlineStr"/>
      <c r="F302" s="8" t="inlineStr">
        <is>
          <t>G. Service Delivery Process</t>
        </is>
      </c>
      <c r="G302" s="8" t="inlineStr">
        <is>
          <t>alpha 240</t>
        </is>
      </c>
      <c r="H302" s="8" t="inlineStr"/>
      <c r="I302" s="8" t="inlineStr"/>
      <c r="J302" s="8" t="inlineStr">
        <is>
          <t>[GATE] `Q139_PHO_PROTOCOL_CLARITY` in Unclear / Very Unclear</t>
        </is>
      </c>
    </row>
    <row r="303">
      <c r="A303" s="9" t="inlineStr">
        <is>
          <t>q141_num_referred_out</t>
        </is>
      </c>
      <c r="B303" s="10" t="inlineStr">
        <is>
          <t>141. In the past 6 months, how many patients were referred to a higher-level facility within the referral network?</t>
        </is>
      </c>
      <c r="C303" s="10" t="inlineStr">
        <is>
          <t>141. In the past 6 months, how many patients were referred to a higher-level facility within the referral network?</t>
        </is>
      </c>
      <c r="D303" s="10" t="inlineStr"/>
      <c r="E303" s="10" t="inlineStr"/>
      <c r="F303" s="10" t="inlineStr">
        <is>
          <t>G. Service Delivery Process</t>
        </is>
      </c>
      <c r="G303" s="10" t="inlineStr">
        <is>
          <t>numeric 6</t>
        </is>
      </c>
      <c r="H303" s="10" t="inlineStr"/>
      <c r="I303" s="10" t="inlineStr"/>
      <c r="J303" s="10" t="inlineStr"/>
    </row>
    <row r="304">
      <c r="A304" s="7" t="inlineStr">
        <is>
          <t>q142_send_referral_how</t>
        </is>
      </c>
      <c r="B304" s="8" t="inlineStr">
        <is>
          <t>142. What are the most common ways you send referrals to higher level facilities/specialists?</t>
        </is>
      </c>
      <c r="C304" s="8" t="inlineStr">
        <is>
          <t>142. What are the most common ways you send referrals to higher level facilities/specialists? Our focus is specifically on referrals external to the facility, excluding internal referrals. READ OPTIONS OUT LOUD. SELECT ALL THAT APPLY.</t>
        </is>
      </c>
      <c r="D304" s="8" t="inlineStr"/>
      <c r="E304" s="8" t="inlineStr"/>
      <c r="F304" s="8" t="inlineStr">
        <is>
          <t>G. Service Delivery Process</t>
        </is>
      </c>
      <c r="G304" s="8" t="inlineStr">
        <is>
          <t>alpha 8</t>
        </is>
      </c>
      <c r="H304" s="8" t="inlineStr">
        <is>
          <t>01 = Physical referral slip
02 = E-referral
03 = Referring facility calls receiving facility
99 = Other (specify)</t>
        </is>
      </c>
      <c r="I304" s="8" t="inlineStr"/>
      <c r="J304" s="8" t="inlineStr">
        <is>
          <t>[HARD] Check Box, at least one required (msg 1237)</t>
        </is>
      </c>
    </row>
    <row r="305">
      <c r="A305" s="9" t="inlineStr">
        <is>
          <t>q142_send_referral_how_other_txt</t>
        </is>
      </c>
      <c r="B305" s="10" t="inlineStr">
        <is>
          <t>142. What are the most common ways you send referrals to higher level facilities/specialists? — Other (specify) text</t>
        </is>
      </c>
      <c r="C305" s="10" t="inlineStr">
        <is>
          <t>142. What are the most common ways you send referrals to higher level facilities/specialists? — Other (specify) text</t>
        </is>
      </c>
      <c r="D305" s="10" t="inlineStr"/>
      <c r="E305" s="10" t="inlineStr"/>
      <c r="F305" s="10" t="inlineStr">
        <is>
          <t>G. Service Delivery Process</t>
        </is>
      </c>
      <c r="G305" s="10" t="inlineStr">
        <is>
          <t>alpha 120</t>
        </is>
      </c>
      <c r="H305" s="10" t="inlineStr"/>
      <c r="I305" s="10" t="inlineStr"/>
      <c r="J305" s="10" t="inlineStr"/>
    </row>
    <row r="306">
      <c r="A306" s="7" t="inlineStr">
        <is>
          <t>q143_referral_form_type</t>
        </is>
      </c>
      <c r="B306" s="8" t="inlineStr">
        <is>
          <t>143. What type of referral form do you use to send to higher level facilities?</t>
        </is>
      </c>
      <c r="C306" s="8" t="inlineStr">
        <is>
          <t>143. What type of referral form do you use to send to higher level facilities? READ OPTIONS OUT LOUD. SELECT ALL THAT APPLY.</t>
        </is>
      </c>
      <c r="D306" s="8" t="inlineStr"/>
      <c r="E306" s="8" t="inlineStr"/>
      <c r="F306" s="8" t="inlineStr">
        <is>
          <t>G. Service Delivery Process</t>
        </is>
      </c>
      <c r="G306" s="8" t="inlineStr">
        <is>
          <t>alpha 12</t>
        </is>
      </c>
      <c r="H306" s="8" t="inlineStr">
        <is>
          <t>01 = DOH standard referral form
02 = Facility's standard referral form
03 = Province's standard referral form
04 = City / LGU standard referral form
05 = No standard referral form
99 = Other (specify)</t>
        </is>
      </c>
      <c r="I306" s="8" t="inlineStr"/>
      <c r="J306" s="8" t="inlineStr">
        <is>
          <t>[HARD] Check Box, at least one required (msg 1239); code 05 exclusive (msg 1240)</t>
        </is>
      </c>
    </row>
    <row r="307">
      <c r="A307" s="9" t="inlineStr">
        <is>
          <t>q143_referral_form_type_other_txt</t>
        </is>
      </c>
      <c r="B307" s="10" t="inlineStr">
        <is>
          <t>143. What type of referral form do you use to send to higher level facilities? — Other (specify) text</t>
        </is>
      </c>
      <c r="C307" s="10" t="inlineStr">
        <is>
          <t>143. What type of referral form do you use to send to higher level facilities? — Other (specify) text</t>
        </is>
      </c>
      <c r="D307" s="10" t="inlineStr"/>
      <c r="E307" s="10" t="inlineStr"/>
      <c r="F307" s="10" t="inlineStr">
        <is>
          <t>G. Service Delivery Process</t>
        </is>
      </c>
      <c r="G307" s="10" t="inlineStr">
        <is>
          <t>alpha 120</t>
        </is>
      </c>
      <c r="H307" s="10" t="inlineStr"/>
      <c r="I307" s="10" t="inlineStr"/>
      <c r="J307" s="10" t="inlineStr"/>
    </row>
    <row r="308">
      <c r="A308" s="7" t="inlineStr">
        <is>
          <t>q144_specialist_network</t>
        </is>
      </c>
      <c r="B308" s="8" t="inlineStr">
        <is>
          <t>144. Do you have a network of specialist providers to refer patients to, if needed?</t>
        </is>
      </c>
      <c r="C308" s="8" t="inlineStr">
        <is>
          <t>144. Do you have a network of specialist providers to refer patients to, if needed? READ OPTIONS OUT LOUD. SELECT ONE ANSWER ONLY.</t>
        </is>
      </c>
      <c r="D308" s="8" t="inlineStr"/>
      <c r="E308" s="8" t="inlineStr"/>
      <c r="F308" s="8" t="inlineStr">
        <is>
          <t>G. Service Delivery Process</t>
        </is>
      </c>
      <c r="G308" s="8" t="inlineStr">
        <is>
          <t>numeric 2</t>
        </is>
      </c>
      <c r="H308" s="8" t="inlineStr">
        <is>
          <t>1 = Yes
2 = No
3 = I've never heard of it</t>
        </is>
      </c>
      <c r="I308" s="8" t="inlineStr">
        <is>
          <t>4 = I don't know</t>
        </is>
      </c>
      <c r="J308" s="8" t="inlineStr"/>
    </row>
    <row r="309">
      <c r="A309" s="9" t="inlineStr">
        <is>
          <t>q145_ref_proportion</t>
        </is>
      </c>
      <c r="B309" s="10" t="inlineStr">
        <is>
          <t>145. Considering all patients who come to your facility for the past 6 months, what is the proportion of patients referred by another facility compared to those who self-refer/walk-in?</t>
        </is>
      </c>
      <c r="C309" s="10" t="inlineStr">
        <is>
          <t>145. Considering all patients who come to your facility for the past 6 months, what is the proportion of patients referred by another facility compared to those who self-refer/walk-in? READ OPTIONS OUT LOUD. SELECT ONE ANSWER ONLY.</t>
        </is>
      </c>
      <c r="D309" s="10" t="inlineStr"/>
      <c r="E309" s="10" t="inlineStr"/>
      <c r="F309" s="10" t="inlineStr">
        <is>
          <t>G. Service Delivery Process</t>
        </is>
      </c>
      <c r="G309" s="10" t="inlineStr">
        <is>
          <t>numeric 2</t>
        </is>
      </c>
      <c r="H309" s="10" t="inlineStr">
        <is>
          <t>1 = Almost all patients are referred, very few walk-in/self-referred
2 = Majority of patients are referred, some walk-in/self- referred
3 = The proportion of referrals is about equal to walk-ins
4 = Majority of patients walk-in/self-referred, some are referred
5 = Almost all patients walk-in/self-referred, very few are referred
6 = I am unsure about the typical ratio of referrals to walk-ins</t>
        </is>
      </c>
      <c r="I309" s="10" t="inlineStr"/>
      <c r="J309" s="10" t="inlineStr"/>
    </row>
    <row r="310">
      <c r="A310" s="7" t="inlineStr">
        <is>
          <t>q146_receive_referral_how</t>
        </is>
      </c>
      <c r="B310" s="8" t="inlineStr">
        <is>
          <t>146. Of those referred, which of the following are the most common ways you receive referrals from lower-level health facilities?</t>
        </is>
      </c>
      <c r="C310" s="8" t="inlineStr">
        <is>
          <t>146. Of those referred, which of the following are the most common ways you receive referrals from lower-level health facilities? READ OPTIONS OUT LOUD. SELECT ALL THAT APPLY.</t>
        </is>
      </c>
      <c r="D310" s="8" t="inlineStr"/>
      <c r="E310" s="8" t="inlineStr"/>
      <c r="F310" s="8" t="inlineStr">
        <is>
          <t>G. Service Delivery Process</t>
        </is>
      </c>
      <c r="G310" s="8" t="inlineStr">
        <is>
          <t>alpha 8</t>
        </is>
      </c>
      <c r="H310" s="8" t="inlineStr">
        <is>
          <t>01 = Physical referral slip
02 = E-referral
03 = Referring facility calls receiving facility
99 = Other (specify)</t>
        </is>
      </c>
      <c r="I310" s="8" t="inlineStr"/>
      <c r="J310" s="8" t="inlineStr">
        <is>
          <t>[HARD] Check Box, at least one required (msg 1028)</t>
        </is>
      </c>
    </row>
    <row r="311">
      <c r="A311" s="9" t="inlineStr">
        <is>
          <t>q146_receive_referral_how_other_txt</t>
        </is>
      </c>
      <c r="B311" s="10" t="inlineStr">
        <is>
          <t>146. Of those referred, which of the following are the most common ways you receive referrals from lower-level health facilities? — Other (specify) text</t>
        </is>
      </c>
      <c r="C311" s="10" t="inlineStr">
        <is>
          <t>146. Of those referred, which of the following are the most common ways you receive referrals from lower-level health facilities? — Other (specify) text</t>
        </is>
      </c>
      <c r="D311" s="10" t="inlineStr"/>
      <c r="E311" s="10" t="inlineStr"/>
      <c r="F311" s="10" t="inlineStr">
        <is>
          <t>G. Service Delivery Process</t>
        </is>
      </c>
      <c r="G311" s="10" t="inlineStr">
        <is>
          <t>alpha 120</t>
        </is>
      </c>
      <c r="H311" s="10" t="inlineStr"/>
      <c r="I311" s="10" t="inlineStr"/>
      <c r="J311" s="10" t="inlineStr"/>
    </row>
    <row r="312">
      <c r="A312" s="7" t="inlineStr">
        <is>
          <t>q147_external_services_go</t>
        </is>
      </c>
      <c r="B312" s="8" t="inlineStr">
        <is>
          <t>147. Where do your patients go to get the services not available at this facility?</t>
        </is>
      </c>
      <c r="C312" s="8" t="inlineStr">
        <is>
          <t>147. Where do your patients go to get the services not available at this facility?</t>
        </is>
      </c>
      <c r="D312" s="8" t="inlineStr"/>
      <c r="E312" s="8" t="inlineStr"/>
      <c r="F312" s="8" t="inlineStr">
        <is>
          <t>G. Service Delivery Process</t>
        </is>
      </c>
      <c r="G312" s="8" t="inlineStr">
        <is>
          <t>alpha 10</t>
        </is>
      </c>
      <c r="H312" s="8" t="inlineStr">
        <is>
          <t>01 = External laboratory
02 = Other private facility
03 = Other public facility (e.g., urban/rural health centers, barangay health centers, city/municipal health offices)
99 = Other, (specify)</t>
        </is>
      </c>
      <c r="I312" s="8" t="inlineStr">
        <is>
          <t>90 = I don't know</t>
        </is>
      </c>
      <c r="J312" s="8" t="inlineStr">
        <is>
          <t>[HARD] Check Box, at least one required (msg 1030); code 90 exclusive (msg 1242)</t>
        </is>
      </c>
    </row>
    <row r="313">
      <c r="A313" s="9" t="inlineStr">
        <is>
          <t>q148_ref_satisfaction</t>
        </is>
      </c>
      <c r="B313" s="10" t="inlineStr">
        <is>
          <t>148. How would you rate your satisfaction with your current referral system?</t>
        </is>
      </c>
      <c r="C313" s="10" t="inlineStr">
        <is>
          <t>148. How would you rate your satisfaction with your current referral system? READ OPTIONS OUT LOUD. SELECT ONE ANSWER ONLY.</t>
        </is>
      </c>
      <c r="D313" s="10" t="inlineStr"/>
      <c r="E313" s="10" t="inlineStr">
        <is>
          <t>in 1, 2 (Very Satisfied / Satisfied) → Q150 (skip Q149)</t>
        </is>
      </c>
      <c r="F313" s="10" t="inlineStr">
        <is>
          <t>G. Service Delivery Process</t>
        </is>
      </c>
      <c r="G313" s="10" t="inlineStr">
        <is>
          <t>numeric 2</t>
        </is>
      </c>
      <c r="H313" s="10" t="inlineStr">
        <is>
          <t>1 = Very Satisfied: No improvements needed, 'patients are always referred appropriately'
2 = Satisfied: Minor improvements needed, patients are generally referred appropriately
3 = Neither Satisfied nor Dissatisfied: Improvements needed, but generally functional
4 = Dissatisfied: Moderate improvements needed, a number of patients are referred to the wrong specialists or do not receive appropriate follow-up care
5 = Very Dissatisfied: Major improvements needed, many patients are referred to the wrong specialists or do not receive appropriate follow-up care</t>
        </is>
      </c>
      <c r="I313" s="10" t="inlineStr"/>
      <c r="J313" s="10" t="inlineStr"/>
    </row>
    <row r="314">
      <c r="A314" s="7" t="inlineStr">
        <is>
          <t>q149_not_satisfied_why</t>
        </is>
      </c>
      <c r="B314" s="8" t="inlineStr">
        <is>
          <t>149. Why are you not satisfied with the current referral system?</t>
        </is>
      </c>
      <c r="C314" s="8" t="inlineStr">
        <is>
          <t>149. Why are you not satisfied with the current referral system? DO NOT READ OPTIONS OUT LOUD. SELECT ALL THAT APPLY.</t>
        </is>
      </c>
      <c r="D314" s="8" t="inlineStr">
        <is>
          <t>not asked when Q148 REF_SATISFACTION in 1, 2 (Very Satisfied / Satisfied)</t>
        </is>
      </c>
      <c r="E314" s="8" t="inlineStr"/>
      <c r="F314" s="8" t="inlineStr">
        <is>
          <t>G. Service Delivery Process</t>
        </is>
      </c>
      <c r="G314" s="8" t="inlineStr">
        <is>
          <t>alpha 8</t>
        </is>
      </c>
      <c r="H314" s="8" t="inlineStr">
        <is>
          <t>01 = Facilities are overcrowded/overcapacity and do not accept our patient referrals
02 = The referral process is slow
03 = There is poor coordination between our facility and referred facilities
99 = Other (specify)</t>
        </is>
      </c>
      <c r="I314" s="8" t="inlineStr"/>
      <c r="J314" s="8" t="inlineStr">
        <is>
          <t>[HARD / GATE] `Q148_REF_SATISFACTION` not in Very Satisfied / Satisfied; required when reached (msg 1032)</t>
        </is>
      </c>
    </row>
    <row r="315">
      <c r="A315" s="9" t="inlineStr">
        <is>
          <t>q149_not_satisfied_why_other_txt</t>
        </is>
      </c>
      <c r="B315" s="10" t="inlineStr">
        <is>
          <t>149. Why are you not satisfied with the current referral system? — Other (specify) text</t>
        </is>
      </c>
      <c r="C315" s="10" t="inlineStr">
        <is>
          <t>149. Why are you not satisfied with the current referral system? — Other (specify) text</t>
        </is>
      </c>
      <c r="D315" s="10" t="inlineStr">
        <is>
          <t>not asked when Q148 REF_SATISFACTION in 1, 2 (Very Satisfied / Satisfied)</t>
        </is>
      </c>
      <c r="E315" s="10" t="inlineStr"/>
      <c r="F315" s="10" t="inlineStr">
        <is>
          <t>G. Service Delivery Process</t>
        </is>
      </c>
      <c r="G315" s="10" t="inlineStr">
        <is>
          <t>alpha 120</t>
        </is>
      </c>
      <c r="H315" s="10" t="inlineStr"/>
      <c r="I315" s="10" t="inlineStr"/>
      <c r="J315" s="10" t="inlineStr"/>
    </row>
    <row r="316">
      <c r="A316" s="7" t="inlineStr">
        <is>
          <t>q150_hr_chall</t>
        </is>
      </c>
      <c r="B316" s="8" t="inlineStr">
        <is>
          <t>150. What challenges in human resources do you have?</t>
        </is>
      </c>
      <c r="C316" s="8" t="inlineStr">
        <is>
          <t>We will now proceed to the last section of this survey, which focuses on human resources. 150. What challenges in human resources do you have? READ OPTIONS OUT LOUD. SELECT ALL THAT APPLY.</t>
        </is>
      </c>
      <c r="D316" s="8" t="inlineStr"/>
      <c r="E316" s="8" t="inlineStr"/>
      <c r="F316" s="8" t="inlineStr">
        <is>
          <t>H. Human Resources for Health</t>
        </is>
      </c>
      <c r="G316" s="8" t="inlineStr">
        <is>
          <t>alpha 10</t>
        </is>
      </c>
      <c r="H316" s="8" t="inlineStr">
        <is>
          <t>01 = Understaffing
02 = Skills mismatch / lack of skills
03 = Retention / high staff turnover
04 = Multi-tasking
99 = Other (specify)</t>
        </is>
      </c>
      <c r="I316" s="8" t="inlineStr"/>
      <c r="J316" s="8" t="inlineStr">
        <is>
          <t>[HARD] Check Box, at least one required (msg 1243). The Aug-17 printed list has 5 options and no "I don't know" — ASPSI's #1126 request for one did not survive their own rewrite (clarification item 1)</t>
        </is>
      </c>
    </row>
    <row r="317">
      <c r="A317" s="9" t="inlineStr">
        <is>
          <t>q150_hr_chall_other_txt</t>
        </is>
      </c>
      <c r="B317" s="10" t="inlineStr">
        <is>
          <t>150. What challenges in human resources do you have? — Other (specify) text</t>
        </is>
      </c>
      <c r="C317" s="10" t="inlineStr">
        <is>
          <t>150. What challenges in human resources do you have? — Other (specify) text</t>
        </is>
      </c>
      <c r="D317" s="10" t="inlineStr"/>
      <c r="E317" s="10" t="inlineStr"/>
      <c r="F317" s="10" t="inlineStr">
        <is>
          <t>H. Human Resources for Health</t>
        </is>
      </c>
      <c r="G317" s="10" t="inlineStr">
        <is>
          <t>alpha 120</t>
        </is>
      </c>
      <c r="H317" s="10" t="inlineStr"/>
      <c r="I317" s="10" t="inlineStr"/>
      <c r="J317" s="10" t="inlineStr"/>
    </row>
    <row r="318">
      <c r="A318" s="7" t="inlineStr">
        <is>
          <t>q151_improvement_area</t>
        </is>
      </c>
      <c r="B318" s="8" t="inlineStr">
        <is>
          <t>151. What area do you find the most room for improvement in your staff?</t>
        </is>
      </c>
      <c r="C318" s="8" t="inlineStr">
        <is>
          <t>151. What area do you find the most room for improvement in your staff?</t>
        </is>
      </c>
      <c r="D318" s="8" t="inlineStr"/>
      <c r="E318" s="8" t="inlineStr"/>
      <c r="F318" s="8" t="inlineStr">
        <is>
          <t>H. Human Resources for Health</t>
        </is>
      </c>
      <c r="G318" s="8" t="inlineStr">
        <is>
          <t>alpha 240</t>
        </is>
      </c>
      <c r="H318" s="8" t="inlineStr"/>
      <c r="I318" s="8" t="inlineStr"/>
      <c r="J318" s="8" t="inlineStr"/>
    </row>
    <row r="319">
      <c r="A319" s="9" t="inlineStr">
        <is>
          <t>q152_pd_doctors</t>
        </is>
      </c>
      <c r="B319" s="10" t="inlineStr">
        <is>
          <t>152. What forms of professional development do you provide to your doctors?</t>
        </is>
      </c>
      <c r="C319" s="10" t="inlineStr">
        <is>
          <t>152. What forms of professional development do you provide to your doctors ? READ OPTIONS OUT LOUD. SELECT ALL THAT APPLY.</t>
        </is>
      </c>
      <c r="D319" s="10" t="inlineStr"/>
      <c r="E319" s="10" t="inlineStr"/>
      <c r="F319" s="10" t="inlineStr">
        <is>
          <t>H. Human Resources for Health</t>
        </is>
      </c>
      <c r="G319" s="10" t="inlineStr">
        <is>
          <t>alpha 18</t>
        </is>
      </c>
      <c r="H319" s="10" t="inlineStr">
        <is>
          <t>01 = Clinical audits
02 = Surgical audits
03 = Quality assurance meetings
04 = Seminars, conferences, workshops
05 = Support for independent professional development: scholarships
06 = Support for independent professional development: research grants
07 = LGU/DOH led workshops/initiatives
08 = No forms of professional development are provided to our doctors
99 = Other (specify)</t>
        </is>
      </c>
      <c r="I319" s="10" t="inlineStr"/>
      <c r="J319" s="10" t="inlineStr">
        <is>
          <t>[HARD] Check Box, at least one required (msg 1245); code 08 exclusive (msg 1246)</t>
        </is>
      </c>
    </row>
    <row r="320">
      <c r="A320" s="7" t="inlineStr">
        <is>
          <t>q152_pd_doctors_other_txt</t>
        </is>
      </c>
      <c r="B320" s="8" t="inlineStr">
        <is>
          <t>152. What forms of professional development do you provide to your doctors? — Other (specify) text</t>
        </is>
      </c>
      <c r="C320" s="8" t="inlineStr">
        <is>
          <t>152. What forms of professional development do you provide to your doctors? — Other (specify) text</t>
        </is>
      </c>
      <c r="D320" s="8" t="inlineStr"/>
      <c r="E320" s="8" t="inlineStr"/>
      <c r="F320" s="8" t="inlineStr">
        <is>
          <t>H. Human Resources for Health</t>
        </is>
      </c>
      <c r="G320" s="8" t="inlineStr">
        <is>
          <t>alpha 120</t>
        </is>
      </c>
      <c r="H320" s="8" t="inlineStr"/>
      <c r="I320" s="8" t="inlineStr"/>
      <c r="J320" s="8" t="inlineStr"/>
    </row>
    <row r="321">
      <c r="A321" s="9" t="inlineStr">
        <is>
          <t>q153_pd_nurses</t>
        </is>
      </c>
      <c r="B321" s="10" t="inlineStr">
        <is>
          <t>153. What forms of professional development do you provide to your nurses?</t>
        </is>
      </c>
      <c r="C321" s="10" t="inlineStr">
        <is>
          <t>153. What forms of professional development do you provide to your nurses ? READ OPTIONS OUT LOUD. SELECT ALL THAT APPLY.</t>
        </is>
      </c>
      <c r="D321" s="10" t="inlineStr"/>
      <c r="E321" s="10" t="inlineStr"/>
      <c r="F321" s="10" t="inlineStr">
        <is>
          <t>H. Human Resources for Health</t>
        </is>
      </c>
      <c r="G321" s="10" t="inlineStr">
        <is>
          <t>alpha 14</t>
        </is>
      </c>
      <c r="H321" s="10" t="inlineStr">
        <is>
          <t>01 = Quality assurance meetings
02 = Seminars, conferences, workshops
03 = Support for independent professional development: scholarships
04 = Support for independent professional development: research grants
05 = LGU/DOH led workshops/initiatives
06 = No forms of professional development are provided to our nurses
99 = Other (specify)</t>
        </is>
      </c>
      <c r="I321" s="10" t="inlineStr"/>
      <c r="J321" s="10" t="inlineStr">
        <is>
          <t>[HARD] Check Box, at least one required (msg 1248); code 06 exclusive (msg 1249). Ships without "Clinical audits" / "Surgical audits" per §1 Bug #1</t>
        </is>
      </c>
    </row>
    <row r="322">
      <c r="A322" s="7" t="inlineStr">
        <is>
          <t>q153_pd_nurses_other_txt</t>
        </is>
      </c>
      <c r="B322" s="8" t="inlineStr">
        <is>
          <t>153. What forms of professional development do you provide to your nurses? — Other (specify) text</t>
        </is>
      </c>
      <c r="C322" s="8" t="inlineStr">
        <is>
          <t>153. What forms of professional development do you provide to your nurses? — Other (specify) text</t>
        </is>
      </c>
      <c r="D322" s="8" t="inlineStr"/>
      <c r="E322" s="8" t="inlineStr"/>
      <c r="F322" s="8" t="inlineStr">
        <is>
          <t>H. Human Resources for Health</t>
        </is>
      </c>
      <c r="G322" s="8" t="inlineStr">
        <is>
          <t>alpha 120</t>
        </is>
      </c>
      <c r="H322" s="8" t="inlineStr"/>
      <c r="I322" s="8" t="inlineStr"/>
      <c r="J322"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6"/>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DATE_FIRST_VISITED_THE_FACILITY</t>
        </is>
      </c>
      <c r="B2" s="10" t="inlineStr">
        <is>
          <t>Valid date (YYYYMMDD); `20260101 ≤ d ≤ today + 1`</t>
        </is>
      </c>
      <c r="C2" s="10" t="inlineStr">
        <is>
          <t>HARD</t>
        </is>
      </c>
    </row>
    <row r="3">
      <c r="A3" s="9" t="inlineStr">
        <is>
          <t>DATE_OF_FINAL_VISIT_TO_THE_FACILITY</t>
        </is>
      </c>
      <c r="B3" s="10" t="inlineStr">
        <is>
          <t>Valid date; `≥ DATE_FIRST_VISITED_THE_FACILITY`; `≤ today + 1`</t>
        </is>
      </c>
      <c r="C3" s="10" t="inlineStr">
        <is>
          <t>HARD</t>
        </is>
      </c>
    </row>
    <row r="4">
      <c r="A4" s="9" t="inlineStr">
        <is>
          <t>TOTAL_NUMBER_OF_VISITS</t>
        </is>
      </c>
      <c r="B4" s="10" t="inlineStr">
        <is>
          <t>`≥ 1` when `ENUM_RESULT_FIRST_VISIT` or `ENUM_RESULT_FINAL_VISIT = Completed`</t>
        </is>
      </c>
      <c r="C4" s="10" t="inlineStr">
        <is>
          <t>HARD</t>
        </is>
      </c>
    </row>
    <row r="5">
      <c r="A5" s="9" t="inlineStr">
        <is>
          <t>BREAKOFF</t>
        </is>
      </c>
      <c r="B5" s="10" t="inlineStr">
        <is>
          <t>Required; defaults to `1 — Continue interview`. If ≠ Continue → terminate; sets `ENUM_RESULT_FINAL_VISIT` (2 Withdrew → 3 Refused; 3 Postponed → 2 Postponed; 4 Stop-other → 4 Incomplete; 5–7 never-started → 5 Replaced). Enumerator picklists on the Result-of-Visit fields show the paper's four codes only; `5 Replaced` is logic-assigned and swaps in via setvalueset() only on the replacement path (#1290/#1301 class extension, 2026-08-20). Sets `CASE_DISPOSITION = 2`</t>
        </is>
      </c>
      <c r="C5" s="10" t="inlineStr">
        <is>
          <t>HARD</t>
        </is>
      </c>
    </row>
    <row r="6">
      <c r="A6" s="9" t="inlineStr">
        <is>
          <t>CASE_DISPOSITION</t>
        </is>
      </c>
      <c r="B6" s="10" t="inlineStr">
        <is>
          <t>Auto-written by logic, never typed: 0 In progress / 1 Completed / 2 Partial / not completed</t>
        </is>
      </c>
      <c r="C6" s="10" t="inlineStr">
        <is>
          <t>—</t>
        </is>
      </c>
    </row>
    <row r="7">
      <c r="A7" s="9" t="inlineStr">
        <is>
          <t>CLASSIFICATION, REGION, PROVINCE_HUC, CITY_MUNICIPALITY, BARANGAY</t>
        </is>
      </c>
      <c r="B7" s="10" t="inlineStr">
        <is>
          <t>Required, non-blank; must exist in the loaded PSGC external lookup dictionaries (`shared/psgc_*.dcf`)</t>
        </is>
      </c>
      <c r="C7" s="10" t="inlineStr">
        <is>
          <t>HARD</t>
        </is>
      </c>
    </row>
    <row r="8">
      <c r="A8" s="9" t="inlineStr">
        <is>
          <t>Child PSGC parent consistency</t>
        </is>
      </c>
      <c r="B8" s="10" t="inlineStr">
        <is>
          <t>Enforced at pick-time by `PSGC-Cascade.apc` — `onfocus` on each child filters its value set to children of the chosen parent, so an inconsistent pair is unrepresentable</t>
        </is>
      </c>
      <c r="C8" s="10" t="inlineStr">
        <is>
          <t>HARD — cascade enforces</t>
        </is>
      </c>
    </row>
    <row r="9">
      <c r="A9" s="9" t="inlineStr">
        <is>
          <t>ENUM_RESULT_FIRST_VISIT = Completed / ENUM_RESULT_FINAL_VISIT = Completed</t>
        </is>
      </c>
      <c r="B9" s="10" t="inlineStr">
        <is>
          <t>All Section A–H mandatory items must be non-blank</t>
        </is>
      </c>
      <c r="C9" s="10" t="inlineStr">
        <is>
          <t>HARD</t>
        </is>
      </c>
    </row>
    <row r="10">
      <c r="A10" s="9" t="inlineStr">
        <is>
          <t>FACILITY_GPS_LATITUDE</t>
        </is>
      </c>
      <c r="B10" s="10" t="inlineStr">
        <is>
          <t>Alpha; the capture trigger hangs off its `onfocus`. Protected read-only once `FACILITY_GPS_READTIME` is non-blank, so coordinates can never be typed</t>
        </is>
      </c>
      <c r="C10" s="10" t="inlineStr">
        <is>
          <t>HARD — protect enforces</t>
        </is>
      </c>
    </row>
    <row r="11">
      <c r="A11" s="9" t="inlineStr">
        <is>
          <t>FACILITY_GPS_LONGITUDE</t>
        </is>
      </c>
      <c r="B11" s="10" t="inlineStr">
        <is>
          <t>Alpha; written by the same capture, protected alongside it</t>
        </is>
      </c>
      <c r="C11" s="10" t="inlineStr">
        <is>
          <t>HARD — protect enforces</t>
        </is>
      </c>
    </row>
    <row r="12">
      <c r="A12" s="9" t="inlineStr">
        <is>
          <t>FACILITY_GPS_ALTITUDE</t>
        </is>
      </c>
      <c r="B12" s="10" t="inlineStr">
        <is>
          <t>Alpha, from `gps(altitude)`; no bounds enforced</t>
        </is>
      </c>
      <c r="C12" s="10" t="inlineStr">
        <is>
          <t>—</t>
        </is>
      </c>
    </row>
    <row r="13">
      <c r="A13" s="9" t="inlineStr">
        <is>
          <t>FACILITY_GPS_ACCURACY</t>
        </is>
      </c>
      <c r="B13" s="10" t="inlineStr">
        <is>
          <t>Numeric metres. `ReadGPSReading` warns (msg 1004) when the fix is worse than the 20 m target, but still returns success — the enumerator decides whether to retry</t>
        </is>
      </c>
      <c r="C13" s="10" t="inlineStr">
        <is>
          <t>SOFT</t>
        </is>
      </c>
    </row>
    <row r="14">
      <c r="A14" s="9" t="inlineStr">
        <is>
          <t>FACILITY_GPS_SATELLITES</t>
        </is>
      </c>
      <c r="B14" s="10" t="inlineStr">
        <is>
          <t>Numeric, from `gps(satellites)`</t>
        </is>
      </c>
      <c r="C14" s="10" t="inlineStr">
        <is>
          <t>—</t>
        </is>
      </c>
    </row>
    <row r="15">
      <c r="A15" s="9" t="inlineStr">
        <is>
          <t>FACILITY_GPS_READTIME</t>
        </is>
      </c>
      <c r="B15" s="10" t="inlineStr">
        <is>
          <t>Numeric timestamp; doubles as the capture-once sentinel and the protect trigger</t>
        </is>
      </c>
      <c r="C15" s="10" t="inlineStr">
        <is>
          <t>—</t>
        </is>
      </c>
    </row>
    <row r="16">
      <c r="A16" s="9" t="inlineStr">
        <is>
          <t>Failed read</t>
        </is>
      </c>
      <c r="B16" s="10" t="inlineStr">
        <is>
          <t>msg 1227 names the budget that elapsed; the radio flag is cleared but the radio is not closed, so a retry resumes the acquisition instead of cold-starting it</t>
        </is>
      </c>
      <c r="C16" s="10" t="inlineStr">
        <is>
          <t>SOFT</t>
        </is>
      </c>
    </row>
    <row r="17">
      <c r="A17" s="9" t="inlineStr">
        <is>
          <t>CAPTURE_VERIFICATION_PHOTO</t>
        </is>
      </c>
      <c r="B17" s="10" t="inlineStr">
        <is>
          <t>Gated at preproc on `ENUM_RESULT_FINAL_VISIT` in {1 Completed, 4 Incomplete} — a Postponed or Refused visit is not photographed, and any stale filename is cleared. Trigger auto-resets to `notappl` after each attempt</t>
        </is>
      </c>
      <c r="C17" s="10" t="inlineStr">
        <is>
          <t>GATE</t>
        </is>
      </c>
    </row>
    <row r="18">
      <c r="A18" s="9" t="inlineStr">
        <is>
          <t>VERIFICATION_PHOTO_FILENAME</t>
        </is>
      </c>
      <c r="B18" s="10" t="inlineStr">
        <is>
          <t>`noinput` — display-only, filled by the camera trigger, never typed. Camera failure warns (msg 1007) rather than trapping the enumerator</t>
        </is>
      </c>
      <c r="C18" s="10" t="inlineStr">
        <is>
          <t>SOFT</t>
        </is>
      </c>
    </row>
    <row r="19">
      <c r="A19" s="9" t="inlineStr">
        <is>
          <t>Filename pattern</t>
        </is>
      </c>
      <c r="B19" s="10" t="inlineStr">
        <is>
          <t>`case-{RRPPMMMFFCCC}-verification.jpg`, built from `REGION_CODE`, `PROVINCE_HUC_CODE`, `CITY_MUNICIPALITY_CODE`, `FACILITY_NO`, `CASE_SEQ`</t>
        </is>
      </c>
      <c r="C19" s="10" t="inlineStr">
        <is>
          <t>HARD — assigned by the PROC</t>
        </is>
      </c>
    </row>
    <row r="20">
      <c r="A20" s="9" t="inlineStr">
        <is>
          <t>VERIFICATION_PHOTO_IMAGE</t>
        </is>
      </c>
      <c r="B20" s="10" t="inlineStr">
        <is>
          <t>The binary Image item. Photos sync to CSWeb only as binary Image dictionary items, off-form — the filename alone does not carry the picture</t>
        </is>
      </c>
      <c r="C20" s="10" t="inlineStr">
        <is>
          <t>—</t>
        </is>
      </c>
    </row>
    <row r="21">
      <c r="A21" s="9" t="inlineStr">
        <is>
          <t>Q3_AGE</t>
        </is>
      </c>
      <c r="B21" s="10" t="inlineStr">
        <is>
          <t>`≥ 18`; msg 1056 blocks below the floor</t>
        </is>
      </c>
      <c r="C21" s="10" t="inlineStr">
        <is>
          <t>HARD</t>
        </is>
      </c>
    </row>
    <row r="22">
      <c r="A22" s="9" t="inlineStr">
        <is>
          <t>Q3_AGE</t>
        </is>
      </c>
      <c r="B22" s="10" t="inlineStr">
        <is>
          <t>`&gt; 80` warns ("unusually old for an active facility head") without blocking</t>
        </is>
      </c>
      <c r="C22" s="10" t="inlineStr">
        <is>
          <t>SOFT</t>
        </is>
      </c>
    </row>
    <row r="23">
      <c r="A23" s="9" t="inlineStr">
        <is>
          <t>Tenure ≥ 6 months</t>
        </is>
      </c>
      <c r="B23" s="10" t="inlineStr">
        <is>
          <t>`Q5_YEARS_AT_FACILITY * 12 + Q5_MONTHS_AT_FACILITY ≥ 6` (IR eligibility). Below it: msg 1075, `ENUM_RESULT_FINAL_VISIT = 4`, `endlevel` — the interview ends at Q5</t>
        </is>
      </c>
      <c r="C23" s="10" t="inlineStr">
        <is>
          <t>HARD — terminates the case</t>
        </is>
      </c>
    </row>
    <row r="24">
      <c r="A24" s="9" t="inlineStr">
        <is>
          <t>Q5_YEARS_AT_FACILITY</t>
        </is>
      </c>
      <c r="B24" s="10" t="inlineStr">
        <is>
          <t>`≤ Q3_AGE − 20` — cannot have run a facility before age 20 (msg 1076)</t>
        </is>
      </c>
      <c r="C24" s="10" t="inlineStr">
        <is>
          <t>HARD</t>
        </is>
      </c>
    </row>
    <row r="25">
      <c r="A25" s="9" t="inlineStr">
        <is>
          <t>Q6_YEARS_HEALTH</t>
        </is>
      </c>
      <c r="B25" s="10" t="inlineStr">
        <is>
          <t>`≤ Q3_AGE − 20` (msg 1082)</t>
        </is>
      </c>
      <c r="C25" s="10" t="inlineStr">
        <is>
          <t>HARD</t>
        </is>
      </c>
    </row>
    <row r="26">
      <c r="A26" s="9" t="inlineStr">
        <is>
          <t>Tenure consistency</t>
        </is>
      </c>
      <c r="B26" s="10" t="inlineStr">
        <is>
          <t>`Q5_total ≤ Q6_total` — years at this facility cannot exceed total years in any health-related role (msg 1081)</t>
        </is>
      </c>
      <c r="C26" s="10" t="inlineStr">
        <is>
          <t>HARD</t>
        </is>
      </c>
    </row>
    <row r="27">
      <c r="A27" s="9" t="inlineStr">
        <is>
          <t>Q4_SEX</t>
        </is>
      </c>
      <c r="B27" s="10" t="inlineStr">
        <is>
          <t>Required, in {1, 2}</t>
        </is>
      </c>
      <c r="C27" s="10" t="inlineStr">
        <is>
          <t>HARD</t>
        </is>
      </c>
    </row>
    <row r="28">
      <c r="A28" s="9" t="inlineStr">
        <is>
          <t>Q2_FACILITY_ROLE</t>
        </is>
      </c>
      <c r="B28" s="10" t="inlineStr">
        <is>
          <t>Required; 11 options, no "Other" (drift F1-QC-02 — this spec's older revisions named a `Q2_DESIGNATION` + `_OTHER_TXT` pair that does not exist)</t>
        </is>
      </c>
      <c r="C28" s="10" t="inlineStr">
        <is>
          <t>HARD</t>
        </is>
      </c>
    </row>
    <row r="29">
      <c r="A29" s="9" t="inlineStr">
        <is>
          <t>Q7_OWNERSHIP</t>
        </is>
      </c>
      <c r="B29" s="10" t="inlineStr">
        <is>
          <t>Required; with Q8 it drives the Q139/Q140 PHO gate</t>
        </is>
      </c>
      <c r="C29" s="10" t="inlineStr">
        <is>
          <t>HARD</t>
        </is>
      </c>
    </row>
    <row r="30">
      <c r="A30" s="9" t="inlineStr">
        <is>
          <t>Q8_SERVICE_LEVEL</t>
        </is>
      </c>
      <c r="B30" s="10" t="inlineStr">
        <is>
          <t>Required; drives the Q108 value-set swap and the Q117/Q120/Q121 facility-type topics</t>
        </is>
      </c>
      <c r="C30" s="10" t="inlineStr">
        <is>
          <t>HARD</t>
        </is>
      </c>
    </row>
    <row r="31">
      <c r="A31" s="9" t="inlineStr">
        <is>
          <t>Q10_1_UHC_ATTRIB and every other Q&lt;NN&gt;_1_UHC_ATTRIB probe</t>
        </is>
      </c>
      <c r="B31" s="10" t="inlineStr">
        <is>
          <t>Reached only when its base is answered Yes; each probe sits on its own screen</t>
        </is>
      </c>
      <c r="C31" s="10" t="inlineStr">
        <is>
          <t>GATE</t>
        </is>
      </c>
    </row>
    <row r="32">
      <c r="A32" s="9" t="inlineStr">
        <is>
          <t>Every .2 detail item (Q12.2, Q13.2, Q14.2, Q15.2, Q16.2, Q17.2, Q18.2, Q19.2, Q35.2)</t>
        </is>
      </c>
      <c r="B32" s="10" t="inlineStr">
        <is>
          <t>Reached only on its base's Yes path, immediately after the probe</t>
        </is>
      </c>
      <c r="C32" s="10" t="inlineStr">
        <is>
          <t>GATE</t>
        </is>
      </c>
    </row>
    <row r="33">
      <c r="A33" s="9" t="inlineStr">
        <is>
          <t>Q21_DATA_SUBMIT, Q22_DATA_FREQ, Q23_DATA_REPORTS_USED</t>
        </is>
      </c>
      <c r="B33" s="10" t="inlineStr">
        <is>
          <t>The DOH-IS fan; reached only when `Q20_EMR_USE = Yes`</t>
        </is>
      </c>
      <c r="C33" s="10" t="inlineStr">
        <is>
          <t>GATE</t>
        </is>
      </c>
    </row>
    <row r="34">
      <c r="A34" s="9" t="inlineStr">
        <is>
          <t>Q23_DATA_REPORTS_USED</t>
        </is>
      </c>
      <c r="B34" s="10" t="inlineStr">
        <is>
          <t>Check Box, at least one option required (msg 1251)</t>
        </is>
      </c>
      <c r="C34" s="10" t="inlineStr">
        <is>
          <t>HARD</t>
        </is>
      </c>
    </row>
    <row r="35">
      <c r="A35" s="9" t="inlineStr">
        <is>
          <t>Q35_2_PCQM_MEASURES</t>
        </is>
      </c>
      <c r="B35" s="10" t="inlineStr">
        <is>
          <t>Check Box, at least one option required (msg 1253)</t>
        </is>
      </c>
      <c r="C35" s="10" t="inlineStr">
        <is>
          <t>HARD</t>
        </is>
      </c>
    </row>
    <row r="36">
      <c r="A36" s="9" t="inlineStr">
        <is>
          <t>Q36_QUALITY_CHALL</t>
        </is>
      </c>
      <c r="B36" s="10" t="inlineStr">
        <is>
          <t>Check Box, at least one required (msg 1255); code 09 is exclusive and cannot be combined (msg 1256)</t>
        </is>
      </c>
      <c r="C36" s="10" t="inlineStr">
        <is>
          <t>HARD</t>
        </is>
      </c>
    </row>
    <row r="37">
      <c r="A37" s="9" t="inlineStr">
        <is>
          <t>All Q*_OTHER_TXT</t>
        </is>
      </c>
      <c r="B37" s="10" t="inlineStr">
        <is>
          <t>Required, non-blank, when the parent's "Other" code is ticked; cleared and `noinput` otherwise</t>
        </is>
      </c>
      <c r="C37" s="10" t="inlineStr">
        <is>
          <t>HARD</t>
        </is>
      </c>
    </row>
    <row r="38">
      <c r="A38" s="9" t="inlineStr">
        <is>
          <t>Q39–Q65 entered</t>
        </is>
      </c>
      <c r="B38" s="10" t="inlineStr">
        <is>
          <t>`Q38_YK_ACCRED = Yes`</t>
        </is>
      </c>
      <c r="C38" s="10" t="inlineStr">
        <is>
          <t>GATE</t>
        </is>
      </c>
    </row>
    <row r="39">
      <c r="A39" s="9" t="inlineStr">
        <is>
          <t>Q66–Q71 entered</t>
        </is>
      </c>
      <c r="B39" s="10" t="inlineStr">
        <is>
          <t>`Q38_YK_ACCRED = No`</t>
        </is>
      </c>
      <c r="C39" s="10" t="inlineStr">
        <is>
          <t>GATE</t>
        </is>
      </c>
    </row>
    <row r="40">
      <c r="A40" s="9" t="inlineStr">
        <is>
          <t>Q72–Q78 entered</t>
        </is>
      </c>
      <c r="B40" s="10" t="inlineStr">
        <is>
          <t>`Q38_YK_ACCRED = Yes` (the accredited costing block)</t>
        </is>
      </c>
      <c r="C40" s="10" t="inlineStr">
        <is>
          <t>GATE</t>
        </is>
      </c>
    </row>
    <row r="41">
      <c r="A41" s="9" t="inlineStr">
        <is>
          <t>Q79_MIN_CAP_VALUE_NONACC entered</t>
        </is>
      </c>
      <c r="B41" s="10" t="inlineStr">
        <is>
          <t>`Q38_YK_ACCRED = No` only</t>
        </is>
      </c>
      <c r="C41" s="10" t="inlineStr">
        <is>
          <t>GATE</t>
        </is>
      </c>
    </row>
    <row r="42">
      <c r="A42" s="9" t="inlineStr">
        <is>
          <t>Q39_YK_SINCE_YEAR</t>
        </is>
      </c>
      <c r="B42" s="10" t="inlineStr">
        <is>
          <t>`2019 ≤ year ≤ current_year` — the UHC Act passed in 2019 (msg 1066)</t>
        </is>
      </c>
      <c r="C42" s="10" t="inlineStr">
        <is>
          <t>HARD</t>
        </is>
      </c>
    </row>
    <row r="43">
      <c r="A43" s="9" t="inlineStr">
        <is>
          <t>Q39_YK_SINCE_MONTH</t>
        </is>
      </c>
      <c r="B43" s="10" t="inlineStr">
        <is>
          <t>`1 ≤ m ≤ 12` (msg 1064); and not in the future when the year is the current year (msg 1065)</t>
        </is>
      </c>
      <c r="C43" s="10" t="inlineStr">
        <is>
          <t>HARD</t>
        </is>
      </c>
    </row>
    <row r="44">
      <c r="A44" s="9" t="inlineStr">
        <is>
          <t>Q40_YK_PACKAGE</t>
        </is>
      </c>
      <c r="B44" s="10" t="inlineStr">
        <is>
          <t>Check Box, at least one required (msg 1261); code 09 "I don't know" exclusive (msg 1262); code 08 "All of the above" exclusive (msg 1263, #526)</t>
        </is>
      </c>
      <c r="C44" s="10" t="inlineStr">
        <is>
          <t>HARD</t>
        </is>
      </c>
    </row>
    <row r="45">
      <c r="A45" s="9" t="inlineStr">
        <is>
          <t>Q44_CAPITATION_AMT</t>
        </is>
      </c>
      <c r="B45" s="10" t="inlineStr">
        <is>
          <t>`≤ 5000` PHP blocks (msg 1071)</t>
        </is>
      </c>
      <c r="C45" s="10" t="inlineStr">
        <is>
          <t>HARD</t>
        </is>
      </c>
    </row>
    <row r="46">
      <c r="A46" s="9" t="inlineStr">
        <is>
          <t>Q44_CAPITATION_AMT</t>
        </is>
      </c>
      <c r="B46" s="10" t="inlineStr">
        <is>
          <t>`&gt; 1700` PHP prompts "exceeds the PHP 1,700 PhilHealth max — confirm?" and re-enters on No</t>
        </is>
      </c>
      <c r="C46" s="10" t="inlineStr">
        <is>
          <t>SOFT</t>
        </is>
      </c>
    </row>
    <row r="47">
      <c r="A47" s="9" t="inlineStr">
        <is>
          <t>Q45_PERF_INDICATORS</t>
        </is>
      </c>
      <c r="B47" s="10" t="inlineStr">
        <is>
          <t>Check Box, at least one required (msg 1265); code 07 exclusive (msg 1266); code 05 "No requirements" also exclusive (msg 1267, #1188)</t>
        </is>
      </c>
      <c r="C47" s="10" t="inlineStr">
        <is>
          <t>HARD</t>
        </is>
      </c>
    </row>
    <row r="48">
      <c r="A48" s="9" t="inlineStr">
        <is>
          <t>Q47_PAY_FREQ entered</t>
        </is>
      </c>
      <c r="B48" s="10" t="inlineStr">
        <is>
          <t>`Q46_KNOW_PAY_FREQ = Yes`</t>
        </is>
      </c>
      <c r="C48" s="10" t="inlineStr">
        <is>
          <t>GATE</t>
        </is>
      </c>
    </row>
    <row r="49">
      <c r="A49" s="9" t="inlineStr">
        <is>
          <t>Q49_TRANCHE_INTERVAL_NUM / Q49_TRANCHE_INTERVAL</t>
        </is>
      </c>
      <c r="B49" s="10" t="inlineStr">
        <is>
          <t>Hybrid pair — a Q48 = No skip lands on the `_NUM` half, which is the pair's first field</t>
        </is>
      </c>
      <c r="C49" s="10" t="inlineStr">
        <is>
          <t>GATE</t>
        </is>
      </c>
    </row>
    <row r="50">
      <c r="A50" s="9" t="inlineStr">
        <is>
          <t>Q51_APPLY_REASON</t>
        </is>
      </c>
      <c r="B50" s="10" t="inlineStr">
        <is>
          <t>Required, non-blank (msg 1269)</t>
        </is>
      </c>
      <c r="C50" s="10" t="inlineStr">
        <is>
          <t>HARD</t>
        </is>
      </c>
    </row>
    <row r="51">
      <c r="A51" s="9" t="inlineStr">
        <is>
          <t>Q52_ACCRED_DIFFICULT</t>
        </is>
      </c>
      <c r="B51" s="10" t="inlineStr">
        <is>
          <t>Check Box, at least one required (msg 1271); code 90 "None of the above" exclusive (msg 1272)</t>
        </is>
      </c>
      <c r="C51" s="10" t="inlineStr">
        <is>
          <t>HARD</t>
        </is>
      </c>
    </row>
    <row r="52">
      <c r="A52" s="9" t="inlineStr">
        <is>
          <t>Q53–Q61 each</t>
        </is>
      </c>
      <c r="B52" s="10" t="inlineStr">
        <is>
          <t>Reached only when the matching `Q52_ACCRED_DIFFICULT` option is ticked — aligned 2-character chunk scan, not `pos()` (#450)</t>
        </is>
      </c>
      <c r="C52" s="10" t="inlineStr">
        <is>
          <t>GATE</t>
        </is>
      </c>
    </row>
    <row r="53">
      <c r="A53" s="9" t="inlineStr">
        <is>
          <t>Q53–Q61 each, when reached</t>
        </is>
      </c>
      <c r="B53" s="10" t="inlineStr">
        <is>
          <t>Check Box, at least one option required (msgs 1067, 1320, 1322, 1324, 1326, 1072, …)</t>
        </is>
      </c>
      <c r="C53" s="10" t="inlineStr">
        <is>
          <t>HARD</t>
        </is>
      </c>
    </row>
    <row r="54">
      <c r="A54" s="9" t="inlineStr">
        <is>
          <t>Q62_ENROLL_RESPONSIBILITY</t>
        </is>
      </c>
      <c r="B54" s="10" t="inlineStr">
        <is>
          <t>Check Box, at least one required (msg 1273); code 90 exclusive (msg 1274)</t>
        </is>
      </c>
      <c r="C54" s="10" t="inlineStr">
        <is>
          <t>HARD</t>
        </is>
      </c>
    </row>
    <row r="55">
      <c r="A55" s="9" t="inlineStr">
        <is>
          <t>Q63_ENROLL_INITIATIVES</t>
        </is>
      </c>
      <c r="B55" s="10" t="inlineStr">
        <is>
          <t>Check Box, at least one required (msg 1276); code 90 exclusive (msg 1277)</t>
        </is>
      </c>
      <c r="C55" s="10" t="inlineStr">
        <is>
          <t>HARD</t>
        </is>
      </c>
    </row>
    <row r="56">
      <c r="A56" s="9" t="inlineStr">
        <is>
          <t>Q65_ENROLL_CHALL_LIST</t>
        </is>
      </c>
      <c r="B56" s="10" t="inlineStr">
        <is>
          <t>Check Box, at least one required (msg 1079)</t>
        </is>
      </c>
      <c r="C56" s="10" t="inlineStr">
        <is>
          <t>HARD</t>
        </is>
      </c>
    </row>
    <row r="57">
      <c r="A57" s="9" t="inlineStr">
        <is>
          <t>Q66_NOT_ACCRED_REASON</t>
        </is>
      </c>
      <c r="B57" s="10" t="inlineStr">
        <is>
          <t>Check Box, at least one required (msg 1132)</t>
        </is>
      </c>
      <c r="C57" s="10" t="inlineStr">
        <is>
          <t>HARD</t>
        </is>
      </c>
    </row>
    <row r="58">
      <c r="A58" s="9" t="inlineStr">
        <is>
          <t>Q67 routing</t>
        </is>
      </c>
      <c r="B58" s="10" t="inlineStr">
        <is>
          <t>Exactly one of Q68 / Q69 / Q70 / Q71 is answered per case; every branch tail exits to Q79</t>
        </is>
      </c>
      <c r="C58" s="10" t="inlineStr">
        <is>
          <t>GATE</t>
        </is>
      </c>
    </row>
    <row r="59">
      <c r="A59" s="9" t="inlineStr">
        <is>
          <t>Q73_ELIGIBLE_PATIENTS</t>
        </is>
      </c>
      <c r="B59" s="10" t="inlineStr">
        <is>
          <t>`&gt; 500,000` warns without blocking (msg 1093)</t>
        </is>
      </c>
      <c r="C59" s="10" t="inlineStr">
        <is>
          <t>SOFT</t>
        </is>
      </c>
    </row>
    <row r="60">
      <c r="A60" s="9" t="inlineStr">
        <is>
          <t>Q74_REGISTERED_PATIENTS</t>
        </is>
      </c>
      <c r="B60" s="10" t="inlineStr">
        <is>
          <t>`≤ Q73_ELIGIBLE_PATIENTS` — registered cannot exceed eligible (msg 1094)</t>
        </is>
      </c>
      <c r="C60" s="10" t="inlineStr">
        <is>
          <t>HARD</t>
        </is>
      </c>
    </row>
    <row r="61">
      <c r="A61" s="9" t="inlineStr">
        <is>
          <t>Q78_MIN_CAP_VALUE_ACC</t>
        </is>
      </c>
      <c r="B61" s="10" t="inlineStr">
        <is>
          <t>`&gt; 0` and `&lt; 1700` prompts "below the PHP 1,700 PhilHealth max — confirm?" and re-enters on No (#533)</t>
        </is>
      </c>
      <c r="C61" s="10" t="inlineStr">
        <is>
          <t>SOFT</t>
        </is>
      </c>
    </row>
    <row r="62">
      <c r="A62" s="9" t="inlineStr">
        <is>
          <t>Q81_CHARGE_ADDL_CAP_REASONS</t>
        </is>
      </c>
      <c r="B62" s="10" t="inlineStr">
        <is>
          <t>Check Box, at least one required (msg 1280)</t>
        </is>
      </c>
      <c r="C62" s="10" t="inlineStr">
        <is>
          <t>HARD</t>
        </is>
      </c>
    </row>
    <row r="63">
      <c r="A63" s="9" t="inlineStr">
        <is>
          <t>Q83_NOT_RECEIVED_REASONS</t>
        </is>
      </c>
      <c r="B63" s="10" t="inlineStr">
        <is>
          <t>Check Box, at least one required (msg 1282); code 90 exclusive (msg 1283)</t>
        </is>
      </c>
      <c r="C63" s="10" t="inlineStr">
        <is>
          <t>HARD</t>
        </is>
      </c>
    </row>
    <row r="64">
      <c r="A64" s="9" t="inlineStr">
        <is>
          <t>Q85_PAYMENT_CHALL_LIST</t>
        </is>
      </c>
      <c r="B64" s="10" t="inlineStr">
        <is>
          <t>Check Box, at least one required (msg 1285); code 90 exclusive (msg 1286)</t>
        </is>
      </c>
      <c r="C64" s="10" t="inlineStr">
        <is>
          <t>HARD</t>
        </is>
      </c>
    </row>
    <row r="65">
      <c r="A65" s="9" t="inlineStr">
        <is>
          <t>Q86_EXPAND_NEXT</t>
        </is>
      </c>
      <c r="B65" s="10" t="inlineStr">
        <is>
          <t>Check Box, at least one required (msg 1288); code 90 exclusive (msg 1289)</t>
        </is>
      </c>
      <c r="C65" s="10" t="inlineStr">
        <is>
          <t>HARD</t>
        </is>
      </c>
    </row>
    <row r="66">
      <c r="A66" s="9" t="inlineStr">
        <is>
          <t>Q87_ADDL_FEATURES</t>
        </is>
      </c>
      <c r="B66" s="10" t="inlineStr">
        <is>
          <t>Free text gated on `Q86_EXPAND_NEXT` code 03 being ticked — cleared and `noinput` otherwise, required when it is (msg 1291). The one gated free-text item without an `_OTHER_TXT` suffix</t>
        </is>
      </c>
      <c r="C66" s="10" t="inlineStr">
        <is>
          <t>HARD / GATE</t>
        </is>
      </c>
    </row>
    <row r="67">
      <c r="A67" s="9" t="inlineStr">
        <is>
          <t>Q89–Q94 entered</t>
        </is>
      </c>
      <c r="B67" s="10" t="inlineStr">
        <is>
          <t>`Q88_HEARD_BUCAS = Yes`</t>
        </is>
      </c>
      <c r="C67" s="10" t="inlineStr">
        <is>
          <t>GATE</t>
        </is>
      </c>
    </row>
    <row r="68">
      <c r="A68" s="9" t="inlineStr">
        <is>
          <t>Q90_NO_BUCAS_REASON entered</t>
        </is>
      </c>
      <c r="B68" s="10" t="inlineStr">
        <is>
          <t>`Q89_HAS_BUCAS = No`</t>
        </is>
      </c>
      <c r="C68" s="10" t="inlineStr">
        <is>
          <t>GATE</t>
        </is>
      </c>
    </row>
    <row r="69">
      <c r="A69" s="9" t="inlineStr">
        <is>
          <t>Q91–Q94 entered</t>
        </is>
      </c>
      <c r="B69" s="10" t="inlineStr">
        <is>
          <t>`Q89_HAS_BUCAS = Yes` — the facility actually has a BUCAS Center</t>
        </is>
      </c>
      <c r="C69" s="10" t="inlineStr">
        <is>
          <t>GATE</t>
        </is>
      </c>
    </row>
    <row r="70">
      <c r="A70" s="9" t="inlineStr">
        <is>
          <t>Q91_BUCAS_SERVICES</t>
        </is>
      </c>
      <c r="B70" s="10" t="inlineStr">
        <is>
          <t>Check Box, at least one required (msg 1293)</t>
        </is>
      </c>
      <c r="C70" s="10" t="inlineStr">
        <is>
          <t>HARD</t>
        </is>
      </c>
    </row>
    <row r="71">
      <c r="A71" s="9" t="inlineStr">
        <is>
          <t>Q92_BUCAS_FACTORS</t>
        </is>
      </c>
      <c r="B71" s="10" t="inlineStr">
        <is>
          <t>Check Box, at least one required (msg 1295)</t>
        </is>
      </c>
      <c r="C71" s="10" t="inlineStr">
        <is>
          <t>HARD</t>
        </is>
      </c>
    </row>
    <row r="72">
      <c r="A72" s="9" t="inlineStr">
        <is>
          <t>Q96–Q98 entered</t>
        </is>
      </c>
      <c r="B72" s="10" t="inlineStr">
        <is>
          <t>`Q95_HEARD_GAMOT = Yes`</t>
        </is>
      </c>
      <c r="C72" s="10" t="inlineStr">
        <is>
          <t>GATE</t>
        </is>
      </c>
    </row>
    <row r="73">
      <c r="A73" s="9" t="inlineStr">
        <is>
          <t>Q97_NO_GAMOT_REASON entered</t>
        </is>
      </c>
      <c r="B73" s="10" t="inlineStr">
        <is>
          <t>`Q96_GAMOT_ACCRED = No`</t>
        </is>
      </c>
      <c r="C73" s="10" t="inlineStr">
        <is>
          <t>GATE</t>
        </is>
      </c>
    </row>
    <row r="74">
      <c r="A74" s="9" t="inlineStr">
        <is>
          <t>Q98_GAMOT_FACTORS</t>
        </is>
      </c>
      <c r="B74" s="10" t="inlineStr">
        <is>
          <t>Check Box, at least one required (msg 1100); entered when `Q96_GAMOT_ACCRED = Yes`</t>
        </is>
      </c>
      <c r="C74" s="10" t="inlineStr">
        <is>
          <t>HARD / GATE</t>
        </is>
      </c>
    </row>
    <row r="75">
      <c r="A75" s="9" t="inlineStr">
        <is>
          <t>Q100–Q104 entered</t>
        </is>
      </c>
      <c r="B75" s="10" t="inlineStr">
        <is>
          <t>`Q99_STOCKOUT = Yes`</t>
        </is>
      </c>
      <c r="C75" s="10" t="inlineStr">
        <is>
          <t>GATE</t>
        </is>
      </c>
    </row>
    <row r="76">
      <c r="A76" s="9" t="inlineStr">
        <is>
          <t>Q102_STOCKOUT_AVG entered</t>
        </is>
      </c>
      <c r="B76" s="10" t="inlineStr">
        <is>
          <t>`Q101_STOCKOUT_DURATION = 3` (more than 60 days) — below that the month band is already implied, so the item is skipped rather than asked redundantly</t>
        </is>
      </c>
      <c r="C76" s="10" t="inlineStr">
        <is>
          <t>GATE</t>
        </is>
      </c>
    </row>
    <row r="77">
      <c r="A77" s="9" t="inlineStr">
        <is>
          <t>Q103, Q104 entered</t>
        </is>
      </c>
      <c r="B77" s="10" t="inlineStr">
        <is>
          <t>`Q95 = Yes` AND `Q96 = Yes` AND `Q99 = Yes` (#384, spec 3.6 gate)</t>
        </is>
      </c>
      <c r="C77" s="10" t="inlineStr">
        <is>
          <t>GATE</t>
        </is>
      </c>
    </row>
    <row r="78">
      <c r="A78" s="9" t="inlineStr">
        <is>
          <t>Q104_ADDR_STOCKOUT_HOW</t>
        </is>
      </c>
      <c r="B78" s="10" t="inlineStr">
        <is>
          <t>Required, non-blank (msg 1010); entered only when `Q103_ADDR_STOCKOUT = Yes`</t>
        </is>
      </c>
      <c r="C78" s="10" t="inlineStr">
        <is>
          <t>HARD / GATE</t>
        </is>
      </c>
    </row>
    <row r="79">
      <c r="A79" s="9" t="inlineStr">
        <is>
          <t>Q106–Q121 entered</t>
        </is>
      </c>
      <c r="B79" s="10" t="inlineStr">
        <is>
          <t>`Q105_DOH_LICENSED = Yes (1)`</t>
        </is>
      </c>
      <c r="C79" s="10" t="inlineStr">
        <is>
          <t>GATE</t>
        </is>
      </c>
    </row>
    <row r="80">
      <c r="A80" s="9" t="inlineStr">
        <is>
          <t>Q108_DOH_LIC_DIFFICULT value set</t>
        </is>
      </c>
      <c r="B80" s="10" t="inlineStr">
        <is>
          <t>Swapped at preproc on `Q8_SERVICE_LEVEL`: `Q108_DOH_LIC_DIFFICULT_PCF_VS1` for a Primary Care Facility, `_HOSP_VS1` for Level 1/2/3 hospitals (#385)</t>
        </is>
      </c>
      <c r="C80" s="10" t="inlineStr">
        <is>
          <t>GATE</t>
        </is>
      </c>
    </row>
    <row r="81">
      <c r="A81" s="9" t="inlineStr">
        <is>
          <t>Q108_DOH_LIC_DIFFICULT</t>
        </is>
      </c>
      <c r="B81" s="10" t="inlineStr">
        <is>
          <t>Check Box, at least one required (msg 1228); code 90 "None of the above" exclusive (msg 1229)</t>
        </is>
      </c>
      <c r="C81" s="10" t="inlineStr">
        <is>
          <t>HARD</t>
        </is>
      </c>
    </row>
    <row r="82">
      <c r="A82" s="9" t="inlineStr">
        <is>
          <t>Q109–Q121 each</t>
        </is>
      </c>
      <c r="B82" s="10" t="inlineStr">
        <is>
          <t>Reached only when the matching `Q108_DOH_LIC_DIFFICULT` option is ticked; Q109–Q116 map positionally to codes 01–08, Q117–Q121 map to 13, 09, 10, 11, 12 respectively (F1-LOGIC-01)</t>
        </is>
      </c>
      <c r="C82" s="10" t="inlineStr">
        <is>
          <t>GATE</t>
        </is>
      </c>
    </row>
    <row r="83">
      <c r="A83" s="9" t="inlineStr">
        <is>
          <t>Q109–Q121 each, when reached</t>
        </is>
      </c>
      <c r="B83" s="10" t="inlineStr">
        <is>
          <t>Check Box, at least one option required (msgs 1298, 1300, 1014, 1302, 1304, 1306, 1308, 1310, 1016, 1312, 1314, 1316, 1018)</t>
        </is>
      </c>
      <c r="C83" s="10" t="inlineStr">
        <is>
          <t>HARD</t>
        </is>
      </c>
    </row>
    <row r="84">
      <c r="A84" s="9" t="inlineStr">
        <is>
          <t>Q117_WHY_DIFF_PRICE_INFO</t>
        </is>
      </c>
      <c r="B84" s="10" t="inlineStr">
        <is>
          <t>PCF-only topic — reachable only through Q108's PCF value set</t>
        </is>
      </c>
      <c r="C84" s="10" t="inlineStr">
        <is>
          <t>GATE</t>
        </is>
      </c>
    </row>
    <row r="85">
      <c r="A85" s="9" t="inlineStr">
        <is>
          <t>Q120_WHY_DIFF_EMERG_CART, Q121_WHY_DIFF_ADDONS</t>
        </is>
      </c>
      <c r="B85" s="10" t="inlineStr">
        <is>
          <t>Hospital-only topics — reachable only through Q108's hospital value set</t>
        </is>
      </c>
      <c r="C85" s="10" t="inlineStr">
        <is>
          <t>GATE</t>
        </is>
      </c>
    </row>
    <row r="86">
      <c r="A86" s="9" t="inlineStr">
        <is>
          <t>Q123, Q124 entered</t>
        </is>
      </c>
      <c r="B86" s="10" t="inlineStr">
        <is>
          <t>`Q122_NBB_CURR = Yes`</t>
        </is>
      </c>
      <c r="C86" s="10" t="inlineStr">
        <is>
          <t>GATE</t>
        </is>
      </c>
    </row>
    <row r="87">
      <c r="A87" s="9" t="inlineStr">
        <is>
          <t>Q124_NBB_BARRIERS</t>
        </is>
      </c>
      <c r="B87" s="10" t="inlineStr">
        <is>
          <t>Check Box, at least one required (msg 1110); code 90 exclusive (msg 1230)</t>
        </is>
      </c>
      <c r="C87" s="10" t="inlineStr">
        <is>
          <t>HARD</t>
        </is>
      </c>
    </row>
    <row r="88">
      <c r="A88" s="9" t="inlineStr">
        <is>
          <t>Q126, Q127 entered</t>
        </is>
      </c>
      <c r="B88" s="10" t="inlineStr">
        <is>
          <t>`Q125_ZBB_CURR = Yes`</t>
        </is>
      </c>
      <c r="C88" s="10" t="inlineStr">
        <is>
          <t>GATE</t>
        </is>
      </c>
    </row>
    <row r="89">
      <c r="A89" s="9" t="inlineStr">
        <is>
          <t>Q127_ZBB_BARRIERS</t>
        </is>
      </c>
      <c r="B89" s="10" t="inlineStr">
        <is>
          <t>Check Box, at least one required (msg 1116); code 90 exclusive (msg 1231)</t>
        </is>
      </c>
      <c r="C89" s="10" t="inlineStr">
        <is>
          <t>HARD</t>
        </is>
      </c>
    </row>
    <row r="90">
      <c r="A90" s="9" t="inlineStr">
        <is>
          <t>Q129_OOP_REASON entered</t>
        </is>
      </c>
      <c r="B90" s="10" t="inlineStr">
        <is>
          <t>`Q128_ALLOW_OOP_BASIC = Yes`</t>
        </is>
      </c>
      <c r="C90" s="10" t="inlineStr">
        <is>
          <t>GATE</t>
        </is>
      </c>
    </row>
    <row r="91">
      <c r="A91" s="9" t="inlineStr">
        <is>
          <t>Q131_DIFFICULT_REASON</t>
        </is>
      </c>
      <c r="B91" s="10" t="inlineStr">
        <is>
          <t>Required, non-blank (msg 1124)</t>
        </is>
      </c>
      <c r="C91" s="10" t="inlineStr">
        <is>
          <t>HARD</t>
        </is>
      </c>
    </row>
    <row r="92">
      <c r="A92" s="9" t="inlineStr">
        <is>
          <t>Q133_MALASAKIT_WHY entered</t>
        </is>
      </c>
      <c r="B92" s="10" t="inlineStr">
        <is>
          <t>`Q132_MALASAKIT_PROVIDED = Yes`; required when reached (msg 1128)</t>
        </is>
      </c>
      <c r="C92" s="10" t="inlineStr">
        <is>
          <t>HARD / GATE</t>
        </is>
      </c>
    </row>
    <row r="93">
      <c r="A93" s="9" t="inlineStr">
        <is>
          <t>Q134_NO_MALASAKIT_WHY entered</t>
        </is>
      </c>
      <c r="B93" s="10" t="inlineStr">
        <is>
          <t>`Q132_MALASAKIT_PROVIDED = No`; required when reached (msg 1130)</t>
        </is>
      </c>
      <c r="C93" s="10" t="inlineStr">
        <is>
          <t>HARD / GATE</t>
        </is>
      </c>
    </row>
    <row r="94">
      <c r="A94" s="9" t="inlineStr">
        <is>
          <t>Q136–Q138 entered</t>
        </is>
      </c>
      <c r="B94" s="10" t="inlineStr">
        <is>
          <t>`Q135_LGU_SUPPORT = Yes`</t>
        </is>
      </c>
      <c r="C94" s="10" t="inlineStr">
        <is>
          <t>GATE</t>
        </is>
      </c>
    </row>
    <row r="95">
      <c r="A95" s="9" t="inlineStr">
        <is>
          <t>Q136_LGU_SUPPORT_FORMS</t>
        </is>
      </c>
      <c r="B95" s="10" t="inlineStr">
        <is>
          <t>Check Box, at least one required (msg 1232)</t>
        </is>
      </c>
      <c r="C95" s="10" t="inlineStr">
        <is>
          <t>HARD</t>
        </is>
      </c>
    </row>
    <row r="96">
      <c r="A96" s="9" t="inlineStr">
        <is>
          <t>Q138_LGU_NOT_SAT_WHY entered</t>
        </is>
      </c>
      <c r="B96" s="10" t="inlineStr">
        <is>
          <t>`Q137_LGU_SATISFIED = No`; Check Box, at least one required (msg 1234); code 90 exclusive (msg 1235)</t>
        </is>
      </c>
      <c r="C96" s="10" t="inlineStr">
        <is>
          <t>HARD / GATE</t>
        </is>
      </c>
    </row>
    <row r="97">
      <c r="A97" s="9" t="inlineStr">
        <is>
          <t>Q139, Q140 entered</t>
        </is>
      </c>
      <c r="B97" s="10" t="inlineStr">
        <is>
          <t>`Q7_OWNERSHIP = Public` AND `Q8_SERVICE_LEVEL` in Level 1/2/3 Hospital (#386)</t>
        </is>
      </c>
      <c r="C97" s="10" t="inlineStr">
        <is>
          <t>GATE</t>
        </is>
      </c>
    </row>
    <row r="98">
      <c r="A98" s="9" t="inlineStr">
        <is>
          <t>Q140_UNCLEAR_PROTOCOL entered</t>
        </is>
      </c>
      <c r="B98" s="10" t="inlineStr">
        <is>
          <t>`Q139_PHO_PROTOCOL_CLARITY` in Unclear / Very Unclear</t>
        </is>
      </c>
      <c r="C98" s="10" t="inlineStr">
        <is>
          <t>GATE</t>
        </is>
      </c>
    </row>
    <row r="99">
      <c r="A99" s="9" t="inlineStr">
        <is>
          <t>Q142_SEND_REFERRAL_HOW</t>
        </is>
      </c>
      <c r="B99" s="10" t="inlineStr">
        <is>
          <t>Check Box, at least one required (msg 1237)</t>
        </is>
      </c>
      <c r="C99" s="10" t="inlineStr">
        <is>
          <t>HARD</t>
        </is>
      </c>
    </row>
    <row r="100">
      <c r="A100" s="9" t="inlineStr">
        <is>
          <t>Q143_REFERRAL_FORM_TYPE</t>
        </is>
      </c>
      <c r="B100" s="10" t="inlineStr">
        <is>
          <t>Check Box, at least one required (msg 1239); code 05 exclusive (msg 1240)</t>
        </is>
      </c>
      <c r="C100" s="10" t="inlineStr">
        <is>
          <t>HARD</t>
        </is>
      </c>
    </row>
    <row r="101">
      <c r="A101" s="9" t="inlineStr">
        <is>
          <t>Q146_RECEIVE_REFERRAL_HOW</t>
        </is>
      </c>
      <c r="B101" s="10" t="inlineStr">
        <is>
          <t>Check Box, at least one required (msg 1028)</t>
        </is>
      </c>
      <c r="C101" s="10" t="inlineStr">
        <is>
          <t>HARD</t>
        </is>
      </c>
    </row>
    <row r="102">
      <c r="A102" s="9" t="inlineStr">
        <is>
          <t>Q147_EXTERNAL_SERVICES_GO</t>
        </is>
      </c>
      <c r="B102" s="10" t="inlineStr">
        <is>
          <t>Check Box, at least one required (msg 1030); code 90 exclusive (msg 1242)</t>
        </is>
      </c>
      <c r="C102" s="10" t="inlineStr">
        <is>
          <t>HARD</t>
        </is>
      </c>
    </row>
    <row r="103">
      <c r="A103" s="9" t="inlineStr">
        <is>
          <t>Q149_NOT_SATISFIED_WHY entered</t>
        </is>
      </c>
      <c r="B103" s="10" t="inlineStr">
        <is>
          <t>`Q148_REF_SATISFACTION` not in Very Satisfied / Satisfied; required when reached (msg 1032)</t>
        </is>
      </c>
      <c r="C103" s="10" t="inlineStr">
        <is>
          <t>HARD / GATE</t>
        </is>
      </c>
    </row>
    <row r="104">
      <c r="A104" s="9" t="inlineStr">
        <is>
          <t>Q150_HR_CHALL</t>
        </is>
      </c>
      <c r="B104" s="10" t="inlineStr">
        <is>
          <t>Check Box, at least one required (msg 1243). The Aug-17 printed list has 5 options and no "I don't know" — ASPSI's #1126 request for one did not survive their own rewrite (clarification item 1)</t>
        </is>
      </c>
      <c r="C104" s="10" t="inlineStr">
        <is>
          <t>HARD</t>
        </is>
      </c>
    </row>
    <row r="105">
      <c r="A105" s="9" t="inlineStr">
        <is>
          <t>Q152_PD_DOCTORS</t>
        </is>
      </c>
      <c r="B105" s="10" t="inlineStr">
        <is>
          <t>Check Box, at least one required (msg 1245); code 08 exclusive (msg 1246)</t>
        </is>
      </c>
      <c r="C105" s="10" t="inlineStr">
        <is>
          <t>HARD</t>
        </is>
      </c>
    </row>
    <row r="106">
      <c r="A106" s="9" t="inlineStr">
        <is>
          <t>Q153_PD_NURSES</t>
        </is>
      </c>
      <c r="B106" s="10" t="inlineStr">
        <is>
          <t>Check Box, at least one required (msg 1248); code 06 exclusive (msg 1249). Ships without "Clinical audits" / "Surgical audits" per §1 Bug #1</t>
        </is>
      </c>
      <c r="C106" s="10"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2026-08-20T05:10:36Z</dcterms:created>
  <dcterms:modified xmlns:dcterms="http://purl.org/dc/terms/" xmlns:xsi="http://www.w3.org/2001/XMLSchema-instance" xsi:type="dcterms:W3CDTF">2026-08-20T05:10:37Z</dcterms:modified>
</cp:coreProperties>
</file>