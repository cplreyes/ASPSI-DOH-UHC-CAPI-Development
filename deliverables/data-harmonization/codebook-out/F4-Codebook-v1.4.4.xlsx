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ariables" sheetId="2" state="visible" r:id="rId2"/>
    <sheet xmlns:r="http://schemas.openxmlformats.org/officeDocument/2006/relationships" name="Validation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04D2C"/>
      <sz val="16"/>
    </font>
    <font>
      <b val="1"/>
      <color rgb="00006B3F"/>
      <sz val="14"/>
    </font>
    <font>
      <color rgb="001C2B25"/>
      <sz val="10"/>
    </font>
    <font>
      <b val="1"/>
      <color rgb="001C2B25"/>
      <sz val="11"/>
    </font>
    <font>
      <b val="1"/>
      <color rgb="00006B3F"/>
      <sz val="12"/>
    </font>
    <font>
      <b val="1"/>
      <color rgb="00FFFFFF"/>
      <sz val="10"/>
    </font>
    <font>
      <name val="Consolas"/>
      <sz val="9"/>
    </font>
    <font>
      <name val="Calibri"/>
      <sz val="9"/>
    </font>
  </fonts>
  <fills count="4">
    <fill>
      <patternFill/>
    </fill>
    <fill>
      <patternFill patternType="gray125"/>
    </fill>
    <fill>
      <patternFill patternType="solid">
        <fgColor rgb="00006B3F"/>
      </patternFill>
    </fill>
    <fill>
      <patternFill patternType="solid">
        <fgColor rgb="00EEF3F0"/>
      </patternFill>
    </fill>
  </fills>
  <borders count="2">
    <border>
      <left/>
      <right/>
      <top/>
      <bottom/>
      <diagonal/>
    </border>
    <border>
      <left style="thin">
        <color rgb="00B7C4BD"/>
      </left>
      <right style="thin">
        <color rgb="00B7C4BD"/>
      </right>
      <top style="thin">
        <color rgb="00B7C4BD"/>
      </top>
      <bottom style="thin">
        <color rgb="00B7C4B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7" fillId="3" borderId="1" applyAlignment="1" pivotButton="0" quotePrefix="0" xfId="0">
      <alignment vertical="top"/>
    </xf>
    <xf numFmtId="0" fontId="8" fillId="3"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00" customWidth="1" min="1" max="1"/>
  </cols>
  <sheetData>
    <row r="1">
      <c r="A1" s="1" t="inlineStr">
        <is>
          <t>UHC Survey Year 2 — Official Codebook</t>
        </is>
      </c>
    </row>
    <row r="2">
      <c r="A2" s="2" t="inlineStr">
        <is>
          <t>F4 — Household Survey</t>
        </is>
      </c>
    </row>
    <row r="3">
      <c r="A3" s="3" t="inlineStr"/>
    </row>
    <row r="4">
      <c r="A4" s="4" t="inlineStr">
        <is>
          <t>Version: v1.4.4 (2026-07-19)</t>
        </is>
      </c>
    </row>
    <row r="5">
      <c r="A5" s="3" t="inlineStr">
        <is>
          <t>Generated: 2026-07-22 01:19 UTC — regenerated from the build artifacts every release; never hand-edited.</t>
        </is>
      </c>
    </row>
    <row r="6">
      <c r="A6" s="3" t="inlineStr">
        <is>
          <t>Sources: HouseholdSurvey.dcf · HouseholdSurvey.ent.qsf (EN) · F4-Skip-Logic-and-Validations.md · versions.json</t>
        </is>
      </c>
    </row>
    <row r="7">
      <c r="A7" s="3" t="inlineStr"/>
    </row>
    <row r="8">
      <c r="A8" s="4" t="inlineStr">
        <is>
          <t>Variables documented: 299</t>
        </is>
      </c>
    </row>
    <row r="9">
      <c r="A9" s="3" t="inlineStr"/>
    </row>
    <row r="10">
      <c r="A10" s="5" t="inlineStr">
        <is>
          <t>Conventions</t>
        </is>
      </c>
    </row>
    <row r="11">
      <c r="A11" s="3" t="inlineStr">
        <is>
          <t>Values in the datasets are RAW stored codes; this codebook is the labeling truth.</t>
        </is>
      </c>
    </row>
    <row r="12">
      <c r="A12" s="3" t="inlineStr">
        <is>
          <t>Missing-value conventions (Shared Codebook v0.8 / tracker #743):</t>
        </is>
      </c>
    </row>
    <row r="13">
      <c r="A13" s="3" t="inlineStr">
        <is>
          <t xml:space="preserve">  categorical items: 8 / 98 = Don't know · 9 / 99 = Refused (per value set)</t>
        </is>
      </c>
    </row>
    <row r="14">
      <c r="A14" s="3" t="inlineStr">
        <is>
          <t xml:space="preserve">  amount/continuous items: -98 = Don't know · -99 = Refused (negative sentinels)</t>
        </is>
      </c>
    </row>
    <row r="15">
      <c r="A15" s="3" t="inlineStr">
        <is>
          <t xml:space="preserve">  harmonized Stata output maps these to .c (DK), .b (Refused), .a (skip-logic NOTAPPL)</t>
        </is>
      </c>
    </row>
    <row r="16">
      <c r="A16" s="3" t="inlineStr">
        <is>
          <t>questionnaire_number is a 12-digit string key (RR-PP-MMM-FF-CCC); breakout exports</t>
        </is>
      </c>
    </row>
    <row r="17">
      <c r="A17" s="3" t="inlineStr">
        <is>
          <t xml:space="preserve">  may drop a leading region zero — restore by zero-filling to 12.</t>
        </is>
      </c>
    </row>
    <row r="18">
      <c r="A18" s="3" t="inlineStr">
        <is>
          <t>Skip logic: 'Universe / applicability' = who is asked (derived from the Skip-Logic</t>
        </is>
      </c>
    </row>
    <row r="19">
      <c r="A19" s="3" t="inlineStr">
        <is>
          <t xml:space="preserve">  spec); outbound routing shown on the variable that triggers it. Executable truth</t>
        </is>
      </c>
    </row>
    <row r="20">
      <c r="A20" s="3" t="inlineStr">
        <is>
          <t xml:space="preserve">  stays in the instrument logic (.apc).</t>
        </is>
      </c>
    </row>
    <row r="21">
      <c r="A21" s="3" t="inlineStr">
        <is>
          <t>Validation &amp; editing: per-variable rules in 'Validation rules' + the Validations</t>
        </is>
      </c>
    </row>
    <row r="22">
      <c r="A22" s="3" t="inlineStr">
        <is>
          <t xml:space="preserve">  sheet (HARD = block save, SOFT = warn-and-confirm, GATE = display-only) — maps to</t>
        </is>
      </c>
    </row>
    <row r="23">
      <c r="A23" s="3" t="inlineStr">
        <is>
          <t xml:space="preserve">  DDI's data-editing/cleanOps element at dissemination.</t>
        </is>
      </c>
    </row>
    <row r="24">
      <c r="A24" s="3" t="inlineStr">
        <is>
          <t>DDI mapping: Variable→var/@name · Label→var/labl · Question→var/qstn ·</t>
        </is>
      </c>
    </row>
    <row r="25">
      <c r="A25" s="3" t="inlineStr">
        <is>
          <t xml:space="preserve">  Universe→var/universe · Values→var/catgry · Special codes→missing ·</t>
        </is>
      </c>
    </row>
    <row r="26">
      <c r="A26" s="3" t="inlineStr">
        <is>
          <t xml:space="preserve">  packaged as DDI 2.5 at dissemination.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46" customWidth="1" min="3" max="3"/>
    <col width="36" customWidth="1" min="4" max="4"/>
    <col width="36" customWidth="1" min="5" max="5"/>
    <col width="20" customWidth="1" min="6" max="6"/>
    <col width="11" customWidth="1" min="7" max="7"/>
    <col width="40" customWidth="1" min="8" max="8"/>
    <col width="24" customWidth="1" min="9" max="9"/>
    <col width="42" customWidth="1" min="10" max="10"/>
  </cols>
  <sheetData>
    <row r="1">
      <c r="A1" s="6" t="inlineStr">
        <is>
          <t>Variable</t>
        </is>
      </c>
      <c r="B1" s="6" t="inlineStr">
        <is>
          <t>Label</t>
        </is>
      </c>
      <c r="C1" s="6" t="inlineStr">
        <is>
          <t>Question (EN, literal)</t>
        </is>
      </c>
      <c r="D1" s="6" t="inlineStr">
        <is>
          <t>Universe / applicability</t>
        </is>
      </c>
      <c r="E1" s="6" t="inlineStr">
        <is>
          <t>Skip / routing (outbound)</t>
        </is>
      </c>
      <c r="F1" s="6" t="inlineStr">
        <is>
          <t>Record / Roster</t>
        </is>
      </c>
      <c r="G1" s="6" t="inlineStr">
        <is>
          <t>Type</t>
        </is>
      </c>
      <c r="H1" s="6" t="inlineStr">
        <is>
          <t>Values &amp; categories</t>
        </is>
      </c>
      <c r="I1" s="6" t="inlineStr">
        <is>
          <t>Special codes (DK/Refused)</t>
        </is>
      </c>
      <c r="J1" s="6" t="inlineStr">
        <is>
          <t>Validation rules (CAPI-enforced)</t>
        </is>
      </c>
    </row>
    <row r="2">
      <c r="A2" s="7" t="inlineStr">
        <is>
          <t>questionnaire_number</t>
        </is>
      </c>
      <c r="B2" s="8" t="inlineStr">
        <is>
          <t>Questionnaire Number (12-digit: RR-PP-MMM-FF-CCC)</t>
        </is>
      </c>
      <c r="C2" s="8" t="inlineStr">
        <is>
          <t>Build: F4 v1.4.4 (2026-07-19)</t>
        </is>
      </c>
      <c r="D2" s="8" t="inlineStr"/>
      <c r="E2" s="8" t="inlineStr"/>
      <c r="F2" s="8" t="inlineStr">
        <is>
          <t>Case identifiers</t>
        </is>
      </c>
      <c r="G2" s="8" t="inlineStr">
        <is>
          <t>numeric 12</t>
        </is>
      </c>
      <c r="H2" s="8" t="inlineStr"/>
      <c r="I2" s="8" t="inlineStr"/>
      <c r="J2" s="8" t="inlineStr"/>
    </row>
    <row r="3">
      <c r="A3" s="9" t="inlineStr">
        <is>
          <t>survey_team_leader_s_name</t>
        </is>
      </c>
      <c r="B3" s="10" t="inlineStr">
        <is>
          <t>Survey Team Leader's Name</t>
        </is>
      </c>
      <c r="C3" s="10" t="inlineStr">
        <is>
          <t>Survey Team Leader's Name</t>
        </is>
      </c>
      <c r="D3" s="10" t="inlineStr"/>
      <c r="E3" s="10" t="inlineStr"/>
      <c r="F3" s="10" t="inlineStr">
        <is>
          <t>Field Control</t>
        </is>
      </c>
      <c r="G3" s="10" t="inlineStr">
        <is>
          <t>alpha 50</t>
        </is>
      </c>
      <c r="H3" s="10" t="inlineStr"/>
      <c r="I3" s="10" t="inlineStr"/>
      <c r="J3" s="10" t="inlineStr">
        <is>
          <t>[HARD] Required, non-blank</t>
        </is>
      </c>
    </row>
    <row r="4">
      <c r="A4" s="7" t="inlineStr">
        <is>
          <t>enumerator_s_name</t>
        </is>
      </c>
      <c r="B4" s="8" t="inlineStr">
        <is>
          <t>Enumerator's Name</t>
        </is>
      </c>
      <c r="C4" s="8" t="inlineStr">
        <is>
          <t>Enumerator's Name</t>
        </is>
      </c>
      <c r="D4" s="8" t="inlineStr"/>
      <c r="E4" s="8" t="inlineStr"/>
      <c r="F4" s="8" t="inlineStr">
        <is>
          <t>Field Control</t>
        </is>
      </c>
      <c r="G4" s="8" t="inlineStr">
        <is>
          <t>alpha 50</t>
        </is>
      </c>
      <c r="H4" s="8" t="inlineStr"/>
      <c r="I4" s="8" t="inlineStr"/>
      <c r="J4" s="8" t="inlineStr">
        <is>
          <t>[HARD] Required, non-blank</t>
        </is>
      </c>
    </row>
    <row r="5">
      <c r="A5" s="9" t="inlineStr">
        <is>
          <t>field_validated_by</t>
        </is>
      </c>
      <c r="B5" s="10" t="inlineStr">
        <is>
          <t>Field Validated by</t>
        </is>
      </c>
      <c r="C5" s="10" t="inlineStr">
        <is>
          <t>Field Validated by</t>
        </is>
      </c>
      <c r="D5" s="10" t="inlineStr"/>
      <c r="E5" s="10" t="inlineStr"/>
      <c r="F5" s="10" t="inlineStr">
        <is>
          <t>Field Control</t>
        </is>
      </c>
      <c r="G5" s="10" t="inlineStr">
        <is>
          <t>alpha 50</t>
        </is>
      </c>
      <c r="H5" s="10" t="inlineStr"/>
      <c r="I5" s="10" t="inlineStr"/>
      <c r="J5" s="10" t="inlineStr"/>
    </row>
    <row r="6">
      <c r="A6" s="7" t="inlineStr">
        <is>
          <t>field_edited_by</t>
        </is>
      </c>
      <c r="B6" s="8" t="inlineStr">
        <is>
          <t>Field Edited by</t>
        </is>
      </c>
      <c r="C6" s="8" t="inlineStr">
        <is>
          <t>Field Edited by</t>
        </is>
      </c>
      <c r="D6" s="8" t="inlineStr"/>
      <c r="E6" s="8" t="inlineStr"/>
      <c r="F6" s="8" t="inlineStr">
        <is>
          <t>Field Control</t>
        </is>
      </c>
      <c r="G6" s="8" t="inlineStr">
        <is>
          <t>alpha 50</t>
        </is>
      </c>
      <c r="H6" s="8" t="inlineStr"/>
      <c r="I6" s="8" t="inlineStr"/>
      <c r="J6" s="8" t="inlineStr"/>
    </row>
    <row r="7">
      <c r="A7" s="9" t="inlineStr">
        <is>
          <t>date_first_visited</t>
        </is>
      </c>
      <c r="B7" s="10" t="inlineStr">
        <is>
          <t>Date First Visited the Household (YYYYMMDD)</t>
        </is>
      </c>
      <c r="C7" s="10" t="inlineStr">
        <is>
          <t>Date First Visited the Household (YYYYMMDD)</t>
        </is>
      </c>
      <c r="D7" s="10" t="inlineStr"/>
      <c r="E7" s="10" t="inlineStr"/>
      <c r="F7" s="10" t="inlineStr">
        <is>
          <t>Field Control</t>
        </is>
      </c>
      <c r="G7" s="10" t="inlineStr">
        <is>
          <t>numeric 8</t>
        </is>
      </c>
      <c r="H7" s="10" t="inlineStr"/>
      <c r="I7" s="10" t="inlineStr"/>
      <c r="J7" s="10" t="inlineStr">
        <is>
          <t>[HARD] Required, valid date ≤ today</t>
        </is>
      </c>
    </row>
    <row r="8">
      <c r="A8" s="7" t="inlineStr">
        <is>
          <t>date_final_visit</t>
        </is>
      </c>
      <c r="B8" s="8" t="inlineStr">
        <is>
          <t>Date of Final Visit to the Household (YYYYMMDD)</t>
        </is>
      </c>
      <c r="C8" s="8" t="inlineStr">
        <is>
          <t>Date of Final Visit to the Household (YYYYMMDD)</t>
        </is>
      </c>
      <c r="D8" s="8" t="inlineStr"/>
      <c r="E8" s="8" t="inlineStr"/>
      <c r="F8" s="8" t="inlineStr">
        <is>
          <t>Field Control</t>
        </is>
      </c>
      <c r="G8" s="8" t="inlineStr">
        <is>
          <t>numeric 8</t>
        </is>
      </c>
      <c r="H8" s="8" t="inlineStr"/>
      <c r="I8" s="8" t="inlineStr"/>
      <c r="J8" s="8" t="inlineStr">
        <is>
          <t>[HARD] Required, valid date ≤ today</t>
        </is>
      </c>
    </row>
    <row r="9">
      <c r="A9" s="9" t="inlineStr">
        <is>
          <t>total_number_of_visits</t>
        </is>
      </c>
      <c r="B9" s="10" t="inlineStr">
        <is>
          <t>Total Number of Visits</t>
        </is>
      </c>
      <c r="C9" s="10" t="inlineStr">
        <is>
          <t>Total Number of Visits</t>
        </is>
      </c>
      <c r="D9" s="10" t="inlineStr"/>
      <c r="E9" s="10" t="inlineStr"/>
      <c r="F9" s="10" t="inlineStr">
        <is>
          <t>Field Control</t>
        </is>
      </c>
      <c r="G9" s="10" t="inlineStr">
        <is>
          <t>numeric 3</t>
        </is>
      </c>
      <c r="H9" s="10" t="inlineStr"/>
      <c r="I9" s="10" t="inlineStr"/>
      <c r="J9" s="10" t="inlineStr">
        <is>
          <t>[HARD + SOFT] `1 ≤ n ≤ 10` (warn if &gt; 3)</t>
        </is>
      </c>
    </row>
    <row r="10">
      <c r="A10" s="7" t="inlineStr">
        <is>
          <t>enum_result_first_visit</t>
        </is>
      </c>
      <c r="B10" s="8" t="inlineStr">
        <is>
          <t>Result of First Visit</t>
        </is>
      </c>
      <c r="C10" s="8" t="inlineStr">
        <is>
          <t>Result of First Visit</t>
        </is>
      </c>
      <c r="D10" s="8" t="inlineStr"/>
      <c r="E10" s="8" t="inlineStr"/>
      <c r="F10" s="8" t="inlineStr">
        <is>
          <t>Field Control</t>
        </is>
      </c>
      <c r="G10" s="8" t="inlineStr">
        <is>
          <t>numeric 1</t>
        </is>
      </c>
      <c r="H10" s="8" t="inlineStr">
        <is>
          <t>1 = Completed
2 = Postponed
3 = Incomplete
4 = Withdraw Participation/Consent
5 = Replaced</t>
        </is>
      </c>
      <c r="I10" s="8" t="inlineStr"/>
      <c r="J10" s="8" t="inlineStr">
        <is>
          <t>[HARD] Required, ∈ value set</t>
        </is>
      </c>
    </row>
    <row r="11">
      <c r="A11" s="9" t="inlineStr">
        <is>
          <t>enum_result_final_visit</t>
        </is>
      </c>
      <c r="B11" s="10" t="inlineStr">
        <is>
          <t>Result of Final Visit</t>
        </is>
      </c>
      <c r="C11" s="10" t="inlineStr">
        <is>
          <t>Result of Final Visit</t>
        </is>
      </c>
      <c r="D11" s="10" t="inlineStr"/>
      <c r="E11" s="10" t="inlineStr"/>
      <c r="F11" s="10" t="inlineStr">
        <is>
          <t>Field Control</t>
        </is>
      </c>
      <c r="G11" s="10" t="inlineStr">
        <is>
          <t>numeric 1</t>
        </is>
      </c>
      <c r="H11" s="10" t="inlineStr">
        <is>
          <t>1 = Completed
2 = Postponed
3 = Incomplete
4 = Withdraw Participation/Consent
5 = Replaced</t>
        </is>
      </c>
      <c r="I11" s="10" t="inlineStr"/>
      <c r="J11" s="10" t="inlineStr">
        <is>
          <t>[HARD] Required, ∈ value set</t>
        </is>
      </c>
    </row>
    <row r="12">
      <c r="A12" s="7" t="inlineStr">
        <is>
          <t>language_used</t>
        </is>
      </c>
      <c r="B12" s="8" t="inlineStr">
        <is>
          <t>Language used for the interview</t>
        </is>
      </c>
      <c r="C12" s="8" t="inlineStr">
        <is>
          <t>Language used for the interview</t>
        </is>
      </c>
      <c r="D12" s="8" t="inlineStr"/>
      <c r="E12" s="8" t="inlineStr"/>
      <c r="F12" s="8" t="inlineStr">
        <is>
          <t>Field Control</t>
        </is>
      </c>
      <c r="G12" s="8" t="inlineStr">
        <is>
          <t>alpha 20</t>
        </is>
      </c>
      <c r="H12" s="8" t="inlineStr"/>
      <c r="I12" s="8" t="inlineStr"/>
      <c r="J12" s="8" t="inlineStr"/>
    </row>
    <row r="13">
      <c r="A13" s="9" t="inlineStr">
        <is>
          <t>breakoff</t>
        </is>
      </c>
      <c r="B13" s="10" t="inlineStr">
        <is>
          <t>Interview status (leave as Continue unless ending the interview early)</t>
        </is>
      </c>
      <c r="C13" s="10" t="inlineStr">
        <is>
          <t>Interview status (leave as Continue unless ending the interview early)</t>
        </is>
      </c>
      <c r="D13" s="10" t="inlineStr"/>
      <c r="E13" s="10" t="inlineStr"/>
      <c r="F13" s="10" t="inlineStr">
        <is>
          <t>Field Control</t>
        </is>
      </c>
      <c r="G13" s="10" t="inlineStr">
        <is>
          <t>numeric 1</t>
        </is>
      </c>
      <c r="H13" s="10" t="inlineStr">
        <is>
          <t>1 = Continue interview
2 = Respondent withdrew
3 = Postponed / reschedule
4 = Stop — other (incomplete)
6 = Not interviewed — not found
7 = Not interviewed — ineligible</t>
        </is>
      </c>
      <c r="I13" s="10" t="inlineStr">
        <is>
          <t>5 = Not interviewed — refused</t>
        </is>
      </c>
      <c r="J13" s="10" t="inlineStr">
        <is>
          <t>[HARD] Required; defaults to `1 — Continue interview`. If ≠ Continue → terminate; sets `ENUM_RESULT_FINAL_VISIT` (2 Withdrew → 4; 3 Postponed → 2; 4 Stop-other → 3 Incomplete) and `CASE_DISPOSITION = 2`</t>
        </is>
      </c>
    </row>
    <row r="14">
      <c r="A14" s="7" t="inlineStr">
        <is>
          <t>case_disposition</t>
        </is>
      </c>
      <c r="B14" s="8" t="inlineStr">
        <is>
          <t>Case disposition (auto)</t>
        </is>
      </c>
      <c r="C14" s="8" t="inlineStr">
        <is>
          <t>Case disposition (auto)</t>
        </is>
      </c>
      <c r="D14" s="8" t="inlineStr"/>
      <c r="E14" s="8" t="inlineStr"/>
      <c r="F14" s="8" t="inlineStr">
        <is>
          <t>Field Control</t>
        </is>
      </c>
      <c r="G14" s="8" t="inlineStr">
        <is>
          <t>numeric 1</t>
        </is>
      </c>
      <c r="H14" s="8" t="inlineStr">
        <is>
          <t>0 = In progress
1 = Completed
2 = Partial / not completed</t>
        </is>
      </c>
      <c r="I14" s="8" t="inlineStr"/>
      <c r="J14" s="8" t="inlineStr">
        <is>
          <t>[—] Auto-written by logic, never typed: 0 In progress / 1 Completed / 2 Partial / not completed</t>
        </is>
      </c>
    </row>
    <row r="15">
      <c r="A15" s="9" t="inlineStr">
        <is>
          <t>region_code</t>
        </is>
      </c>
      <c r="B15" s="10" t="inlineStr">
        <is>
          <t>Region Code (PSGC)</t>
        </is>
      </c>
      <c r="C15" s="10" t="inlineStr">
        <is>
          <t>Region Code (PSGC)</t>
        </is>
      </c>
      <c r="D15" s="10" t="inlineStr"/>
      <c r="E15" s="10" t="inlineStr"/>
      <c r="F15" s="10" t="inlineStr">
        <is>
          <t>Field Control</t>
        </is>
      </c>
      <c r="G15" s="10" t="inlineStr">
        <is>
          <t>numeric 2</t>
        </is>
      </c>
      <c r="H15" s="10" t="inlineStr"/>
      <c r="I15" s="10" t="inlineStr"/>
      <c r="J15" s="10" t="inlineStr"/>
    </row>
    <row r="16">
      <c r="A16" s="7" t="inlineStr">
        <is>
          <t>province_huc_code</t>
        </is>
      </c>
      <c r="B16" s="8" t="inlineStr">
        <is>
          <t>Province / HUC Code (PSGC)</t>
        </is>
      </c>
      <c r="C16" s="8" t="inlineStr">
        <is>
          <t>Province / HUC Code (PSGC)</t>
        </is>
      </c>
      <c r="D16" s="8" t="inlineStr"/>
      <c r="E16" s="8" t="inlineStr"/>
      <c r="F16" s="8" t="inlineStr">
        <is>
          <t>Field Control</t>
        </is>
      </c>
      <c r="G16" s="8" t="inlineStr">
        <is>
          <t>numeric 2</t>
        </is>
      </c>
      <c r="H16" s="8" t="inlineStr"/>
      <c r="I16" s="8" t="inlineStr"/>
      <c r="J16" s="8" t="inlineStr"/>
    </row>
    <row r="17">
      <c r="A17" s="9" t="inlineStr">
        <is>
          <t>city_municipality_code</t>
        </is>
      </c>
      <c r="B17" s="10" t="inlineStr">
        <is>
          <t>City / Municipality Code (PSGC)</t>
        </is>
      </c>
      <c r="C17" s="10" t="inlineStr">
        <is>
          <t>City / Municipality Code (PSGC)</t>
        </is>
      </c>
      <c r="D17" s="10" t="inlineStr"/>
      <c r="E17" s="10" t="inlineStr"/>
      <c r="F17" s="10" t="inlineStr">
        <is>
          <t>Field Control</t>
        </is>
      </c>
      <c r="G17" s="10" t="inlineStr">
        <is>
          <t>numeric 3</t>
        </is>
      </c>
      <c r="H17" s="10" t="inlineStr"/>
      <c r="I17" s="10" t="inlineStr"/>
      <c r="J17" s="10" t="inlineStr"/>
    </row>
    <row r="18">
      <c r="A18" s="7" t="inlineStr">
        <is>
          <t>facility_no</t>
        </is>
      </c>
      <c r="B18" s="8" t="inlineStr">
        <is>
          <t>Facility Number (within municipality)</t>
        </is>
      </c>
      <c r="C18" s="8" t="inlineStr">
        <is>
          <t>Facility Number (within municipality)</t>
        </is>
      </c>
      <c r="D18" s="8" t="inlineStr"/>
      <c r="E18" s="8" t="inlineStr"/>
      <c r="F18" s="8" t="inlineStr">
        <is>
          <t>Field Control</t>
        </is>
      </c>
      <c r="G18" s="8" t="inlineStr">
        <is>
          <t>numeric 2</t>
        </is>
      </c>
      <c r="H18" s="8" t="inlineStr"/>
      <c r="I18" s="8" t="inlineStr"/>
      <c r="J18" s="8" t="inlineStr"/>
    </row>
    <row r="19">
      <c r="A19" s="9" t="inlineStr">
        <is>
          <t>case_seq</t>
        </is>
      </c>
      <c r="B19" s="10" t="inlineStr">
        <is>
          <t>Case Sequence (per-facility, per-instrument)</t>
        </is>
      </c>
      <c r="C19" s="10" t="inlineStr">
        <is>
          <t>Case Sequence (per-facility, per-instrument)</t>
        </is>
      </c>
      <c r="D19" s="10" t="inlineStr"/>
      <c r="E19" s="10" t="inlineStr"/>
      <c r="F19" s="10" t="inlineStr">
        <is>
          <t>Field Control</t>
        </is>
      </c>
      <c r="G19" s="10" t="inlineStr">
        <is>
          <t>numeric 3</t>
        </is>
      </c>
      <c r="H19" s="10" t="inlineStr"/>
      <c r="I19" s="10" t="inlineStr"/>
      <c r="J19" s="10" t="inlineStr"/>
    </row>
    <row r="20">
      <c r="A20" s="7" t="inlineStr">
        <is>
          <t>region_name</t>
        </is>
      </c>
      <c r="B20" s="8" t="inlineStr">
        <is>
          <t>Region (from PSGC)</t>
        </is>
      </c>
      <c r="C20" s="8" t="inlineStr">
        <is>
          <t>Region (from PSGC)</t>
        </is>
      </c>
      <c r="D20" s="8" t="inlineStr"/>
      <c r="E20" s="8" t="inlineStr"/>
      <c r="F20" s="8" t="inlineStr">
        <is>
          <t>Field Control</t>
        </is>
      </c>
      <c r="G20" s="8" t="inlineStr">
        <is>
          <t>alpha 80</t>
        </is>
      </c>
      <c r="H20" s="8" t="inlineStr"/>
      <c r="I20" s="8" t="inlineStr"/>
      <c r="J20" s="8" t="inlineStr"/>
    </row>
    <row r="21">
      <c r="A21" s="9" t="inlineStr">
        <is>
          <t>province_name</t>
        </is>
      </c>
      <c r="B21" s="10" t="inlineStr">
        <is>
          <t>Province / HUC (from PSGC)</t>
        </is>
      </c>
      <c r="C21" s="10" t="inlineStr">
        <is>
          <t>Province / HUC (from PSGC)</t>
        </is>
      </c>
      <c r="D21" s="10" t="inlineStr"/>
      <c r="E21" s="10" t="inlineStr"/>
      <c r="F21" s="10" t="inlineStr">
        <is>
          <t>Field Control</t>
        </is>
      </c>
      <c r="G21" s="10" t="inlineStr">
        <is>
          <t>alpha 80</t>
        </is>
      </c>
      <c r="H21" s="10" t="inlineStr"/>
      <c r="I21" s="10" t="inlineStr"/>
      <c r="J21" s="10" t="inlineStr"/>
    </row>
    <row r="22">
      <c r="A22" s="7" t="inlineStr">
        <is>
          <t>city_name</t>
        </is>
      </c>
      <c r="B22" s="8" t="inlineStr">
        <is>
          <t>City / Municipality (from PSGC)</t>
        </is>
      </c>
      <c r="C22" s="8" t="inlineStr">
        <is>
          <t>City / Municipality (from PSGC)</t>
        </is>
      </c>
      <c r="D22" s="8" t="inlineStr"/>
      <c r="E22" s="8" t="inlineStr"/>
      <c r="F22" s="8" t="inlineStr">
        <is>
          <t>Field Control</t>
        </is>
      </c>
      <c r="G22" s="8" t="inlineStr">
        <is>
          <t>alpha 80</t>
        </is>
      </c>
      <c r="H22" s="8" t="inlineStr"/>
      <c r="I22" s="8" t="inlineStr"/>
      <c r="J22" s="8" t="inlineStr"/>
    </row>
    <row r="23">
      <c r="A23" s="9" t="inlineStr">
        <is>
          <t>classification</t>
        </is>
      </c>
      <c r="B23" s="10" t="inlineStr">
        <is>
          <t>Classification</t>
        </is>
      </c>
      <c r="C23" s="10" t="inlineStr">
        <is>
          <t>Classification</t>
        </is>
      </c>
      <c r="D23" s="10" t="inlineStr"/>
      <c r="E23" s="10" t="inlineStr"/>
      <c r="F23" s="10" t="inlineStr">
        <is>
          <t>Household Geographic Identification</t>
        </is>
      </c>
      <c r="G23" s="10" t="inlineStr">
        <is>
          <t>numeric 1</t>
        </is>
      </c>
      <c r="H23" s="10" t="inlineStr">
        <is>
          <t>1 = UHC IS
2 = Non-UHC IS</t>
        </is>
      </c>
      <c r="I23" s="10" t="inlineStr"/>
      <c r="J23" s="10" t="inlineStr">
        <is>
          <t>[HARD] ∈ {Urban, Rural} — matches barangay classification from PSA</t>
        </is>
      </c>
    </row>
    <row r="24">
      <c r="A24" s="7" t="inlineStr">
        <is>
          <t>region</t>
        </is>
      </c>
      <c r="B24" s="8" t="inlineStr">
        <is>
          <t>Region</t>
        </is>
      </c>
      <c r="C24" s="8" t="inlineStr">
        <is>
          <t>Region</t>
        </is>
      </c>
      <c r="D24" s="8" t="inlineStr"/>
      <c r="E24" s="8" t="inlineStr"/>
      <c r="F24" s="8" t="inlineStr">
        <is>
          <t>Household Geographic Identification</t>
        </is>
      </c>
      <c r="G24" s="8" t="inlineStr">
        <is>
          <t>numeric 10</t>
        </is>
      </c>
      <c r="H24" s="8" t="inlineStr">
        <is>
          <t>0000000000 = (set at runtime)</t>
        </is>
      </c>
      <c r="I24" s="8" t="inlineStr"/>
      <c r="J24" s="8" t="inlineStr">
        <is>
          <t>[HARD — cascade enforces] PSGC cascade enforced at pick-time by `PSGC-Cascade.apc` — each child's `onfocus` filters its value set to children of the chosen parent, so an inconsistent pair is unrepresentable</t>
        </is>
      </c>
    </row>
    <row r="25">
      <c r="A25" s="9" t="inlineStr">
        <is>
          <t>province_huc</t>
        </is>
      </c>
      <c r="B25" s="10" t="inlineStr">
        <is>
          <t>Province / HUC</t>
        </is>
      </c>
      <c r="C25" s="10" t="inlineStr">
        <is>
          <t>Province / HUC</t>
        </is>
      </c>
      <c r="D25" s="10" t="inlineStr"/>
      <c r="E25" s="10" t="inlineStr"/>
      <c r="F25" s="10" t="inlineStr">
        <is>
          <t>Household Geographic Identification</t>
        </is>
      </c>
      <c r="G25" s="10" t="inlineStr">
        <is>
          <t>numeric 10</t>
        </is>
      </c>
      <c r="H25" s="10" t="inlineStr">
        <is>
          <t>0000000000 = (set at runtime)</t>
        </is>
      </c>
      <c r="I25" s="10" t="inlineStr"/>
      <c r="J25" s="10" t="inlineStr">
        <is>
          <t>[HARD — cascade enforces] PSGC cascade enforced at pick-time by `PSGC-Cascade.apc` — each child's `onfocus` filters its value set to children of the chosen parent, so an inconsistent pair is unrepresentable</t>
        </is>
      </c>
    </row>
    <row r="26">
      <c r="A26" s="7" t="inlineStr">
        <is>
          <t>city_municipality</t>
        </is>
      </c>
      <c r="B26" s="8" t="inlineStr">
        <is>
          <t>City / Municipality</t>
        </is>
      </c>
      <c r="C26" s="8" t="inlineStr">
        <is>
          <t>City / Municipality</t>
        </is>
      </c>
      <c r="D26" s="8" t="inlineStr"/>
      <c r="E26" s="8" t="inlineStr"/>
      <c r="F26" s="8" t="inlineStr">
        <is>
          <t>Household Geographic Identification</t>
        </is>
      </c>
      <c r="G26" s="8" t="inlineStr">
        <is>
          <t>numeric 10</t>
        </is>
      </c>
      <c r="H26" s="8" t="inlineStr">
        <is>
          <t>0000000000 = (set at runtime)</t>
        </is>
      </c>
      <c r="I26" s="8" t="inlineStr"/>
      <c r="J26" s="8" t="inlineStr">
        <is>
          <t>[HARD — cascade enforces] PSGC cascade enforced at pick-time by `PSGC-Cascade.apc` — each child's `onfocus` filters its value set to children of the chosen parent, so an inconsistent pair is unrepresentable</t>
        </is>
      </c>
    </row>
    <row r="27">
      <c r="A27" s="9" t="inlineStr">
        <is>
          <t>barangay</t>
        </is>
      </c>
      <c r="B27" s="10" t="inlineStr">
        <is>
          <t>Barangay</t>
        </is>
      </c>
      <c r="C27" s="10" t="inlineStr">
        <is>
          <t>Barangay</t>
        </is>
      </c>
      <c r="D27" s="10" t="inlineStr"/>
      <c r="E27" s="10" t="inlineStr"/>
      <c r="F27" s="10" t="inlineStr">
        <is>
          <t>Household Geographic Identification</t>
        </is>
      </c>
      <c r="G27" s="10" t="inlineStr">
        <is>
          <t>numeric 10</t>
        </is>
      </c>
      <c r="H27" s="10" t="inlineStr">
        <is>
          <t>0000000000 = (set at runtime)</t>
        </is>
      </c>
      <c r="I27" s="10" t="inlineStr"/>
      <c r="J27" s="10" t="inlineStr">
        <is>
          <t>[HARD — cascade enforces] PSGC cascade enforced at pick-time by `PSGC-Cascade.apc` — each child's `onfocus` filters its value set to children of the chosen parent, so an inconsistent pair is unrepresentable</t>
        </is>
      </c>
    </row>
    <row r="28">
      <c r="A28" s="7" t="inlineStr">
        <is>
          <t>hh_address</t>
        </is>
      </c>
      <c r="B28" s="8" t="inlineStr">
        <is>
          <t>Household Address</t>
        </is>
      </c>
      <c r="C28" s="8" t="inlineStr">
        <is>
          <t>Household Address</t>
        </is>
      </c>
      <c r="D28" s="8" t="inlineStr"/>
      <c r="E28" s="8" t="inlineStr"/>
      <c r="F28" s="8" t="inlineStr">
        <is>
          <t>Household Geographic Identification</t>
        </is>
      </c>
      <c r="G28" s="8" t="inlineStr">
        <is>
          <t>alpha 200</t>
        </is>
      </c>
      <c r="H28" s="8" t="inlineStr"/>
      <c r="I28" s="8" t="inlineStr"/>
      <c r="J28" s="8" t="inlineStr">
        <is>
          <t>[HARD] Required, non-blank</t>
        </is>
      </c>
    </row>
    <row r="29">
      <c r="A29" s="9" t="inlineStr">
        <is>
          <t>latitude</t>
        </is>
      </c>
      <c r="B29" s="10" t="inlineStr">
        <is>
          <t>GPS Latitude</t>
        </is>
      </c>
      <c r="C29" s="10" t="inlineStr">
        <is>
          <t>GPS Latitude</t>
        </is>
      </c>
      <c r="D29" s="10" t="inlineStr"/>
      <c r="E29" s="10" t="inlineStr"/>
      <c r="F29" s="10" t="inlineStr">
        <is>
          <t>Household Geographic Identification</t>
        </is>
      </c>
      <c r="G29" s="10" t="inlineStr">
        <is>
          <t>alpha 12</t>
        </is>
      </c>
      <c r="H29" s="10" t="inlineStr"/>
      <c r="I29" s="10" t="inlineStr"/>
      <c r="J29" s="10" t="inlineStr">
        <is>
          <t>[HARD] Alpha; after capture, `tonumber()` must be in `[4.5, 21.5]` (Philippine bounding box)
[HARD] When `ENUM_RESULT_FINAL_VISIT = Completed*`</t>
        </is>
      </c>
    </row>
    <row r="30">
      <c r="A30" s="7" t="inlineStr">
        <is>
          <t>longitude</t>
        </is>
      </c>
      <c r="B30" s="8" t="inlineStr">
        <is>
          <t>GPS Longitude</t>
        </is>
      </c>
      <c r="C30" s="8" t="inlineStr">
        <is>
          <t>GPS Longitude</t>
        </is>
      </c>
      <c r="D30" s="8" t="inlineStr"/>
      <c r="E30" s="8" t="inlineStr"/>
      <c r="F30" s="8" t="inlineStr">
        <is>
          <t>Household Geographic Identification</t>
        </is>
      </c>
      <c r="G30" s="8" t="inlineStr">
        <is>
          <t>alpha 12</t>
        </is>
      </c>
      <c r="H30" s="8" t="inlineStr"/>
      <c r="I30" s="8" t="inlineStr"/>
      <c r="J30" s="8" t="inlineStr">
        <is>
          <t>[HARD] After capture, `tonumber()` in `[116.5, 127.0]`
[HARD] When `ENUM_RESULT_FINAL_VISIT = Completed*`</t>
        </is>
      </c>
    </row>
    <row r="31">
      <c r="A31" s="9" t="inlineStr">
        <is>
          <t>hh_gps_altitude</t>
        </is>
      </c>
      <c r="B31" s="10" t="inlineStr">
        <is>
          <t>GPS Altitude (m)</t>
        </is>
      </c>
      <c r="C31" s="10" t="inlineStr">
        <is>
          <t>GPS Altitude (m)</t>
        </is>
      </c>
      <c r="D31" s="10" t="inlineStr"/>
      <c r="E31" s="10" t="inlineStr"/>
      <c r="F31" s="10" t="inlineStr">
        <is>
          <t>Household Geographic Identification</t>
        </is>
      </c>
      <c r="G31" s="10" t="inlineStr">
        <is>
          <t>alpha 10</t>
        </is>
      </c>
      <c r="H31" s="10" t="inlineStr"/>
      <c r="I31" s="10" t="inlineStr"/>
      <c r="J31" s="10" t="inlineStr">
        <is>
          <t>[SOFT] Alpha, metres; parsed for sanity when present</t>
        </is>
      </c>
    </row>
    <row r="32">
      <c r="A32" s="7" t="inlineStr">
        <is>
          <t>hh_gps_accuracy</t>
        </is>
      </c>
      <c r="B32" s="8" t="inlineStr">
        <is>
          <t>GPS Accuracy (m)</t>
        </is>
      </c>
      <c r="C32" s="8" t="inlineStr">
        <is>
          <t>GPS Accuracy (m)</t>
        </is>
      </c>
      <c r="D32" s="8" t="inlineStr"/>
      <c r="E32" s="8" t="inlineStr"/>
      <c r="F32" s="8" t="inlineStr">
        <is>
          <t>Household Geographic Identification</t>
        </is>
      </c>
      <c r="G32" s="8" t="inlineStr">
        <is>
          <t>numeric 3</t>
        </is>
      </c>
      <c r="H32" s="8" t="inlineStr"/>
      <c r="I32" s="8" t="inlineStr"/>
      <c r="J32" s="8" t="inlineStr">
        <is>
          <t>[SOFT] Numeric, metres. Warn if `&gt; 30` — re-read outdoors recommended</t>
        </is>
      </c>
    </row>
    <row r="33">
      <c r="A33" s="9" t="inlineStr">
        <is>
          <t>hh_gps_satellites</t>
        </is>
      </c>
      <c r="B33" s="10" t="inlineStr">
        <is>
          <t>GPS Satellites</t>
        </is>
      </c>
      <c r="C33" s="10" t="inlineStr">
        <is>
          <t>GPS Satellites</t>
        </is>
      </c>
      <c r="D33" s="10" t="inlineStr"/>
      <c r="E33" s="10" t="inlineStr"/>
      <c r="F33" s="10" t="inlineStr">
        <is>
          <t>Household Geographic Identification</t>
        </is>
      </c>
      <c r="G33" s="10" t="inlineStr">
        <is>
          <t>numeric 2</t>
        </is>
      </c>
      <c r="H33" s="10" t="inlineStr"/>
      <c r="I33" s="10" t="inlineStr"/>
      <c r="J33" s="10" t="inlineStr">
        <is>
          <t>[SOFT] Numeric. Warn if `&lt; 4` (fix is below minimum for reliable lat/lon)</t>
        </is>
      </c>
    </row>
    <row r="34">
      <c r="A34" s="7" t="inlineStr">
        <is>
          <t>hh_gps_readtime</t>
        </is>
      </c>
      <c r="B34" s="8" t="inlineStr">
        <is>
          <t>GPS Read Time (UTC)</t>
        </is>
      </c>
      <c r="C34" s="8" t="inlineStr">
        <is>
          <t>GPS Read Time (UTC)</t>
        </is>
      </c>
      <c r="D34" s="8" t="inlineStr"/>
      <c r="E34" s="8" t="inlineStr"/>
      <c r="F34" s="8" t="inlineStr">
        <is>
          <t>Household Geographic Identification</t>
        </is>
      </c>
      <c r="G34" s="8" t="inlineStr">
        <is>
          <t>alpha 19</t>
        </is>
      </c>
      <c r="H34" s="8" t="inlineStr"/>
      <c r="I34" s="8" t="inlineStr"/>
      <c r="J34" s="8" t="inlineStr">
        <is>
          <t>[SOFT] Alpha UTC timestamp; must parse and be within `±24 h` of `DATE_FINAL_VISIT`</t>
        </is>
      </c>
    </row>
    <row r="35">
      <c r="A35" s="9" t="inlineStr">
        <is>
          <t>verification_photo_image</t>
        </is>
      </c>
      <c r="B35" s="10" t="inlineStr">
        <is>
          <t>Verification Photo (binary; syncs to CSWeb)</t>
        </is>
      </c>
      <c r="C35" s="10" t="inlineStr"/>
      <c r="D35" s="10" t="inlineStr"/>
      <c r="E35" s="10" t="inlineStr"/>
      <c r="F35" s="10" t="inlineStr">
        <is>
          <t>Case Verification Photo</t>
        </is>
      </c>
      <c r="G35" s="10" t="inlineStr">
        <is>
          <t>image</t>
        </is>
      </c>
      <c r="H35" s="10" t="inlineStr"/>
      <c r="I35" s="10" t="inlineStr"/>
      <c r="J35" s="10" t="inlineStr"/>
    </row>
    <row r="36">
      <c r="A36" s="7" t="inlineStr">
        <is>
          <t>verification_photo_filename</t>
        </is>
      </c>
      <c r="B36" s="8" t="inlineStr">
        <is>
          <t>Verification Photo Filename</t>
        </is>
      </c>
      <c r="C36" s="8" t="inlineStr">
        <is>
          <t>Verification Photo Filename</t>
        </is>
      </c>
      <c r="D36" s="8" t="inlineStr"/>
      <c r="E36" s="8" t="inlineStr"/>
      <c r="F36" s="8" t="inlineStr">
        <is>
          <t>Case Verification Photo</t>
        </is>
      </c>
      <c r="G36" s="8" t="inlineStr">
        <is>
          <t>alpha 120</t>
        </is>
      </c>
      <c r="H36" s="8" t="inlineStr"/>
      <c r="I36" s="8" t="inlineStr"/>
      <c r="J36" s="8" t="inlineStr">
        <is>
          <t>[HARD] Non-blank when `ENUM_RESULT_FINAL_VISIT = Completed*`; 120-char alpha populated by `TakeVerificationPhoto()`</t>
        </is>
      </c>
    </row>
    <row r="37">
      <c r="A37" s="9" t="inlineStr">
        <is>
          <t>capture_verification_photo</t>
        </is>
      </c>
      <c r="B37" s="10" t="inlineStr">
        <is>
          <t>Take Verification Photo</t>
        </is>
      </c>
      <c r="C37" s="10" t="inlineStr">
        <is>
          <t>Take Verification Photo</t>
        </is>
      </c>
      <c r="D37" s="10" t="inlineStr"/>
      <c r="E37" s="10" t="inlineStr"/>
      <c r="F37" s="10" t="inlineStr">
        <is>
          <t>Case Verification Photo</t>
        </is>
      </c>
      <c r="G37" s="10" t="inlineStr">
        <is>
          <t>numeric 1</t>
        </is>
      </c>
      <c r="H37" s="10" t="inlineStr">
        <is>
          <t>1 = Take verification photo</t>
        </is>
      </c>
      <c r="I37" s="10" t="inlineStr"/>
      <c r="J37" s="10" t="inlineStr">
        <is>
          <t>[—] Trigger; auto-resets after each successful capture</t>
        </is>
      </c>
    </row>
    <row r="38">
      <c r="A38" s="7" t="inlineStr">
        <is>
          <t>q1_is_hh_head</t>
        </is>
      </c>
      <c r="B38" s="8" t="inlineStr">
        <is>
          <t>1. Before we begin, to confirm, are you the household head?</t>
        </is>
      </c>
      <c r="C38" s="8" t="inlineStr">
        <is>
          <t>Before proceeding to the survey proper, we would like to ask you some personal information. 1. Before we begin, to confirm, are you the household head? Note to enumerator [do not read]: This section is for the Respondent Profile. The respondent should be the main-decision maker of the household. Ask all questions in this section unless a skip rule applies.</t>
        </is>
      </c>
      <c r="D38" s="8" t="inlineStr"/>
      <c r="E38" s="8">
        <f> No → Continue to Q2 (SOFT warn to enumerator: "Respondent is not the HH head — confirm they are a household decision-maker per sampling protocol")</f>
        <v/>
      </c>
      <c r="F38" s="8" t="inlineStr">
        <is>
          <t>A. Introduction and Informed Consent</t>
        </is>
      </c>
      <c r="G38" s="8" t="inlineStr">
        <is>
          <t>numeric 1</t>
        </is>
      </c>
      <c r="H38" s="8" t="inlineStr">
        <is>
          <t>1 = Yes
2 = No</t>
        </is>
      </c>
      <c r="I38" s="8" t="inlineStr"/>
      <c r="J38" s="8" t="inlineStr">
        <is>
          <t>[HARD + SOFT] Required, ∈ {Yes, No}; if No → SOFT warn "Confirm respondent is HH decision-maker per protocol"</t>
        </is>
      </c>
    </row>
    <row r="39">
      <c r="A39" s="9" t="inlineStr">
        <is>
          <t>respondent_name</t>
        </is>
      </c>
      <c r="B39" s="10" t="inlineStr">
        <is>
          <t>Name: (Last Name, First Name, MI, Extension)</t>
        </is>
      </c>
      <c r="C39" s="10" t="inlineStr">
        <is>
          <t>Name: (Last Name, First Name, MI, Extension)</t>
        </is>
      </c>
      <c r="D39" s="10" t="inlineStr"/>
      <c r="E39" s="10" t="inlineStr"/>
      <c r="F39" s="10" t="inlineStr">
        <is>
          <t>B. Respondent Profile</t>
        </is>
      </c>
      <c r="G39" s="10" t="inlineStr">
        <is>
          <t>alpha 120</t>
        </is>
      </c>
      <c r="H39" s="10" t="inlineStr"/>
      <c r="I39" s="10" t="inlineStr"/>
      <c r="J39" s="10" t="inlineStr">
        <is>
          <t>[HARD] Required, non-blank</t>
        </is>
      </c>
    </row>
    <row r="40">
      <c r="A40" s="7" t="inlineStr">
        <is>
          <t>q2_birth_month</t>
        </is>
      </c>
      <c r="B40" s="8" t="inlineStr">
        <is>
          <t>2. In what month were you born?</t>
        </is>
      </c>
      <c r="C40" s="8" t="inlineStr">
        <is>
          <t>2. In what month were you born?</t>
        </is>
      </c>
      <c r="D40" s="8" t="inlineStr"/>
      <c r="E40" s="8" t="inlineStr"/>
      <c r="F40" s="8" t="inlineStr">
        <is>
          <t>B. Respondent Profile</t>
        </is>
      </c>
      <c r="G40" s="8" t="inlineStr">
        <is>
          <t>numeric 2</t>
        </is>
      </c>
      <c r="H40" s="8" t="inlineStr"/>
      <c r="I40" s="8" t="inlineStr"/>
      <c r="J40" s="8" t="inlineStr">
        <is>
          <t>[HARD] `1 ≤ m ≤ 12`</t>
        </is>
      </c>
    </row>
    <row r="41">
      <c r="A41" s="9" t="inlineStr">
        <is>
          <t>q2_birth_year</t>
        </is>
      </c>
      <c r="B41" s="10" t="inlineStr">
        <is>
          <t>2. In what year were you born?</t>
        </is>
      </c>
      <c r="C41" s="10" t="inlineStr">
        <is>
          <t>2. In what year were you born?</t>
        </is>
      </c>
      <c r="D41" s="10" t="inlineStr"/>
      <c r="E41" s="10" t="inlineStr"/>
      <c r="F41" s="10" t="inlineStr">
        <is>
          <t>B. Respondent Profile</t>
        </is>
      </c>
      <c r="G41" s="10" t="inlineStr">
        <is>
          <t>numeric 4</t>
        </is>
      </c>
      <c r="H41" s="10" t="inlineStr"/>
      <c r="I41" s="10" t="inlineStr"/>
      <c r="J41" s="10" t="inlineStr">
        <is>
          <t>[HARD] `1900 ≤ y ≤ current_year`</t>
        </is>
      </c>
    </row>
    <row r="42">
      <c r="A42" s="7" t="inlineStr">
        <is>
          <t>q2_1_age</t>
        </is>
      </c>
      <c r="B42" s="8" t="inlineStr">
        <is>
          <t>2.1 Just to confirm, how old are you as of your last birthday (in years)?</t>
        </is>
      </c>
      <c r="C42" s="8" t="inlineStr">
        <is>
          <t>2.1 Just to confirm, how old are you as of your last birthday (in years)?</t>
        </is>
      </c>
      <c r="D42" s="8" t="inlineStr"/>
      <c r="E42" s="8" t="inlineStr"/>
      <c r="F42" s="8" t="inlineStr">
        <is>
          <t>B. Respondent Profile</t>
        </is>
      </c>
      <c r="G42" s="8" t="inlineStr">
        <is>
          <t>numeric 3</t>
        </is>
      </c>
      <c r="H42" s="8" t="inlineStr"/>
      <c r="I42" s="8" t="inlineStr"/>
      <c r="J42" s="8" t="inlineStr">
        <is>
          <t>[HARD] `0 ≤ age ≤ 120`</t>
        </is>
      </c>
    </row>
    <row r="43">
      <c r="A43" s="9" t="inlineStr">
        <is>
          <t>q3_sex</t>
        </is>
      </c>
      <c r="B43" s="10" t="inlineStr">
        <is>
          <t>3. What is your sex at birth?</t>
        </is>
      </c>
      <c r="C43" s="10" t="inlineStr">
        <is>
          <t>3. What is your sex at birth?</t>
        </is>
      </c>
      <c r="D43" s="10" t="inlineStr"/>
      <c r="E43" s="10" t="inlineStr"/>
      <c r="F43" s="10" t="inlineStr">
        <is>
          <t>B. Respondent Profile</t>
        </is>
      </c>
      <c r="G43" s="10" t="inlineStr">
        <is>
          <t>numeric 1</t>
        </is>
      </c>
      <c r="H43" s="10" t="inlineStr">
        <is>
          <t>1 = Male
2 = Female</t>
        </is>
      </c>
      <c r="I43" s="10" t="inlineStr"/>
      <c r="J43" s="10" t="inlineStr">
        <is>
          <t>[HARD] Required, ∈ {Male, Female, Other}</t>
        </is>
      </c>
    </row>
    <row r="44">
      <c r="A44" s="7" t="inlineStr">
        <is>
          <t>q4_lgbtqia</t>
        </is>
      </c>
      <c r="B44" s="8" t="inlineStr">
        <is>
          <t>4. Are you part of the LGBTQIA+ community? (e.g., gay, lesbian, bisexual, etc.). It is fine if you are not comfortable answering.</t>
        </is>
      </c>
      <c r="C44" s="8" t="inlineStr">
        <is>
          <t>4. Are you part of the LGBTQIA+ community? (e.g., gay, lesbian, bisexual, etc.). It is fine if you are not comfortable answering. READ OPTIONS OUT LOUD. SELECT ONE ANSWER ONLY.</t>
        </is>
      </c>
      <c r="D44" s="8" t="inlineStr"/>
      <c r="E44" s="8" t="inlineStr"/>
      <c r="F44" s="8" t="inlineStr">
        <is>
          <t>B. Respondent Profile</t>
        </is>
      </c>
      <c r="G44" s="8" t="inlineStr">
        <is>
          <t>numeric 1</t>
        </is>
      </c>
      <c r="H44" s="8" t="inlineStr">
        <is>
          <t>1 = Yes
2 = No
3 = Not Comfortable to Answer</t>
        </is>
      </c>
      <c r="I44" s="8" t="inlineStr">
        <is>
          <t>4 = Don't Know
5 = Refused to answer</t>
        </is>
      </c>
      <c r="J44" s="8" t="inlineStr">
        <is>
          <t>[HARD] Required, ∈ value set</t>
        </is>
      </c>
    </row>
    <row r="45">
      <c r="A45" s="9" t="inlineStr">
        <is>
          <t>q5_group</t>
        </is>
      </c>
      <c r="B45" s="10" t="inlineStr">
        <is>
          <t>5. Which group do you identify with? It is fine if you are not comfortable answering.</t>
        </is>
      </c>
      <c r="C45" s="10" t="inlineStr">
        <is>
          <t>5. Which group do you identify with? It is fine if you are not comfortable answering. READ OPTIONS OUT LOUD. SELECT ONE ANSWER ONLY.</t>
        </is>
      </c>
      <c r="D45" s="10" t="inlineStr"/>
      <c r="E45" s="10" t="inlineStr"/>
      <c r="F45" s="10" t="inlineStr">
        <is>
          <t>B. Respondent Profile</t>
        </is>
      </c>
      <c r="G45" s="10" t="inlineStr">
        <is>
          <t>numeric 1</t>
        </is>
      </c>
      <c r="H45" s="10" t="inlineStr">
        <is>
          <t>1 = Lesbian
2 = Gay
3 = Bisexual
4 = Transgender
5 = Queer
6 = Intersex
7 = Asexual
8 = Other (specify)</t>
        </is>
      </c>
      <c r="I45" s="10" t="inlineStr"/>
      <c r="J45" s="10" t="inlineStr"/>
    </row>
    <row r="46">
      <c r="A46" s="7" t="inlineStr">
        <is>
          <t>q5_group_other_txt</t>
        </is>
      </c>
      <c r="B46" s="8" t="inlineStr">
        <is>
          <t>5. Group — Other (specify) text</t>
        </is>
      </c>
      <c r="C46" s="8" t="inlineStr">
        <is>
          <t>5. Group — Other (specify) text</t>
        </is>
      </c>
      <c r="D46" s="8" t="inlineStr"/>
      <c r="E46" s="8" t="inlineStr"/>
      <c r="F46" s="8" t="inlineStr">
        <is>
          <t>B. Respondent Profile</t>
        </is>
      </c>
      <c r="G46" s="8" t="inlineStr">
        <is>
          <t>alpha 120</t>
        </is>
      </c>
      <c r="H46" s="8" t="inlineStr"/>
      <c r="I46" s="8" t="inlineStr"/>
      <c r="J46" s="8" t="inlineStr"/>
    </row>
    <row r="47">
      <c r="A47" s="9" t="inlineStr">
        <is>
          <t>q6_civil_status</t>
        </is>
      </c>
      <c r="B47" s="10" t="inlineStr">
        <is>
          <t>6. What is your civil status?</t>
        </is>
      </c>
      <c r="C47" s="10" t="inlineStr">
        <is>
          <t>6. What is your civil status? READ OPTIONS OUT LOUD. SELECT ONE ANSWER ONLY.</t>
        </is>
      </c>
      <c r="D47" s="10" t="inlineStr"/>
      <c r="E47" s="10" t="inlineStr"/>
      <c r="F47" s="10" t="inlineStr">
        <is>
          <t>B. Respondent Profile</t>
        </is>
      </c>
      <c r="G47" s="10" t="inlineStr">
        <is>
          <t>numeric 1</t>
        </is>
      </c>
      <c r="H47" s="10" t="inlineStr">
        <is>
          <t>1 = Single / Never Married
2 = Married
3 = Common law / Live-in
4 = Widowed
5 = Divorced
6 = Separated
7 = Annulled
8 = Not reported</t>
        </is>
      </c>
      <c r="I47" s="10" t="inlineStr"/>
      <c r="J47" s="10" t="inlineStr">
        <is>
          <t>[HARD] Required, ∈ value set</t>
        </is>
      </c>
    </row>
    <row r="48">
      <c r="A48" s="7" t="inlineStr">
        <is>
          <t>q7_is_pwd</t>
        </is>
      </c>
      <c r="B48" s="8" t="inlineStr">
        <is>
          <t>7. Do you identify as a person with a disability?</t>
        </is>
      </c>
      <c r="C48" s="8" t="inlineStr">
        <is>
          <t>7. Do you identify as a person with a disability? DO NOT READ OPTIONS OUT LOUD. SELECT ONE ANSWER ONLY.</t>
        </is>
      </c>
      <c r="D48" s="8" t="inlineStr"/>
      <c r="E48" s="8">
        <f> No → Q11 (skip Q8–Q10 disability detail)</f>
        <v/>
      </c>
      <c r="F48" s="8" t="inlineStr">
        <is>
          <t>B. Respondent Profile</t>
        </is>
      </c>
      <c r="G48" s="8" t="inlineStr">
        <is>
          <t>numeric 1</t>
        </is>
      </c>
      <c r="H48" s="8" t="inlineStr">
        <is>
          <t>1 = Yes
2 = No</t>
        </is>
      </c>
      <c r="I48" s="8" t="inlineStr"/>
      <c r="J48" s="8" t="inlineStr">
        <is>
          <t>[HARD] Required, ∈ {Yes, No}</t>
        </is>
      </c>
    </row>
    <row r="49">
      <c r="A49" s="9" t="inlineStr">
        <is>
          <t>q8_specify_disability</t>
        </is>
      </c>
      <c r="B49" s="10" t="inlineStr">
        <is>
          <t>8. Would you like to specify the type of disability?</t>
        </is>
      </c>
      <c r="C49" s="10" t="inlineStr">
        <is>
          <t>8. Would you like to specify the type of disability?</t>
        </is>
      </c>
      <c r="D49" s="10" t="inlineStr">
        <is>
          <t>not asked when Q7 IS_PWD = No</t>
        </is>
      </c>
      <c r="E49" s="10" t="inlineStr"/>
      <c r="F49" s="10" t="inlineStr">
        <is>
          <t>B. Respondent Profile</t>
        </is>
      </c>
      <c r="G49" s="10" t="inlineStr">
        <is>
          <t>numeric 1</t>
        </is>
      </c>
      <c r="H49" s="10" t="inlineStr">
        <is>
          <t>1 = Yes
2 = No</t>
        </is>
      </c>
      <c r="I49" s="10" t="inlineStr"/>
      <c r="J49" s="10" t="inlineStr"/>
    </row>
    <row r="50">
      <c r="A50" s="7" t="inlineStr">
        <is>
          <t>q9_pwd_card</t>
        </is>
      </c>
      <c r="B50" s="8" t="inlineStr">
        <is>
          <t>9. May we view your PWD Identification Card?</t>
        </is>
      </c>
      <c r="C50" s="8" t="inlineStr">
        <is>
          <t>9. May we view your PWD Identification Card?</t>
        </is>
      </c>
      <c r="D50" s="8" t="inlineStr"/>
      <c r="E50" s="8">
        <f> No → Q11 (skip Q10 — disability type only captured when card verified, same pattern as F3 Q14)</f>
        <v/>
      </c>
      <c r="F50" s="8" t="inlineStr">
        <is>
          <t>B. Respondent Profile</t>
        </is>
      </c>
      <c r="G50" s="8" t="inlineStr">
        <is>
          <t>numeric 1</t>
        </is>
      </c>
      <c r="H50" s="8" t="inlineStr">
        <is>
          <t>1 = Yes (card was presented and verified)
2 = No (card not available at the time of interview)</t>
        </is>
      </c>
      <c r="I50" s="8" t="inlineStr">
        <is>
          <t>3 = Respondent refused to present card</t>
        </is>
      </c>
      <c r="J50" s="8" t="inlineStr"/>
    </row>
    <row r="51">
      <c r="A51" s="9" t="inlineStr">
        <is>
          <t>q10_disability_type</t>
        </is>
      </c>
      <c r="B51" s="10" t="inlineStr">
        <is>
          <t>10. Based on the presented PWD Identification Card, what type of disability is indicated?</t>
        </is>
      </c>
      <c r="C51" s="10" t="inlineStr">
        <is>
          <t>10. Based on the presented PWD Identification Card, what type of disability is indicated? Enumerator Instruction (DO NOT READ ALOUD): If the PWD Identification Card is presented, record the type of disability as indicated on the card. Do not ask the respondent directly.</t>
        </is>
      </c>
      <c r="D51" s="10" t="inlineStr">
        <is>
          <t>not asked when Q7 IS_PWD = No
not asked when Q9 PWD_CARD = No</t>
        </is>
      </c>
      <c r="E51" s="10" t="inlineStr"/>
      <c r="F51" s="10" t="inlineStr">
        <is>
          <t>B. Respondent Profile</t>
        </is>
      </c>
      <c r="G51" s="10" t="inlineStr">
        <is>
          <t>numeric 1</t>
        </is>
      </c>
      <c r="H51" s="10" t="inlineStr">
        <is>
          <t>1 = Physical disability (Orthopedic)
2 = Visual disability
3 = Hearing disability
4 = Speech impairment
5 = Intellectual disability
6 = Psychosocial disability
7 = Multiple disabilities
8 = Other disability (specify)</t>
        </is>
      </c>
      <c r="I51" s="10" t="inlineStr"/>
      <c r="J51" s="10" t="inlineStr"/>
    </row>
    <row r="52">
      <c r="A52" s="7" t="inlineStr">
        <is>
          <t>q10_disability_other_txt</t>
        </is>
      </c>
      <c r="B52" s="8" t="inlineStr">
        <is>
          <t>10. Disability — Other (specify) text</t>
        </is>
      </c>
      <c r="C52" s="8" t="inlineStr">
        <is>
          <t>10. Disability — Other (specify) text</t>
        </is>
      </c>
      <c r="D52" s="8" t="inlineStr">
        <is>
          <t>not asked when Q7 IS_PWD = No
not asked when Q9 PWD_CARD = No</t>
        </is>
      </c>
      <c r="E52" s="8" t="inlineStr"/>
      <c r="F52" s="8" t="inlineStr">
        <is>
          <t>B. Respondent Profile</t>
        </is>
      </c>
      <c r="G52" s="8" t="inlineStr">
        <is>
          <t>alpha 120</t>
        </is>
      </c>
      <c r="H52" s="8" t="inlineStr"/>
      <c r="I52" s="8" t="inlineStr"/>
      <c r="J52" s="8" t="inlineStr"/>
    </row>
    <row r="53">
      <c r="A53" s="9" t="inlineStr">
        <is>
          <t>q11_education</t>
        </is>
      </c>
      <c r="B53" s="10" t="inlineStr">
        <is>
          <t>11. What is the highest level of education you have attained?</t>
        </is>
      </c>
      <c r="C53" s="10" t="inlineStr">
        <is>
          <t>11. What is the highest level of education you have attained? DO NOT READ OPTIONS OUT LOUD. SELECT ONE ANSWER ONLY.</t>
        </is>
      </c>
      <c r="D53" s="10" t="inlineStr"/>
      <c r="E53" s="10" t="inlineStr"/>
      <c r="F53" s="10" t="inlineStr">
        <is>
          <t>B. Respondent Profile</t>
        </is>
      </c>
      <c r="G53" s="10" t="inlineStr">
        <is>
          <t>numeric 2</t>
        </is>
      </c>
      <c r="H53" s="10" t="inlineStr">
        <is>
          <t>01 = Early Childhood Education (Pre-school)
02 = Primary Education (Grade 1 to 6)
03 = Lower Secondary Education (Grade 7 to 10)
04 = Upper Secondary Education (Grade 11 to 12)
05 = Post-Secondary Non-Tertiary Education (including Technical and Vocational degrees with a certificate)
06 = Short-Cycle Tertiary Education or Equivalent (including Technical and Vocational degrees with a diploma)
07 = Bachelor Level Education or Equivalent
08 = Master Level Education or Equivalent
09 = Doctoral Level Education or Equivalent
10 = No schooling
11 = Other (specify)</t>
        </is>
      </c>
      <c r="I53" s="10" t="inlineStr">
        <is>
          <t>98 = I don't know
99 = Not applicable</t>
        </is>
      </c>
      <c r="J53" s="10" t="inlineStr">
        <is>
          <t>[HARD] Required, ∈ value set</t>
        </is>
      </c>
    </row>
    <row r="54">
      <c r="A54" s="7" t="inlineStr">
        <is>
          <t>q11_education_other_txt</t>
        </is>
      </c>
      <c r="B54" s="8" t="inlineStr">
        <is>
          <t>11. Education — Other (specify) text</t>
        </is>
      </c>
      <c r="C54" s="8" t="inlineStr">
        <is>
          <t>11. Education — Other (specify) text</t>
        </is>
      </c>
      <c r="D54" s="8" t="inlineStr"/>
      <c r="E54" s="8" t="inlineStr"/>
      <c r="F54" s="8" t="inlineStr">
        <is>
          <t>B. Respondent Profile</t>
        </is>
      </c>
      <c r="G54" s="8" t="inlineStr">
        <is>
          <t>alpha 120</t>
        </is>
      </c>
      <c r="H54" s="8" t="inlineStr"/>
      <c r="I54" s="8" t="inlineStr"/>
      <c r="J54" s="8" t="inlineStr"/>
    </row>
    <row r="55">
      <c r="A55" s="9" t="inlineStr">
        <is>
          <t>q12_employment</t>
        </is>
      </c>
      <c r="B55" s="10" t="inlineStr">
        <is>
          <t>12. What is your employment status?</t>
        </is>
      </c>
      <c r="C55" s="10" t="inlineStr">
        <is>
          <t>12. What is your employment status? If the respondent is studying - please put “No employment - not looking for work”. READ OPTIONS OUT LOUD. SELECT ONE ANSWER ONLY.</t>
        </is>
      </c>
      <c r="D55" s="10" t="inlineStr"/>
      <c r="E55" s="10" t="inlineStr"/>
      <c r="F55" s="10" t="inlineStr">
        <is>
          <t>B. Respondent Profile</t>
        </is>
      </c>
      <c r="G55" s="10" t="inlineStr">
        <is>
          <t>numeric 1</t>
        </is>
      </c>
      <c r="H55" s="10" t="inlineStr">
        <is>
          <t>1 = Has a permanent job/ own business
2 = Has a short-term, seasonal, casual job/business
3 = Worked on different jobs day to day per week
4 = Unemployed and looking for work
5 = Unemployed and not looking for work
6 = Retired</t>
        </is>
      </c>
      <c r="I55" s="10" t="inlineStr">
        <is>
          <t>7 = I don't know
9 = Not applicable</t>
        </is>
      </c>
      <c r="J55" s="10" t="inlineStr">
        <is>
          <t>[HARD] Required, ∈ value set</t>
        </is>
      </c>
    </row>
    <row r="56">
      <c r="A56" s="7" t="inlineStr">
        <is>
          <t>q13_income_source</t>
        </is>
      </c>
      <c r="B56" s="8" t="inlineStr">
        <is>
          <t>13. What is your main source of income?</t>
        </is>
      </c>
      <c r="C56" s="8" t="inlineStr">
        <is>
          <t>13. What is your main source of income? READ OPTIONS OUT LOUD. SELECT ONE ANSWER ONLY. IF MORE THAN ONE, ASK FOR THE MAIN SOURCE.</t>
        </is>
      </c>
      <c r="D56" s="8" t="inlineStr"/>
      <c r="E56" s="8" t="inlineStr"/>
      <c r="F56" s="8" t="inlineStr">
        <is>
          <t>B. Respondent Profile</t>
        </is>
      </c>
      <c r="G56" s="8" t="inlineStr">
        <is>
          <t>numeric 2</t>
        </is>
      </c>
      <c r="H56" s="8" t="inlineStr">
        <is>
          <t>01 = Working for private company
02 = Working for private household
03 = Working for government
04 = Worked with pay in own family business or farm
05 = Self-employed without any paid employee
06 = Employer in own family business
07 = Worked without pay in own family business or farm
08 = Pension
09 = Unemployed and looking for work
10 = Unemployed and not looking for work</t>
        </is>
      </c>
      <c r="I56" s="8" t="inlineStr">
        <is>
          <t>99 = I don't know</t>
        </is>
      </c>
      <c r="J56" s="8" t="inlineStr">
        <is>
          <t>[HARD] Required, non-blank</t>
        </is>
      </c>
    </row>
    <row r="57">
      <c r="A57" s="9" t="inlineStr">
        <is>
          <t>q14_ip_member</t>
        </is>
      </c>
      <c r="B57" s="10" t="inlineStr">
        <is>
          <t>14. Are you a member of Indigenous People (IP) community, like the Igorot, Lumad, Mangyans, etc.?</t>
        </is>
      </c>
      <c r="C57" s="10" t="inlineStr">
        <is>
          <t>14. Are you a member of Indigenous People (IP) community, like the Igorot, Lumad, Mangyans, etc.?</t>
        </is>
      </c>
      <c r="D57" s="10" t="inlineStr">
        <is>
          <t>not asked when Q9 PWD_CARD = No</t>
        </is>
      </c>
      <c r="E57" s="10">
        <f> No → Q16 (skip Q15 IP group specify)</f>
        <v/>
      </c>
      <c r="F57" s="10" t="inlineStr">
        <is>
          <t>B. Respondent Profile</t>
        </is>
      </c>
      <c r="G57" s="10" t="inlineStr">
        <is>
          <t>numeric 1</t>
        </is>
      </c>
      <c r="H57" s="10" t="inlineStr">
        <is>
          <t>1 = Yes
2 = No</t>
        </is>
      </c>
      <c r="I57" s="10" t="inlineStr"/>
      <c r="J57" s="10" t="inlineStr">
        <is>
          <t>[HARD] Required, ∈ {Yes, No}</t>
        </is>
      </c>
    </row>
    <row r="58">
      <c r="A58" s="7" t="inlineStr">
        <is>
          <t>q15_ip_group</t>
        </is>
      </c>
      <c r="B58" s="8" t="inlineStr">
        <is>
          <t>15. If yes, which group?</t>
        </is>
      </c>
      <c r="C58" s="8" t="inlineStr">
        <is>
          <t>15. If yes, which group? DO NOT READ OPTIONS OUT LOUD. SELECT ONE ANSWER ONLY.</t>
        </is>
      </c>
      <c r="D58" s="8" t="inlineStr">
        <is>
          <t>not asked when Q14 IP_MEMBER = No</t>
        </is>
      </c>
      <c r="E58" s="8" t="inlineStr"/>
      <c r="F58" s="8" t="inlineStr">
        <is>
          <t>B. Respondent Profile</t>
        </is>
      </c>
      <c r="G58" s="8" t="inlineStr">
        <is>
          <t>alpha 120</t>
        </is>
      </c>
      <c r="H58" s="8" t="inlineStr"/>
      <c r="I58" s="8" t="inlineStr"/>
      <c r="J58" s="8" t="inlineStr">
        <is>
          <t>[HARD] Required when enabled, non-blank (pending coded list — see §5 #1)</t>
        </is>
      </c>
    </row>
    <row r="59">
      <c r="A59" s="9" t="inlineStr">
        <is>
          <t>q16_4ps</t>
        </is>
      </c>
      <c r="B59" s="10" t="inlineStr">
        <is>
          <t>16. Is your household a beneficiary of the Pantawid Pamilyang Pilipino Program (4Ps)?</t>
        </is>
      </c>
      <c r="C59" s="10" t="inlineStr">
        <is>
          <t>16. Is your household a beneficiary of the Pantawid Pamilyang Pilipino Program (4Ps)?</t>
        </is>
      </c>
      <c r="D59" s="10" t="inlineStr"/>
      <c r="E59" s="10" t="inlineStr"/>
      <c r="F59" s="10" t="inlineStr">
        <is>
          <t>B. Respondent Profile</t>
        </is>
      </c>
      <c r="G59" s="10" t="inlineStr">
        <is>
          <t>numeric 1</t>
        </is>
      </c>
      <c r="H59" s="10" t="inlineStr">
        <is>
          <t>1 = Yes
2 = No</t>
        </is>
      </c>
      <c r="I59" s="10" t="inlineStr"/>
      <c r="J59" s="10" t="inlineStr">
        <is>
          <t>[HARD] Required, ∈ {Yes, No}</t>
        </is>
      </c>
    </row>
    <row r="60">
      <c r="A60" s="7" t="inlineStr">
        <is>
          <t>q17_decision_maker</t>
        </is>
      </c>
      <c r="B60" s="8" t="inlineStr">
        <is>
          <t>17. Who takes the most responsibility for making the decisions regarding healthcare in your household?</t>
        </is>
      </c>
      <c r="C60" s="8" t="inlineStr">
        <is>
          <t>17. Who takes the most responsibility for making the decisions regarding healthcare in your household? READ OPTIONS OUT LOUD. SELECT ONE ANSWER ONLY.</t>
        </is>
      </c>
      <c r="D60" s="8" t="inlineStr"/>
      <c r="E60" s="8" t="inlineStr"/>
      <c r="F60" s="8" t="inlineStr">
        <is>
          <t>B. Respondent Profile</t>
        </is>
      </c>
      <c r="G60" s="8" t="inlineStr">
        <is>
          <t>numeric 2</t>
        </is>
      </c>
      <c r="H60" s="8" t="inlineStr">
        <is>
          <t>01 = Me (respondent)
02 = My father
03 = My mother
04 = My parents
05 = My spouse/partner
06 = My spouse/partner and I
07 = My sibling
08 = My grandfather
09 = My grandmother
10 = My uncle
11 = My aunt
12 = Other (specify)</t>
        </is>
      </c>
      <c r="I60" s="8" t="inlineStr"/>
      <c r="J60" s="8" t="inlineStr">
        <is>
          <t>[HARD] Required, ∈ value set</t>
        </is>
      </c>
    </row>
    <row r="61">
      <c r="A61" s="9" t="inlineStr">
        <is>
          <t>q17_decision_maker_other_txt</t>
        </is>
      </c>
      <c r="B61" s="10" t="inlineStr">
        <is>
          <t>17. Decision-maker — Other (specify) text</t>
        </is>
      </c>
      <c r="C61" s="10" t="inlineStr">
        <is>
          <t>17. Decision-maker — Other (specify) text</t>
        </is>
      </c>
      <c r="D61" s="10" t="inlineStr"/>
      <c r="E61" s="10" t="inlineStr"/>
      <c r="F61" s="10" t="inlineStr">
        <is>
          <t>B. Respondent Profile</t>
        </is>
      </c>
      <c r="G61" s="10" t="inlineStr">
        <is>
          <t>alpha 120</t>
        </is>
      </c>
      <c r="H61" s="10" t="inlineStr"/>
      <c r="I61" s="10" t="inlineStr"/>
      <c r="J61" s="10" t="inlineStr"/>
    </row>
    <row r="62">
      <c r="A62" s="7" t="inlineStr">
        <is>
          <t>q18_income_amount</t>
        </is>
      </c>
      <c r="B62" s="8" t="inlineStr">
        <is>
          <t>18. In the past 6 months, what is your average monthly household income? Approximate amount (Philippine pesos). (Enter -98 if the respondent doesn't know, or -99 if the respondent refuses to answer — do not read these codes aloud.)</t>
        </is>
      </c>
      <c r="C62" s="8" t="inlineStr">
        <is>
          <t>18. In the past 6 months, what is your average monthly household income? Approximate amount (Philippine pesos). (Enter -98 if the respondent doesn't know, or -99 if the respondent refuses to answer — do not read these codes aloud.) Enumerator note: Tick the income category that corresponds to the respondent’s approximate household income.</t>
        </is>
      </c>
      <c r="D62" s="8" t="inlineStr"/>
      <c r="E62" s="8" t="inlineStr"/>
      <c r="F62" s="8" t="inlineStr">
        <is>
          <t>B. Respondent Profile</t>
        </is>
      </c>
      <c r="G62" s="8" t="inlineStr">
        <is>
          <t>numeric 9</t>
        </is>
      </c>
      <c r="H62" s="8" t="inlineStr"/>
      <c r="I62" s="8" t="inlineStr"/>
      <c r="J62" s="8" t="inlineStr">
        <is>
          <t>[HARD] `0 ≤ amt ≤ 99,999,999`</t>
        </is>
      </c>
    </row>
    <row r="63">
      <c r="A63" s="9" t="inlineStr">
        <is>
          <t>q18_income_bracket</t>
        </is>
      </c>
      <c r="B63" s="10" t="inlineStr">
        <is>
          <t>18. Income bracket — tick the category that corresponds to the approximate household income.</t>
        </is>
      </c>
      <c r="C63" s="10" t="inlineStr">
        <is>
          <t>18. Income bracket — tick the category that corresponds to the approximate household income. Enumerator note: Tick the income category that corresponds to the respondent’s approximate household income.</t>
        </is>
      </c>
      <c r="D63" s="10" t="inlineStr"/>
      <c r="E63" s="10" t="inlineStr"/>
      <c r="F63" s="10" t="inlineStr">
        <is>
          <t>B. Respondent Profile</t>
        </is>
      </c>
      <c r="G63" s="10" t="inlineStr">
        <is>
          <t>numeric 1</t>
        </is>
      </c>
      <c r="H63" s="10" t="inlineStr">
        <is>
          <t>1 = Under 40,000
2 = 40,000 - 59,999
3 = 60,000 - 99,999
4 = 100,000 - 249,999
5 = 250,000 - 499,999
6 = 500,000 and over
7 = Refuse to answer</t>
        </is>
      </c>
      <c r="I63" s="10" t="inlineStr"/>
      <c r="J63" s="10" t="inlineStr">
        <is>
          <t>[HARD] Required, ∈ value set</t>
        </is>
      </c>
    </row>
    <row r="64">
      <c r="A64" s="7" t="inlineStr">
        <is>
          <t>q19_hh_size_total</t>
        </is>
      </c>
      <c r="B64" s="8" t="inlineStr">
        <is>
          <t>19. How many total individuals (including children) live in your house now?</t>
        </is>
      </c>
      <c r="C64" s="8" t="inlineStr">
        <is>
          <t>19. How many total individuals (including children) live in your house now? Please count yourself and all the people who usually live with you. Please include those who are not living here now but will be back within six months, BUT do not include OFWs.</t>
        </is>
      </c>
      <c r="D64" s="8" t="inlineStr"/>
      <c r="E64" s="8" t="inlineStr"/>
      <c r="F64" s="8" t="inlineStr">
        <is>
          <t>B. Respondent Profile</t>
        </is>
      </c>
      <c r="G64" s="8" t="inlineStr">
        <is>
          <t>numeric 3</t>
        </is>
      </c>
      <c r="H64" s="8" t="inlineStr"/>
      <c r="I64" s="8" t="inlineStr"/>
      <c r="J64" s="8" t="inlineStr">
        <is>
          <t>[HARD + SOFT] `1 ≤ n ≤ 20` (warn if &gt; 10)</t>
        </is>
      </c>
    </row>
    <row r="65">
      <c r="A65" s="9" t="inlineStr">
        <is>
          <t>q20_hh_children</t>
        </is>
      </c>
      <c r="B65" s="10" t="inlineStr">
        <is>
          <t>20. How many non-working age children (i.e., below the age of 18) live in your house now?</t>
        </is>
      </c>
      <c r="C65" s="10" t="inlineStr">
        <is>
          <t>20. How many non-working age children (i.e., below the age of 18) live in your house now?</t>
        </is>
      </c>
      <c r="D65" s="10" t="inlineStr"/>
      <c r="E65" s="10" t="inlineStr"/>
      <c r="F65" s="10" t="inlineStr">
        <is>
          <t>B. Respondent Profile</t>
        </is>
      </c>
      <c r="G65" s="10" t="inlineStr">
        <is>
          <t>numeric 3</t>
        </is>
      </c>
      <c r="H65" s="10" t="inlineStr"/>
      <c r="I65" s="10" t="inlineStr"/>
      <c r="J65" s="10" t="inlineStr">
        <is>
          <t>[HARD] `0 ≤ n ≤ Q19_HH_SIZE_TOTAL`</t>
        </is>
      </c>
    </row>
    <row r="66">
      <c r="A66" s="7" t="inlineStr">
        <is>
          <t>q21_hh_seniors</t>
        </is>
      </c>
      <c r="B66" s="8" t="inlineStr">
        <is>
          <t>21. How many senior citizens live in your house now?</t>
        </is>
      </c>
      <c r="C66" s="8" t="inlineStr">
        <is>
          <t>21. How many senior citizens live in your house now?</t>
        </is>
      </c>
      <c r="D66" s="8" t="inlineStr"/>
      <c r="E66" s="8" t="inlineStr"/>
      <c r="F66" s="8" t="inlineStr">
        <is>
          <t>B. Respondent Profile</t>
        </is>
      </c>
      <c r="G66" s="8" t="inlineStr">
        <is>
          <t>numeric 3</t>
        </is>
      </c>
      <c r="H66" s="8" t="inlineStr"/>
      <c r="I66" s="8" t="inlineStr"/>
      <c r="J66" s="8" t="inlineStr">
        <is>
          <t>[HARD] `0 ≤ n ≤ Q19_HH_SIZE_TOTAL`</t>
        </is>
      </c>
    </row>
    <row r="67">
      <c r="A67" s="9" t="inlineStr">
        <is>
          <t>q22_electricity</t>
        </is>
      </c>
      <c r="B67" s="10" t="inlineStr">
        <is>
          <t>22. Do you have electricity in your household?</t>
        </is>
      </c>
      <c r="C67" s="10" t="inlineStr">
        <is>
          <t>22. Do you have electricity in your household?</t>
        </is>
      </c>
      <c r="D67" s="10" t="inlineStr"/>
      <c r="E67" s="10" t="inlineStr"/>
      <c r="F67" s="10" t="inlineStr">
        <is>
          <t>B. Respondent Profile</t>
        </is>
      </c>
      <c r="G67" s="10" t="inlineStr">
        <is>
          <t>numeric 1</t>
        </is>
      </c>
      <c r="H67" s="10" t="inlineStr">
        <is>
          <t>1 = Yes
2 = No</t>
        </is>
      </c>
      <c r="I67" s="10" t="inlineStr"/>
      <c r="J67" s="10" t="inlineStr">
        <is>
          <t>[HARD] Required, ∈ {Yes, No}</t>
        </is>
      </c>
    </row>
    <row r="68">
      <c r="A68" s="7" t="inlineStr">
        <is>
          <t>q23_water_source</t>
        </is>
      </c>
      <c r="B68" s="8" t="inlineStr">
        <is>
          <t>23. What is the family's main source of water supply for daily use?</t>
        </is>
      </c>
      <c r="C68" s="8" t="inlineStr">
        <is>
          <t>23. What is the family's main source of water supply for daily use?</t>
        </is>
      </c>
      <c r="D68" s="8" t="inlineStr"/>
      <c r="E68" s="8" t="inlineStr">
        <is>
          <t>Piped/faucet options → Q24 asked; other sources → Q25 (skip Q24 faucet-share)
Dug well / tube well / spring options → Q25 asked; other sources → Q26 (skip Q25 tube-share)</t>
        </is>
      </c>
      <c r="F68" s="8" t="inlineStr">
        <is>
          <t>B. Respondent Profile</t>
        </is>
      </c>
      <c r="G68" s="8" t="inlineStr">
        <is>
          <t>numeric 1</t>
        </is>
      </c>
      <c r="H68" s="8" t="inlineStr">
        <is>
          <t>1 = Faucet inside the house
2 = Tubed/piped well
3 = Dug well
4 = Other (specify)</t>
        </is>
      </c>
      <c r="I68" s="8" t="inlineStr"/>
      <c r="J68" s="8" t="inlineStr">
        <is>
          <t>[HARD] Required, ∈ value set</t>
        </is>
      </c>
    </row>
    <row r="69">
      <c r="A69" s="9" t="inlineStr">
        <is>
          <t>q23_water_other_txt</t>
        </is>
      </c>
      <c r="B69" s="10" t="inlineStr">
        <is>
          <t>23. Water — Other (specify) text</t>
        </is>
      </c>
      <c r="C69" s="10" t="inlineStr">
        <is>
          <t>23. Water — Other (specify) text</t>
        </is>
      </c>
      <c r="D69" s="10" t="inlineStr"/>
      <c r="E69" s="10" t="inlineStr"/>
      <c r="F69" s="10" t="inlineStr">
        <is>
          <t>B. Respondent Profile</t>
        </is>
      </c>
      <c r="G69" s="10" t="inlineStr">
        <is>
          <t>alpha 120</t>
        </is>
      </c>
      <c r="H69" s="10" t="inlineStr"/>
      <c r="I69" s="10" t="inlineStr"/>
      <c r="J69" s="10" t="inlineStr"/>
    </row>
    <row r="70">
      <c r="A70" s="7" t="inlineStr">
        <is>
          <t>q24_faucet_share</t>
        </is>
      </c>
      <c r="B70" s="8" t="inlineStr">
        <is>
          <t>24. Do you have your own faucet, or do you share with your community?</t>
        </is>
      </c>
      <c r="C70" s="8" t="inlineStr">
        <is>
          <t>24. Do you have your own faucet, or do you share with your community?</t>
        </is>
      </c>
      <c r="D70" s="8" t="inlineStr">
        <is>
          <t>not asked when Q23 WATER_SOURCE Piped/faucet options</t>
        </is>
      </c>
      <c r="E70" s="8" t="inlineStr"/>
      <c r="F70" s="8" t="inlineStr">
        <is>
          <t>B. Respondent Profile</t>
        </is>
      </c>
      <c r="G70" s="8" t="inlineStr">
        <is>
          <t>numeric 1</t>
        </is>
      </c>
      <c r="H70" s="8" t="inlineStr">
        <is>
          <t>1 = I/we have our own
2 = I/we share with our community</t>
        </is>
      </c>
      <c r="I70" s="8" t="inlineStr"/>
      <c r="J70" s="8" t="inlineStr"/>
    </row>
    <row r="71">
      <c r="A71" s="9" t="inlineStr">
        <is>
          <t>q25_tube_share</t>
        </is>
      </c>
      <c r="B71" s="10" t="inlineStr">
        <is>
          <t>25. Do you have your own tube/pipe, or do you share with your community?</t>
        </is>
      </c>
      <c r="C71" s="10" t="inlineStr">
        <is>
          <t>25. Do you have your own tube/pipe, or do you share with your community?</t>
        </is>
      </c>
      <c r="D71" s="10" t="inlineStr">
        <is>
          <t>not asked when Q23 WATER_SOURCE Dug well / tube well / spring options</t>
        </is>
      </c>
      <c r="E71" s="10" t="inlineStr"/>
      <c r="F71" s="10" t="inlineStr">
        <is>
          <t>B. Respondent Profile</t>
        </is>
      </c>
      <c r="G71" s="10" t="inlineStr">
        <is>
          <t>numeric 1</t>
        </is>
      </c>
      <c r="H71" s="10" t="inlineStr">
        <is>
          <t>1 = I/we have our own
2 = I/we share with our community</t>
        </is>
      </c>
      <c r="I71" s="10" t="inlineStr"/>
      <c r="J71" s="10" t="inlineStr"/>
    </row>
    <row r="72">
      <c r="A72" s="7" t="inlineStr">
        <is>
          <t>q26_refrigerator</t>
        </is>
      </c>
      <c r="B72" s="8" t="inlineStr">
        <is>
          <t>26. Does the family own a refrigerator/freezer?</t>
        </is>
      </c>
      <c r="C72" s="8" t="inlineStr">
        <is>
          <t>26. Does the family own a refrigerator/freezer?</t>
        </is>
      </c>
      <c r="D72" s="8" t="inlineStr"/>
      <c r="E72" s="8" t="inlineStr"/>
      <c r="F72" s="8" t="inlineStr">
        <is>
          <t>B. Respondent Profile</t>
        </is>
      </c>
      <c r="G72" s="8" t="inlineStr">
        <is>
          <t>numeric 1</t>
        </is>
      </c>
      <c r="H72" s="8" t="inlineStr">
        <is>
          <t>1 = Yes, I/ we have
2 = No, I/we don't have</t>
        </is>
      </c>
      <c r="I72" s="8" t="inlineStr"/>
      <c r="J72" s="8" t="inlineStr">
        <is>
          <t>[HARD] Required, ∈ {Yes, No}</t>
        </is>
      </c>
    </row>
    <row r="73">
      <c r="A73" s="9" t="inlineStr">
        <is>
          <t>q27_television</t>
        </is>
      </c>
      <c r="B73" s="10" t="inlineStr">
        <is>
          <t>27. Does the family own a television set?</t>
        </is>
      </c>
      <c r="C73" s="10" t="inlineStr">
        <is>
          <t>27. Does the family own a television set?</t>
        </is>
      </c>
      <c r="D73" s="10" t="inlineStr"/>
      <c r="E73" s="10" t="inlineStr"/>
      <c r="F73" s="10" t="inlineStr">
        <is>
          <t>B. Respondent Profile</t>
        </is>
      </c>
      <c r="G73" s="10" t="inlineStr">
        <is>
          <t>numeric 1</t>
        </is>
      </c>
      <c r="H73" s="10" t="inlineStr">
        <is>
          <t>1 = Yes, I/ we have
2 = No, I/we don't have</t>
        </is>
      </c>
      <c r="I73" s="10" t="inlineStr"/>
      <c r="J73" s="10" t="inlineStr">
        <is>
          <t>[HARD] Required, ∈ {Yes, No}</t>
        </is>
      </c>
    </row>
    <row r="74">
      <c r="A74" s="7" t="inlineStr">
        <is>
          <t>q28_washing_machine</t>
        </is>
      </c>
      <c r="B74" s="8" t="inlineStr">
        <is>
          <t>28. Does the family own a washing machine?</t>
        </is>
      </c>
      <c r="C74" s="8" t="inlineStr">
        <is>
          <t>28. Does the family own a washing machine?</t>
        </is>
      </c>
      <c r="D74" s="8" t="inlineStr"/>
      <c r="E74" s="8" t="inlineStr"/>
      <c r="F74" s="8" t="inlineStr">
        <is>
          <t>B. Respondent Profile</t>
        </is>
      </c>
      <c r="G74" s="8" t="inlineStr">
        <is>
          <t>numeric 1</t>
        </is>
      </c>
      <c r="H74" s="8" t="inlineStr">
        <is>
          <t>1 = Yes, I/ we have
2 = No, I/we don't have</t>
        </is>
      </c>
      <c r="I74" s="8" t="inlineStr"/>
      <c r="J74" s="8" t="inlineStr">
        <is>
          <t>[HARD] Required, ∈ {Yes, No}</t>
        </is>
      </c>
    </row>
    <row r="75">
      <c r="A75" s="9" t="inlineStr">
        <is>
          <t>q29_socioeconomic_class</t>
        </is>
      </c>
      <c r="B75" s="10" t="inlineStr">
        <is>
          <t>29. How would the socioeconomic class of your household be classified?</t>
        </is>
      </c>
      <c r="C75" s="10" t="inlineStr">
        <is>
          <t>29. How would the socioeconomic class of your household be classified? Please choose one from the options I will mention.</t>
        </is>
      </c>
      <c r="D75" s="10" t="inlineStr"/>
      <c r="E75" s="10" t="inlineStr"/>
      <c r="F75" s="10" t="inlineStr">
        <is>
          <t>B. Respondent Profile</t>
        </is>
      </c>
      <c r="G75" s="10" t="inlineStr">
        <is>
          <t>numeric 1</t>
        </is>
      </c>
      <c r="H75" s="10" t="inlineStr">
        <is>
          <t>1 = Class A or B (working professionals or with a business with several assets)
2 = Class C (working professionals with permanent or semi-permanent income and some assets)
3 = Class D or E (semi-permanent workers or informal sector workers with little to no assets)
5 = Refuse to answer [DO NOT READ OUT LOUD]</t>
        </is>
      </c>
      <c r="I75" s="10" t="inlineStr">
        <is>
          <t>4 = I don't know [DO NOT READ OUT LOUD]</t>
        </is>
      </c>
      <c r="J75" s="10" t="inlineStr">
        <is>
          <t>[SOFT] Auto-classified from Q22–Q28 (enumerator confirms)</t>
        </is>
      </c>
    </row>
    <row r="76">
      <c r="A76" s="7" t="inlineStr">
        <is>
          <t>member_line_no</t>
        </is>
      </c>
      <c r="B76" s="8" t="inlineStr">
        <is>
          <t>Household Member Line Number</t>
        </is>
      </c>
      <c r="C76" s="8" t="inlineStr">
        <is>
          <t>Household Member Line Number</t>
        </is>
      </c>
      <c r="D76" s="8" t="inlineStr"/>
      <c r="E76" s="8" t="inlineStr"/>
      <c r="F76" s="8" t="inlineStr">
        <is>
          <t>C. Household Roster and Characteristics (roster ×20)</t>
        </is>
      </c>
      <c r="G76" s="8" t="inlineStr">
        <is>
          <t>numeric 2</t>
        </is>
      </c>
      <c r="H76" s="8" t="inlineStr"/>
      <c r="I76" s="8" t="inlineStr"/>
      <c r="J76" s="8" t="inlineStr">
        <is>
          <t>[HARD] Auto-incremented; unique per iteration</t>
        </is>
      </c>
    </row>
    <row r="77">
      <c r="A77" s="9" t="inlineStr">
        <is>
          <t>q30_name</t>
        </is>
      </c>
      <c r="B77" s="10" t="inlineStr">
        <is>
          <t>30. Name (LAST NAME, FIRST NAME &amp; MIDDLE NAME, EXT)</t>
        </is>
      </c>
      <c r="C77" s="10" t="inlineStr">
        <is>
          <t>We will now ask for some personal information about your household members. 30. Name (LAST NAME, FIRST NAME &amp; MIDDLE NAME, EXT) Note to enumerator [do not read]: This section is for the characteristics of the Household. The respondent can answer on behalf of the household member. However, if the household member is present during the interview, they may provide their answers. Ask all questions in this section unless a skip rule applies. For the enumerator: please check that the total number is equal to the number answered in Q19.</t>
        </is>
      </c>
      <c r="D77" s="10" t="inlineStr"/>
      <c r="E77" s="10" t="inlineStr"/>
      <c r="F77" s="10" t="inlineStr">
        <is>
          <t>C. Household Roster and Characteristics (roster ×20)</t>
        </is>
      </c>
      <c r="G77" s="10" t="inlineStr">
        <is>
          <t>alpha 120</t>
        </is>
      </c>
      <c r="H77" s="10" t="inlineStr"/>
      <c r="I77" s="10" t="inlineStr"/>
      <c r="J77" s="10" t="inlineStr">
        <is>
          <t>[HARD] Required, non-blank</t>
        </is>
      </c>
    </row>
    <row r="78">
      <c r="A78" s="7" t="inlineStr">
        <is>
          <t>q31_present</t>
        </is>
      </c>
      <c r="B78" s="8" t="inlineStr">
        <is>
          <t>31. HH member present or away</t>
        </is>
      </c>
      <c r="C78" s="8" t="inlineStr">
        <is>
          <t>Household member: ~~strip(Q30_NAME)~~ (Roster line ~~MEMBER_LINE_NO~~ — line 1 is the respondent) 31. HH member present or away</t>
        </is>
      </c>
      <c r="D78" s="8" t="inlineStr"/>
      <c r="E78" s="8" t="inlineStr"/>
      <c r="F78" s="8" t="inlineStr">
        <is>
          <t>C. Household Roster and Characteristics (roster ×20)</t>
        </is>
      </c>
      <c r="G78" s="8" t="inlineStr">
        <is>
          <t>numeric 1</t>
        </is>
      </c>
      <c r="H78" s="8" t="inlineStr">
        <is>
          <t>0 = Away
1 = Present</t>
        </is>
      </c>
      <c r="I78" s="8" t="inlineStr"/>
      <c r="J78" s="8" t="inlineStr">
        <is>
          <t>[HARD] Required, ∈ {Yes, No}</t>
        </is>
      </c>
    </row>
    <row r="79">
      <c r="A79" s="9" t="inlineStr">
        <is>
          <t>q32_age</t>
        </is>
      </c>
      <c r="B79" s="10" t="inlineStr">
        <is>
          <t>32. Age (as of last birthday)</t>
        </is>
      </c>
      <c r="C79" s="10" t="inlineStr">
        <is>
          <t>Household member: ~~strip(Q30_NAME)~~ (Roster line ~~MEMBER_LINE_NO~~ — line 1 is the respondent) 32. Age (as of last birthday)</t>
        </is>
      </c>
      <c r="D79" s="10" t="inlineStr"/>
      <c r="E79" s="10" t="inlineStr"/>
      <c r="F79" s="10" t="inlineStr">
        <is>
          <t>C. Household Roster and Characteristics (roster ×20)</t>
        </is>
      </c>
      <c r="G79" s="10" t="inlineStr">
        <is>
          <t>numeric 3</t>
        </is>
      </c>
      <c r="H79" s="10" t="inlineStr"/>
      <c r="I79" s="10" t="inlineStr"/>
      <c r="J79" s="10" t="inlineStr">
        <is>
          <t>[HARD] `0 ≤ age ≤ 120`</t>
        </is>
      </c>
    </row>
    <row r="80">
      <c r="A80" s="7" t="inlineStr">
        <is>
          <t>q33_sex</t>
        </is>
      </c>
      <c r="B80" s="8" t="inlineStr">
        <is>
          <t>33. Sex at birth</t>
        </is>
      </c>
      <c r="C80" s="8" t="inlineStr">
        <is>
          <t>Household member: ~~strip(Q30_NAME)~~ (Roster line ~~MEMBER_LINE_NO~~ — line 1 is the respondent) 33. Sex at birth</t>
        </is>
      </c>
      <c r="D80" s="8" t="inlineStr"/>
      <c r="E80" s="8" t="inlineStr"/>
      <c r="F80" s="8" t="inlineStr">
        <is>
          <t>C. Household Roster and Characteristics (roster ×20)</t>
        </is>
      </c>
      <c r="G80" s="8" t="inlineStr">
        <is>
          <t>numeric 1</t>
        </is>
      </c>
      <c r="H80" s="8" t="inlineStr">
        <is>
          <t>1 = Male
2 = Female</t>
        </is>
      </c>
      <c r="I80" s="8" t="inlineStr"/>
      <c r="J80" s="8" t="inlineStr">
        <is>
          <t>[HARD] Required, ∈ value set</t>
        </is>
      </c>
    </row>
    <row r="81">
      <c r="A81" s="9" t="inlineStr">
        <is>
          <t>q34_relationship</t>
        </is>
      </c>
      <c r="B81" s="10" t="inlineStr">
        <is>
          <t>34. Relationship to Household Head</t>
        </is>
      </c>
      <c r="C81" s="10" t="inlineStr">
        <is>
          <t>Household member: ~~strip(Q30_NAME)~~ (Roster line ~~MEMBER_LINE_NO~~ — line 1 is the respondent) 34. Relationship to Household Head</t>
        </is>
      </c>
      <c r="D81" s="10" t="inlineStr"/>
      <c r="E81" s="10" t="inlineStr"/>
      <c r="F81" s="10" t="inlineStr">
        <is>
          <t>C. Household Roster and Characteristics (roster ×20)</t>
        </is>
      </c>
      <c r="G81" s="10" t="inlineStr">
        <is>
          <t>numeric 2</t>
        </is>
      </c>
      <c r="H81" s="10" t="inlineStr">
        <is>
          <t>01 = Head
02 = Spouse/Partner
03 = Son/Daughter
04 = Brother/Sister
05 = Son-In-Law/Daughter-In-Law
13 = Father-In-Law/Mother-In-Law
14 = Brother-In-Law/Sister-In-Law
06 = Grandson/Granddaughter
07 = Father/Mother
08 = Nephew/Niece
09 = Cousin
10 = Boarder
11 = Domestic Helper
12 = Non-relative</t>
        </is>
      </c>
      <c r="I81" s="10" t="inlineStr"/>
      <c r="J81" s="10" t="inlineStr">
        <is>
          <t>[HARD + SOFT] Required, ∈ value set; first iteration should be `Self` or `Head`</t>
        </is>
      </c>
    </row>
    <row r="82">
      <c r="A82" s="7" t="inlineStr">
        <is>
          <t>q35_has_disability</t>
        </is>
      </c>
      <c r="B82" s="8" t="inlineStr">
        <is>
          <t>35. Do you identify as a person with a disability?</t>
        </is>
      </c>
      <c r="C82" s="8" t="inlineStr">
        <is>
          <t>Household member: ~~strip(Q30_NAME)~~ (Roster line ~~MEMBER_LINE_NO~~ — line 1 is the respondent) 35. Do you identify as a person with a disability? If this is line 1 (the respondent): compare with their Section B disability answer Q7 — ~~getvaluelabel(Q7_IS_PWD)~~ .</t>
        </is>
      </c>
      <c r="D82" s="8" t="inlineStr"/>
      <c r="E82" s="8">
        <f> No → Q39 (skip Q36 specify, Q37 card, Q38 type)</f>
        <v/>
      </c>
      <c r="F82" s="8" t="inlineStr">
        <is>
          <t>C. Household Roster and Characteristics (roster ×20)</t>
        </is>
      </c>
      <c r="G82" s="8" t="inlineStr">
        <is>
          <t>numeric 1</t>
        </is>
      </c>
      <c r="H82" s="8" t="inlineStr">
        <is>
          <t>0 = No
1 = Yes</t>
        </is>
      </c>
      <c r="I82" s="8" t="inlineStr"/>
      <c r="J82" s="8" t="inlineStr">
        <is>
          <t>[HARD] Required, ∈ {Yes, No}</t>
        </is>
      </c>
    </row>
    <row r="83">
      <c r="A83" s="9" t="inlineStr">
        <is>
          <t>q36_specify_disability</t>
        </is>
      </c>
      <c r="B83" s="10" t="inlineStr">
        <is>
          <t>36. Would you like to specify the type of disability?</t>
        </is>
      </c>
      <c r="C83" s="10" t="inlineStr">
        <is>
          <t>Household member: ~~strip(Q30_NAME)~~ (Roster line ~~MEMBER_LINE_NO~~ — line 1 is the respondent) 36. Would you like to specify the type of disability?</t>
        </is>
      </c>
      <c r="D83" s="10" t="inlineStr">
        <is>
          <t>not asked when Q35 HAS_DISABILITY = No</t>
        </is>
      </c>
      <c r="E83" s="10" t="inlineStr"/>
      <c r="F83" s="10" t="inlineStr">
        <is>
          <t>C. Household Roster and Characteristics (roster ×20)</t>
        </is>
      </c>
      <c r="G83" s="10" t="inlineStr">
        <is>
          <t>numeric 1</t>
        </is>
      </c>
      <c r="H83" s="10" t="inlineStr">
        <is>
          <t>0 = No
1 = Yes</t>
        </is>
      </c>
      <c r="I83" s="10" t="inlineStr"/>
      <c r="J83" s="10" t="inlineStr"/>
    </row>
    <row r="84">
      <c r="A84" s="7" t="inlineStr">
        <is>
          <t>q37_pwd_card</t>
        </is>
      </c>
      <c r="B84" s="8" t="inlineStr">
        <is>
          <t>37. May we view the patient's PWD Identification Card?</t>
        </is>
      </c>
      <c r="C84" s="8" t="inlineStr">
        <is>
          <t>Household member: ~~strip(Q30_NAME)~~ (Roster line ~~MEMBER_LINE_NO~~ — line 1 is the respondent) 37. May we view the patient's PWD Identification Card?</t>
        </is>
      </c>
      <c r="D84" s="8" t="inlineStr">
        <is>
          <t>not asked when Q35 HAS_DISABILITY = No</t>
        </is>
      </c>
      <c r="E84" s="8">
        <f> No → Q39 (skip Q38 disability-type — same as Section B)</f>
        <v/>
      </c>
      <c r="F84" s="8" t="inlineStr">
        <is>
          <t>C. Household Roster and Characteristics (roster ×20)</t>
        </is>
      </c>
      <c r="G84" s="8" t="inlineStr">
        <is>
          <t>numeric 1</t>
        </is>
      </c>
      <c r="H84" s="8" t="inlineStr">
        <is>
          <t>0 = No
1 = Yes</t>
        </is>
      </c>
      <c r="I84" s="8" t="inlineStr">
        <is>
          <t>2 = Respondent refused to present card</t>
        </is>
      </c>
      <c r="J84" s="8" t="inlineStr"/>
    </row>
    <row r="85">
      <c r="A85" s="9" t="inlineStr">
        <is>
          <t>q38_disability_type</t>
        </is>
      </c>
      <c r="B85" s="10" t="inlineStr">
        <is>
          <t>38. Based on the presented PWD Identification Card, what type of disability is indicated?</t>
        </is>
      </c>
      <c r="C85" s="10" t="inlineStr">
        <is>
          <t>Household member: ~~strip(Q30_NAME)~~ (Roster line ~~MEMBER_LINE_NO~~ — line 1 is the respondent) 38. Based on the presented PWD Identification Card, what type of disability is indicated? Enumerator Instruction (DO NOT READ ALOUD): If the PWD Identification Card is presented, record the type of disability as indicated on the card. Do not ask the respondent directly.</t>
        </is>
      </c>
      <c r="D85" s="10" t="inlineStr">
        <is>
          <t>not asked when Q35 HAS_DISABILITY = No
not asked when Q37 PWD_CARD = No</t>
        </is>
      </c>
      <c r="E85" s="10" t="inlineStr"/>
      <c r="F85" s="10" t="inlineStr">
        <is>
          <t>C. Household Roster and Characteristics (roster ×20)</t>
        </is>
      </c>
      <c r="G85" s="10" t="inlineStr">
        <is>
          <t>numeric 1</t>
        </is>
      </c>
      <c r="H85" s="10" t="inlineStr">
        <is>
          <t>1 = Physical disability (Orthopedic)
2 = Visual disability
3 = Hearing disability
4 = Speech impairment
5 = Intellectual disability
6 = Psychosocial disability
7 = Multiple disabilities
8 = Other disability (specify)</t>
        </is>
      </c>
      <c r="I85" s="10" t="inlineStr"/>
      <c r="J85" s="10" t="inlineStr"/>
    </row>
    <row r="86">
      <c r="A86" s="7" t="inlineStr">
        <is>
          <t>q38_disability_other_txt</t>
        </is>
      </c>
      <c r="B86" s="8" t="inlineStr">
        <is>
          <t>38. Disability — Other (specify) text</t>
        </is>
      </c>
      <c r="C86" s="8" t="inlineStr">
        <is>
          <t>Household member: ~~strip(Q30_NAME)~~ (Roster line ~~MEMBER_LINE_NO~~ — line 1 is the respondent) 38. Disability — Other (specify) text</t>
        </is>
      </c>
      <c r="D86" s="8" t="inlineStr">
        <is>
          <t>not asked when Q35 HAS_DISABILITY = No
not asked when Q37 PWD_CARD = No</t>
        </is>
      </c>
      <c r="E86" s="8" t="inlineStr"/>
      <c r="F86" s="8" t="inlineStr">
        <is>
          <t>C. Household Roster and Characteristics (roster ×20)</t>
        </is>
      </c>
      <c r="G86" s="8" t="inlineStr">
        <is>
          <t>alpha 120</t>
        </is>
      </c>
      <c r="H86" s="8" t="inlineStr"/>
      <c r="I86" s="8" t="inlineStr"/>
      <c r="J86" s="8" t="inlineStr"/>
    </row>
    <row r="87">
      <c r="A87" s="9" t="inlineStr">
        <is>
          <t>q39_civil_status</t>
        </is>
      </c>
      <c r="B87" s="10" t="inlineStr">
        <is>
          <t>39. Civil Status</t>
        </is>
      </c>
      <c r="C87" s="10" t="inlineStr">
        <is>
          <t>Household member: ~~strip(Q30_NAME)~~ (Roster line ~~MEMBER_LINE_NO~~ — line 1 is the respondent) 39. Civil Status If this is line 1 (the respondent): should match their Section B civil status Q6 — ~~getvaluelabel(Q6_CIVIL_STATUS)~~ .</t>
        </is>
      </c>
      <c r="D87" s="10" t="inlineStr"/>
      <c r="E87" s="10" t="inlineStr"/>
      <c r="F87" s="10" t="inlineStr">
        <is>
          <t>C. Household Roster and Characteristics (roster ×20)</t>
        </is>
      </c>
      <c r="G87" s="10" t="inlineStr">
        <is>
          <t>numeric 1</t>
        </is>
      </c>
      <c r="H87" s="10" t="inlineStr">
        <is>
          <t>1 = Single / Never Married
2 = Married
3 = Common law / Live-in
4 = Widowed
5 = Divorced
6 = Separated
7 = Annulled
8 = Not reported</t>
        </is>
      </c>
      <c r="I87" s="10" t="inlineStr"/>
      <c r="J87" s="10" t="inlineStr">
        <is>
          <t>[HARD] Required, ∈ value set</t>
        </is>
      </c>
    </row>
    <row r="88">
      <c r="A88" s="7" t="inlineStr">
        <is>
          <t>q40_education</t>
        </is>
      </c>
      <c r="B88" s="8" t="inlineStr">
        <is>
          <t>40. Highest level of education attended (the highest level the person reached, even if not completed — e.g. someone who reached Grade 2 is Primary)</t>
        </is>
      </c>
      <c r="C88" s="8" t="inlineStr">
        <is>
          <t>Household member: ~~strip(Q30_NAME)~~ (Roster line ~~MEMBER_LINE_NO~~ — line 1 is the respondent) 40. Highest level of education attended (the highest level the person reached, even if not completed — e.g. someone who reached Grade 2 is Primary) If this is line 1 (the respondent): should match their Section B education Q11 — ~~getvaluelabel(Q11_EDUCATION)~~ .</t>
        </is>
      </c>
      <c r="D88" s="8" t="inlineStr"/>
      <c r="E88" s="8" t="inlineStr"/>
      <c r="F88" s="8" t="inlineStr">
        <is>
          <t>C. Household Roster and Characteristics (roster ×20)</t>
        </is>
      </c>
      <c r="G88" s="8" t="inlineStr">
        <is>
          <t>numeric 2</t>
        </is>
      </c>
      <c r="H88" s="8" t="inlineStr">
        <is>
          <t>01 = Early Childhood Education (Pre-school)
02 = Primary Education (Grade 1 to 6)
03 = Lower Secondary Education (Grade 7 to 10)
04 = Upper Secondary Education (Grade 11 to 12)
05 = Post-Secondary Non-Tertiary Education (including Technical and Vocational degrees with a certificate)
06 = Short-Cycle Tertiary Education or Equivalent (including Technical and Vocational degrees with a diploma)
07 = Bachelor Level Education or Equivalent
08 = Master Level Education or Equivalent
09 = Doctoral Level Education or Equivalent
10 = No schooling</t>
        </is>
      </c>
      <c r="I88" s="8" t="inlineStr"/>
      <c r="J88" s="8" t="inlineStr">
        <is>
          <t>[HARD] Required, ∈ value set</t>
        </is>
      </c>
    </row>
    <row r="89">
      <c r="A89" s="9" t="inlineStr">
        <is>
          <t>q41_employment</t>
        </is>
      </c>
      <c r="B89" s="10" t="inlineStr">
        <is>
          <t>41. Employment Status</t>
        </is>
      </c>
      <c r="C89" s="10" t="inlineStr">
        <is>
          <t>Household member: ~~strip(Q30_NAME)~~ (Roster line ~~MEMBER_LINE_NO~~ — line 1 is the respondent) 41. Employment Status If this is line 1 (the respondent): should match their Section B employment Q12 — ~~getvaluelabel(Q12_EMPLOYMENT)~~ .</t>
        </is>
      </c>
      <c r="D89" s="10" t="inlineStr"/>
      <c r="E89" s="10" t="inlineStr"/>
      <c r="F89" s="10" t="inlineStr">
        <is>
          <t>C. Household Roster and Characteristics (roster ×20)</t>
        </is>
      </c>
      <c r="G89" s="10" t="inlineStr">
        <is>
          <t>numeric 1</t>
        </is>
      </c>
      <c r="H89" s="10" t="inlineStr">
        <is>
          <t>1 = Has a permanent job/ own business
2 = Has a short-term, seasonal, casual job/business
3 = Worked on different jobs day to day per week
4 = Unemployed and looking for work
5 = Unemployed and not looking for work
6 = Retired</t>
        </is>
      </c>
      <c r="I89" s="10" t="inlineStr">
        <is>
          <t>7 = I don't know
8 = Not applicable</t>
        </is>
      </c>
      <c r="J89" s="10" t="inlineStr">
        <is>
          <t>[HARD] Required, ∈ value set</t>
        </is>
      </c>
    </row>
    <row r="90">
      <c r="A90" s="7" t="inlineStr">
        <is>
          <t>q42_gsis</t>
        </is>
      </c>
      <c r="B90" s="8" t="inlineStr">
        <is>
          <t>42. Is (NAME) covered by GSIS either as a member or dependent?</t>
        </is>
      </c>
      <c r="C90" s="8" t="inlineStr">
        <is>
          <t>Household member: ~~strip(Q30_NAME)~~ (Roster line ~~MEMBER_LINE_NO~~ — line 1 is the respondent) 42. Is ~~strip(Q30_NAME)~~ covered by GSIS either as a member or dependent?</t>
        </is>
      </c>
      <c r="D90" s="8" t="inlineStr"/>
      <c r="E90" s="8" t="inlineStr"/>
      <c r="F90" s="8" t="inlineStr">
        <is>
          <t>C. Household Roster and Characteristics (roster ×20)</t>
        </is>
      </c>
      <c r="G90" s="8" t="inlineStr">
        <is>
          <t>numeric 2</t>
        </is>
      </c>
      <c r="H90" s="8" t="inlineStr">
        <is>
          <t>01 = Yes
02 = No</t>
        </is>
      </c>
      <c r="I90" s="8" t="inlineStr">
        <is>
          <t>55 = I don't know</t>
        </is>
      </c>
      <c r="J90" s="8" t="inlineStr">
        <is>
          <t>[HARD] Required, ∈ {Yes, No, Don't know}</t>
        </is>
      </c>
    </row>
    <row r="91">
      <c r="A91" s="9" t="inlineStr">
        <is>
          <t>q43_sss</t>
        </is>
      </c>
      <c r="B91" s="10" t="inlineStr">
        <is>
          <t>43. Is (NAME) covered by SSS either as a member or dependent?</t>
        </is>
      </c>
      <c r="C91" s="10" t="inlineStr">
        <is>
          <t>Household member: ~~strip(Q30_NAME)~~ (Roster line ~~MEMBER_LINE_NO~~ — line 1 is the respondent) 43. Is ~~strip(Q30_NAME)~~ covered by SSS either as a member or dependent?</t>
        </is>
      </c>
      <c r="D91" s="10" t="inlineStr"/>
      <c r="E91" s="10" t="inlineStr"/>
      <c r="F91" s="10" t="inlineStr">
        <is>
          <t>C. Household Roster and Characteristics (roster ×20)</t>
        </is>
      </c>
      <c r="G91" s="10" t="inlineStr">
        <is>
          <t>numeric 2</t>
        </is>
      </c>
      <c r="H91" s="10" t="inlineStr">
        <is>
          <t>01 = Yes
02 = No</t>
        </is>
      </c>
      <c r="I91" s="10" t="inlineStr">
        <is>
          <t>55 = I don't know</t>
        </is>
      </c>
      <c r="J91" s="10" t="inlineStr">
        <is>
          <t>[HARD] Required, ∈ {Yes, No, Don't know}</t>
        </is>
      </c>
    </row>
    <row r="92">
      <c r="A92" s="7" t="inlineStr">
        <is>
          <t>q44_pagibig</t>
        </is>
      </c>
      <c r="B92" s="8" t="inlineStr">
        <is>
          <t>44. Is (NAME) covered by Pag-ibig either as a member or dependent?</t>
        </is>
      </c>
      <c r="C92" s="8" t="inlineStr">
        <is>
          <t>Household member: ~~strip(Q30_NAME)~~ (Roster line ~~MEMBER_LINE_NO~~ — line 1 is the respondent) 44. Is ~~strip(Q30_NAME)~~ covered by Pag-ibig either as a member or dependent?</t>
        </is>
      </c>
      <c r="D92" s="8" t="inlineStr"/>
      <c r="E92" s="8" t="inlineStr"/>
      <c r="F92" s="8" t="inlineStr">
        <is>
          <t>C. Household Roster and Characteristics (roster ×20)</t>
        </is>
      </c>
      <c r="G92" s="8" t="inlineStr">
        <is>
          <t>numeric 2</t>
        </is>
      </c>
      <c r="H92" s="8" t="inlineStr">
        <is>
          <t>01 = Yes
02 = No</t>
        </is>
      </c>
      <c r="I92" s="8" t="inlineStr">
        <is>
          <t>55 = I don't know</t>
        </is>
      </c>
      <c r="J92" s="8" t="inlineStr">
        <is>
          <t>[HARD] Required, ∈ {Yes, No, Don't know}</t>
        </is>
      </c>
    </row>
    <row r="93">
      <c r="A93" s="9" t="inlineStr">
        <is>
          <t>q45_philhealth_reg</t>
        </is>
      </c>
      <c r="B93" s="10" t="inlineStr">
        <is>
          <t>45. Currently registered with PhilHealth?</t>
        </is>
      </c>
      <c r="C93" s="10" t="inlineStr">
        <is>
          <t>Household member: ~~strip(Q30_NAME)~~ (Roster line ~~MEMBER_LINE_NO~~ — line 1 is the respondent) 45. Currently registered with PhilHealth?</t>
        </is>
      </c>
      <c r="D93" s="10" t="inlineStr"/>
      <c r="E93" s="10">
        <f> Yes → Q45.1 (when registered) → Q46
= No → Q45.2 (why not registered) → Q48 (skip Q46 member-category, Q46 other-specify)</f>
        <v/>
      </c>
      <c r="F93" s="10" t="inlineStr">
        <is>
          <t>C. Household Roster and Characteristics (roster ×20)</t>
        </is>
      </c>
      <c r="G93" s="10" t="inlineStr">
        <is>
          <t>numeric 2</t>
        </is>
      </c>
      <c r="H93" s="10" t="inlineStr">
        <is>
          <t>01 = Yes
02 = No</t>
        </is>
      </c>
      <c r="I93" s="10" t="inlineStr">
        <is>
          <t>55 = I don't know</t>
        </is>
      </c>
      <c r="J93" s="10" t="inlineStr">
        <is>
          <t>[HARD] Required, ∈ value set</t>
        </is>
      </c>
    </row>
    <row r="94">
      <c r="A94" s="7" t="inlineStr">
        <is>
          <t>q45_1_pin_reg_when</t>
        </is>
      </c>
      <c r="B94" s="8" t="inlineStr">
        <is>
          <t>45.1 When did you register and receive your PhilHealth PIN? (Only answer if 'Yes' in Q45 — to be answered by the main respondent only)</t>
        </is>
      </c>
      <c r="C94" s="8" t="inlineStr">
        <is>
          <t>Household member: ~~strip(Q30_NAME)~~ (Roster line ~~MEMBER_LINE_NO~~ — line 1 is the respondent) 45.1 When did you register and receive your PhilHealth PIN? (Only answer if 'Yes' in Q45 — to be answered by the main respondent only)</t>
        </is>
      </c>
      <c r="D94" s="8" t="inlineStr"/>
      <c r="E94" s="8" t="inlineStr"/>
      <c r="F94" s="8" t="inlineStr">
        <is>
          <t>C. Household Roster and Characteristics (roster ×20)</t>
        </is>
      </c>
      <c r="G94" s="8" t="inlineStr">
        <is>
          <t>numeric 1</t>
        </is>
      </c>
      <c r="H94" s="8" t="inlineStr">
        <is>
          <t>1 = Within the past year
2 = Within the last 2-3 years
3 = Within the last 4-5 years
4 = Over 5 years
6 = Refuse to answer [DO NOT READ OUT LOUD]</t>
        </is>
      </c>
      <c r="I94" s="8" t="inlineStr">
        <is>
          <t>5 = I don't know [DO NOT READ OUT LOUD]</t>
        </is>
      </c>
      <c r="J94" s="8" t="inlineStr">
        <is>
          <t>[GATE] `Q45_PHILHEALTH_REG = Yes` — ✅ built+deployed (#794); select-one 1–4 + 5 IDK[DNR] + 6 Refuse[DNR]; per-member, main-respondent-only</t>
        </is>
      </c>
    </row>
    <row r="95">
      <c r="A95" s="9" t="inlineStr">
        <is>
          <t>q46_member_category</t>
        </is>
      </c>
      <c r="B95" s="10" t="inlineStr">
        <is>
          <t>46. What is his/her membership category?</t>
        </is>
      </c>
      <c r="C95" s="10" t="inlineStr">
        <is>
          <t>Household member: ~~strip(Q30_NAME)~~ (Roster line ~~MEMBER_LINE_NO~~ — line 1 is the respondent) 46. What is his/her membership category?</t>
        </is>
      </c>
      <c r="D95" s="10" t="inlineStr">
        <is>
          <t>not asked when Q45 PHILHEALTH_REG = No</t>
        </is>
      </c>
      <c r="E95" s="10" t="inlineStr"/>
      <c r="F95" s="10" t="inlineStr">
        <is>
          <t>C. Household Roster and Characteristics (roster ×20)</t>
        </is>
      </c>
      <c r="G95" s="10" t="inlineStr">
        <is>
          <t>numeric 2</t>
        </is>
      </c>
      <c r="H95" s="10" t="inlineStr">
        <is>
          <t>01 = Formal economy
02 = Informal economy
03 = Indigent
04 = Sponsored
05 = Lifetime member
06 = Senior citizen
07 = Overseas Filipino Worker (OFW)
08 = Qualified dependents
09 = Dependent
88 = Other (Specify)</t>
        </is>
      </c>
      <c r="I95" s="10" t="inlineStr">
        <is>
          <t>55 = I don't know</t>
        </is>
      </c>
      <c r="J95" s="10" t="inlineStr"/>
    </row>
    <row r="96">
      <c r="A96" s="7" t="inlineStr">
        <is>
          <t>q46_member_other_txt</t>
        </is>
      </c>
      <c r="B96" s="8" t="inlineStr">
        <is>
          <t>46. Member category — Other (specify) text</t>
        </is>
      </c>
      <c r="C96" s="8" t="inlineStr">
        <is>
          <t>Household member: ~~strip(Q30_NAME)~~ (Roster line ~~MEMBER_LINE_NO~~ — line 1 is the respondent) 46. Member category — Other (specify) text</t>
        </is>
      </c>
      <c r="D96" s="8" t="inlineStr">
        <is>
          <t>not asked when Q45 PHILHEALTH_REG = No</t>
        </is>
      </c>
      <c r="E96" s="8" t="inlineStr"/>
      <c r="F96" s="8" t="inlineStr">
        <is>
          <t>C. Household Roster and Characteristics (roster ×20)</t>
        </is>
      </c>
      <c r="G96" s="8" t="inlineStr">
        <is>
          <t>alpha 120</t>
        </is>
      </c>
      <c r="H96" s="8" t="inlineStr"/>
      <c r="I96" s="8" t="inlineStr"/>
      <c r="J96" s="8" t="inlineStr"/>
    </row>
    <row r="97">
      <c r="A97" s="9" t="inlineStr">
        <is>
          <t>q45_2_why_not_reg</t>
        </is>
      </c>
      <c r="B97" s="10" t="inlineStr">
        <is>
          <t>45.2 Why are you not registered? (Only answer if 'No' in Q45 — to be answered by the main respondent only)</t>
        </is>
      </c>
      <c r="C97" s="10" t="inlineStr">
        <is>
          <t>Household member: ~~strip(Q30_NAME)~~ (Roster line ~~MEMBER_LINE_NO~~ — line 1 is the respondent) 45.2 Why are you not registered? (Only answer if 'No' in Q45 — to be answered by the main respondent only)</t>
        </is>
      </c>
      <c r="D97" s="10" t="inlineStr"/>
      <c r="E97" s="10" t="inlineStr"/>
      <c r="F97" s="10" t="inlineStr">
        <is>
          <t>C. Household Roster and Characteristics (roster ×20)</t>
        </is>
      </c>
      <c r="G97" s="10" t="inlineStr">
        <is>
          <t>numeric 2</t>
        </is>
      </c>
      <c r="H97" s="10" t="inlineStr">
        <is>
          <t>01 = Difficult to register
02 = Don't see value in registering
05 = A family member is currently registered with PhilHealth
06 = Currently unemployed
07 = No time to register
08 = No valid ID to register
88 = Other (specify)</t>
        </is>
      </c>
      <c r="I97" s="10" t="inlineStr">
        <is>
          <t>03 = Don't know how to register
04 = Don't know what PhilHealth is</t>
        </is>
      </c>
      <c r="J97" s="10" t="inlineStr">
        <is>
          <t>[GATE] `Q45_PHILHEALTH_REG = No` — ✅ built+deployed (#795); single-select 01–08 + 88 Other→`_OTHER_TXT`; per-member, main-respondent-only</t>
        </is>
      </c>
    </row>
    <row r="98">
      <c r="A98" s="7" t="inlineStr">
        <is>
          <t>q45_2_why_not_reg_other_txt</t>
        </is>
      </c>
      <c r="B98" s="8" t="inlineStr">
        <is>
          <t>45.2 Why not registered — Other (specify) text</t>
        </is>
      </c>
      <c r="C98" s="8" t="inlineStr">
        <is>
          <t>Household member: ~~strip(Q30_NAME)~~ (Roster line ~~MEMBER_LINE_NO~~ — line 1 is the respondent) 45.2 Why not registered — Other (specify) text</t>
        </is>
      </c>
      <c r="D98" s="8" t="inlineStr"/>
      <c r="E98" s="8" t="inlineStr"/>
      <c r="F98" s="8" t="inlineStr">
        <is>
          <t>C. Household Roster and Characteristics (roster ×20)</t>
        </is>
      </c>
      <c r="G98" s="8" t="inlineStr">
        <is>
          <t>alpha 120</t>
        </is>
      </c>
      <c r="H98" s="8" t="inlineStr"/>
      <c r="I98" s="8" t="inlineStr"/>
      <c r="J98" s="8" t="inlineStr"/>
    </row>
    <row r="99">
      <c r="A99" s="9" t="inlineStr">
        <is>
          <t>q47_hh_has_private_ins</t>
        </is>
      </c>
      <c r="B99" s="10" t="inlineStr">
        <is>
          <t>47. Do you or other members of your HH have private insurance?</t>
        </is>
      </c>
      <c r="C99" s="10" t="inlineStr">
        <is>
          <t>47. Do you or other members of your HH have private insurance?</t>
        </is>
      </c>
      <c r="D99" s="10" t="inlineStr"/>
      <c r="E99" s="10" t="inlineStr"/>
      <c r="F99" s="10" t="inlineStr">
        <is>
          <t>C. Household Private Insurance Gate (Q47)</t>
        </is>
      </c>
      <c r="G99" s="10" t="inlineStr">
        <is>
          <t>numeric 1</t>
        </is>
      </c>
      <c r="H99" s="10" t="inlineStr">
        <is>
          <t>1 = Yes
2 = No</t>
        </is>
      </c>
      <c r="I99" s="10" t="inlineStr"/>
      <c r="J99" s="10" t="inlineStr">
        <is>
          <t>[SOFT] Auto-set to Yes if any `Q49_PRIVATE_INS = Yes` in roster; enumerator confirms</t>
        </is>
      </c>
    </row>
    <row r="100">
      <c r="A100" s="7" t="inlineStr">
        <is>
          <t>priv_member_line_no</t>
        </is>
      </c>
      <c r="B100" s="8" t="inlineStr">
        <is>
          <t>Household Member Line Number (private insurance)</t>
        </is>
      </c>
      <c r="C100" s="8" t="inlineStr">
        <is>
          <t>Household Member Line Number (private insurance)</t>
        </is>
      </c>
      <c r="D100" s="8" t="inlineStr"/>
      <c r="E100" s="8" t="inlineStr"/>
      <c r="F100" s="8" t="inlineStr">
        <is>
          <t>C. Private Health Insurance (Q48-Q50) — per member (roster ×20)</t>
        </is>
      </c>
      <c r="G100" s="8" t="inlineStr">
        <is>
          <t>numeric 2</t>
        </is>
      </c>
      <c r="H100" s="8" t="inlineStr"/>
      <c r="I100" s="8" t="inlineStr"/>
      <c r="J100" s="8" t="inlineStr"/>
    </row>
    <row r="101">
      <c r="A101" s="9" t="inlineStr">
        <is>
          <t>q48_other_ins_reg</t>
        </is>
      </c>
      <c r="B101" s="10" t="inlineStr">
        <is>
          <t>48. Are you registered with another health insurance plan?</t>
        </is>
      </c>
      <c r="C101" s="10" t="inlineStr">
        <is>
          <t>Household member: ~~strip(Q30_NAME(curocc()))~~ (Roster line ~~PRIV_MEMBER_LINE_NO~~) 48. Are you registered with another health insurance plan?</t>
        </is>
      </c>
      <c r="D101" s="10" t="inlineStr"/>
      <c r="E101" s="10" t="inlineStr"/>
      <c r="F101" s="10" t="inlineStr">
        <is>
          <t>C. Private Health Insurance (Q48-Q50) — per member (roster ×20)</t>
        </is>
      </c>
      <c r="G101" s="10" t="inlineStr">
        <is>
          <t>numeric 2</t>
        </is>
      </c>
      <c r="H101" s="10" t="inlineStr">
        <is>
          <t>01 = Yes
02 = No</t>
        </is>
      </c>
      <c r="I101" s="10" t="inlineStr">
        <is>
          <t>55 = I don't know</t>
        </is>
      </c>
      <c r="J101" s="10" t="inlineStr"/>
    </row>
    <row r="102">
      <c r="A102" s="7" t="inlineStr">
        <is>
          <t>q49_private_ins</t>
        </is>
      </c>
      <c r="B102" s="8" t="inlineStr">
        <is>
          <t>49. Is (NAME) covered by a private health insurance either as a member or dependent? (Example: Maxicare, Intellicare, Pacific Cross Health Care)</t>
        </is>
      </c>
      <c r="C102" s="8" t="inlineStr">
        <is>
          <t>Household member: ~~strip(Q30_NAME(curocc()))~~ (Roster line ~~PRIV_MEMBER_LINE_NO~~) 49. Is ~~strip(Q30_NAME(curocc()))~~ covered by a private health insurance either as a member or dependent? (Example: Maxicare, Intellicare, Pacific Cross Health Care)</t>
        </is>
      </c>
      <c r="D102" s="8" t="inlineStr"/>
      <c r="E102" s="8">
        <f> No / No private insurance → End of member-iteration (skip Q50 other-specify)</f>
        <v/>
      </c>
      <c r="F102" s="8" t="inlineStr">
        <is>
          <t>C. Private Health Insurance (Q48-Q50) — per member (roster ×20)</t>
        </is>
      </c>
      <c r="G102" s="8" t="inlineStr">
        <is>
          <t>numeric 2</t>
        </is>
      </c>
      <c r="H102" s="8" t="inlineStr">
        <is>
          <t>01 = Yes
02 = No</t>
        </is>
      </c>
      <c r="I102" s="8" t="inlineStr">
        <is>
          <t>55 = I don't know</t>
        </is>
      </c>
      <c r="J102" s="8" t="inlineStr">
        <is>
          <t>[HARD] Required, ∈ value set</t>
        </is>
      </c>
    </row>
    <row r="103">
      <c r="A103" s="9" t="inlineStr">
        <is>
          <t>q50_private_ins_other_txt</t>
        </is>
      </c>
      <c r="B103" s="10" t="inlineStr">
        <is>
          <t>50. Others (Specify)</t>
        </is>
      </c>
      <c r="C103" s="10" t="inlineStr">
        <is>
          <t>Household member: ~~strip(Q30_NAME(curocc()))~~ (Roster line ~~PRIV_MEMBER_LINE_NO~~) 50. Others (Specify)</t>
        </is>
      </c>
      <c r="D103" s="10" t="inlineStr">
        <is>
          <t>not asked when Q49 PRIVATE_INS = No / No private insurance</t>
        </is>
      </c>
      <c r="E103" s="10" t="inlineStr"/>
      <c r="F103" s="10" t="inlineStr">
        <is>
          <t>C. Private Health Insurance (Q48-Q50) — per member (roster ×20)</t>
        </is>
      </c>
      <c r="G103" s="10" t="inlineStr">
        <is>
          <t>alpha 120</t>
        </is>
      </c>
      <c r="H103" s="10" t="inlineStr"/>
      <c r="I103" s="10" t="inlineStr"/>
      <c r="J103" s="10" t="inlineStr"/>
    </row>
    <row r="104">
      <c r="A104" s="7" t="inlineStr">
        <is>
          <t>q51_uhc_heard</t>
        </is>
      </c>
      <c r="B104" s="8" t="inlineStr">
        <is>
          <t>51. Have you heard about Universal Health Care (UHC) prior to this survey?</t>
        </is>
      </c>
      <c r="C104" s="8" t="inlineStr">
        <is>
          <t>We will now ask about your awareness of the Universal Health Care (UHC). 51. Have you heard about Universal Health Care (UHC) prior to this survey? Note to enumerator [do not read]: This section is for awareness of the Universal Health Care (UHC). Ask all questions in this section unless a skip rule applies.</t>
        </is>
      </c>
      <c r="D104" s="8" t="inlineStr"/>
      <c r="E104" s="8">
        <f> No / Don't know → Q54 (skip Q52 sources, Q53 understanding — entire Section D tail)</f>
        <v/>
      </c>
      <c r="F104" s="8" t="inlineStr">
        <is>
          <t>D. Awareness on Universal Health Care (UHC)</t>
        </is>
      </c>
      <c r="G104" s="8" t="inlineStr">
        <is>
          <t>numeric 1</t>
        </is>
      </c>
      <c r="H104" s="8" t="inlineStr">
        <is>
          <t>1 = Yes
2 = No</t>
        </is>
      </c>
      <c r="I104" s="8" t="inlineStr"/>
      <c r="J104" s="8" t="inlineStr">
        <is>
          <t>[HARD] Required, ∈ {Yes, No, Don't know}</t>
        </is>
      </c>
    </row>
    <row r="105">
      <c r="A105" s="9" t="inlineStr">
        <is>
          <t>q52_uhc_source</t>
        </is>
      </c>
      <c r="B105" s="10" t="inlineStr">
        <is>
          <t>52. What is your source of information about UHC?</t>
        </is>
      </c>
      <c r="C105" s="10" t="inlineStr">
        <is>
          <t>52. What is your source of information about UHC? DO NOT READ OPTIONS OUT LOUD. SELECT ALL THAT APPLY.</t>
        </is>
      </c>
      <c r="D105" s="10" t="inlineStr">
        <is>
          <t>not asked when Q51 UHC_HEARD = No / Don't know</t>
        </is>
      </c>
      <c r="E105" s="10" t="inlineStr"/>
      <c r="F105" s="10" t="inlineStr">
        <is>
          <t>D. Awareness on Universal Health Care (UHC)</t>
        </is>
      </c>
      <c r="G105" s="10" t="inlineStr">
        <is>
          <t>alpha 16</t>
        </is>
      </c>
      <c r="H105" s="10" t="inlineStr">
        <is>
          <t>01 = News
02 = Legislation
03 = Social Media
04 = Friends / Family
05 = Health center/facility
06 = LGU/Barangay
99 = Other (Specify)</t>
        </is>
      </c>
      <c r="I105" s="10" t="inlineStr">
        <is>
          <t>90 = I don't know</t>
        </is>
      </c>
      <c r="J105" s="10" t="inlineStr">
        <is>
          <t>[HARD] ≥ 1 option ticked when enabled
[HARD] Cannot be combined with any other option</t>
        </is>
      </c>
    </row>
    <row r="106">
      <c r="A106" s="7" t="inlineStr">
        <is>
          <t>q52_uhc_source_other_txt</t>
        </is>
      </c>
      <c r="B106" s="8" t="inlineStr">
        <is>
          <t>52. What is your source of information about UHC? — Other (specify) text</t>
        </is>
      </c>
      <c r="C106" s="8" t="inlineStr">
        <is>
          <t>52. What is your source of information about UHC? — Other (specify) text</t>
        </is>
      </c>
      <c r="D106" s="8" t="inlineStr">
        <is>
          <t>not asked when Q51 UHC_HEARD = No / Don't know</t>
        </is>
      </c>
      <c r="E106" s="8" t="inlineStr"/>
      <c r="F106" s="8" t="inlineStr">
        <is>
          <t>D. Awareness on Universal Health Care (UHC)</t>
        </is>
      </c>
      <c r="G106" s="8" t="inlineStr">
        <is>
          <t>alpha 120</t>
        </is>
      </c>
      <c r="H106" s="8" t="inlineStr"/>
      <c r="I106" s="8" t="inlineStr"/>
      <c r="J106" s="8" t="inlineStr"/>
    </row>
    <row r="107">
      <c r="A107" s="9" t="inlineStr">
        <is>
          <t>q53_uhc_understand</t>
        </is>
      </c>
      <c r="B107" s="10" t="inlineStr">
        <is>
          <t>53. What is your understanding about UHC?</t>
        </is>
      </c>
      <c r="C107" s="10" t="inlineStr">
        <is>
          <t>53. What is your understanding about UHC? DO NOT READ OPTIONS OUT LOUD. SELECT ALL THAT APPLY.</t>
        </is>
      </c>
      <c r="D107" s="10" t="inlineStr">
        <is>
          <t>not asked when Q51 UHC_HEARD = No / Don't know</t>
        </is>
      </c>
      <c r="E107" s="10" t="inlineStr"/>
      <c r="F107" s="10" t="inlineStr">
        <is>
          <t>D. Awareness on Universal Health Care (UHC)</t>
        </is>
      </c>
      <c r="G107" s="10" t="inlineStr">
        <is>
          <t>alpha 12</t>
        </is>
      </c>
      <c r="H107" s="10" t="inlineStr">
        <is>
          <t>01 = Protection from financial risk/decreased out-of-pocket spending
02 = Access to quality and affordable health care goods and services
03 = Automatic enrollment into PhilHealth
04 = Primary care provider for every Filipino
99 = Other (Specify)</t>
        </is>
      </c>
      <c r="I107" s="10" t="inlineStr">
        <is>
          <t>90 = I don't know</t>
        </is>
      </c>
      <c r="J107" s="10" t="inlineStr">
        <is>
          <t>[HARD] ≥ 1 option ticked when enabled</t>
        </is>
      </c>
    </row>
    <row r="108">
      <c r="A108" s="7" t="inlineStr">
        <is>
          <t>q53_uhc_understand_other_txt</t>
        </is>
      </c>
      <c r="B108" s="8" t="inlineStr">
        <is>
          <t>53. What is your understanding about UHC? — Other (specify) text</t>
        </is>
      </c>
      <c r="C108" s="8" t="inlineStr">
        <is>
          <t>53. What is your understanding about UHC? — Other (specify) text</t>
        </is>
      </c>
      <c r="D108" s="8" t="inlineStr">
        <is>
          <t>not asked when Q51 UHC_HEARD = No / Don't know</t>
        </is>
      </c>
      <c r="E108" s="8" t="inlineStr"/>
      <c r="F108" s="8" t="inlineStr">
        <is>
          <t>D. Awareness on Universal Health Care (UHC)</t>
        </is>
      </c>
      <c r="G108" s="8" t="inlineStr">
        <is>
          <t>alpha 120</t>
        </is>
      </c>
      <c r="H108" s="8" t="inlineStr"/>
      <c r="I108" s="8" t="inlineStr"/>
      <c r="J108" s="8" t="inlineStr"/>
    </row>
    <row r="109">
      <c r="A109" s="9" t="inlineStr">
        <is>
          <t>q54_yakap_heard</t>
        </is>
      </c>
      <c r="B109" s="10" t="inlineStr">
        <is>
          <t>54. Have you heard of the term "YAKAP/Konsulta package"?</t>
        </is>
      </c>
      <c r="C109" s="10" t="inlineStr">
        <is>
          <t>We will now ask about your awareness of the YAKAP/Konsulta package. 54. Have you heard of the term "YAKAP/Konsulta package"? Note to enumerator [do not read]: This section is for awareness of the YAKAP/Konsulta package. Ask all questions in this section unless a skip rule applies.</t>
        </is>
      </c>
      <c r="D109" s="10" t="inlineStr"/>
      <c r="E109" s="10">
        <f> No / Don't know → Q57 (skip Q55 sources, Q56 understanding)</f>
        <v/>
      </c>
      <c r="F109" s="10" t="inlineStr">
        <is>
          <t>E. YAKAP/Konsulta Awareness</t>
        </is>
      </c>
      <c r="G109" s="10" t="inlineStr">
        <is>
          <t>numeric 1</t>
        </is>
      </c>
      <c r="H109" s="10" t="inlineStr">
        <is>
          <t>1 = Yes
2 = No</t>
        </is>
      </c>
      <c r="I109" s="10" t="inlineStr"/>
      <c r="J109" s="10" t="inlineStr">
        <is>
          <t>[HARD] Required, ∈ {Yes, No, Don't know}</t>
        </is>
      </c>
    </row>
    <row r="110">
      <c r="A110" s="7" t="inlineStr">
        <is>
          <t>q55_yakap_source</t>
        </is>
      </c>
      <c r="B110" s="8" t="inlineStr">
        <is>
          <t>55. What are your sources of information about the YAKAP/Konsulta package?</t>
        </is>
      </c>
      <c r="C110" s="8" t="inlineStr">
        <is>
          <t>55. What are your sources of information about the YAKAP/Konsulta package? DO NOT READ OPTIONS OUT LOUD. SELECT ALL THAT APPLY.</t>
        </is>
      </c>
      <c r="D110" s="8" t="inlineStr">
        <is>
          <t>not asked when Q54 YAKAP_HEARD = No / Don't know</t>
        </is>
      </c>
      <c r="E110" s="8" t="inlineStr"/>
      <c r="F110" s="8" t="inlineStr">
        <is>
          <t>E. YAKAP/Konsulta Awareness</t>
        </is>
      </c>
      <c r="G110" s="8" t="inlineStr">
        <is>
          <t>alpha 16</t>
        </is>
      </c>
      <c r="H110" s="8" t="inlineStr">
        <is>
          <t>01 = News
02 = Legislation
03 = Social Media
04 = Friends / Family
05 = Health center/facility
06 = LGU/Barangay
99 = Other (Specify)</t>
        </is>
      </c>
      <c r="I110" s="8" t="inlineStr">
        <is>
          <t>90 = I don't know</t>
        </is>
      </c>
      <c r="J110" s="8" t="inlineStr">
        <is>
          <t>[HARD] ≥ 1 option ticked when enabled; "Don't know" mutex; `_OTHER_TXT` required on Other</t>
        </is>
      </c>
    </row>
    <row r="111">
      <c r="A111" s="9" t="inlineStr">
        <is>
          <t>q55_yakap_source_other_txt</t>
        </is>
      </c>
      <c r="B111" s="10" t="inlineStr">
        <is>
          <t>55. What are your sources of information about the YAKAP/Konsulta package? — Other (specify) text</t>
        </is>
      </c>
      <c r="C111" s="10" t="inlineStr">
        <is>
          <t>55. What are your sources of information about the YAKAP/Konsulta package? — Other (specify) text</t>
        </is>
      </c>
      <c r="D111" s="10" t="inlineStr">
        <is>
          <t>not asked when Q54 YAKAP_HEARD = No / Don't know</t>
        </is>
      </c>
      <c r="E111" s="10" t="inlineStr"/>
      <c r="F111" s="10" t="inlineStr">
        <is>
          <t>E. YAKAP/Konsulta Awareness</t>
        </is>
      </c>
      <c r="G111" s="10" t="inlineStr">
        <is>
          <t>alpha 120</t>
        </is>
      </c>
      <c r="H111" s="10" t="inlineStr"/>
      <c r="I111" s="10" t="inlineStr"/>
      <c r="J111" s="10" t="inlineStr"/>
    </row>
    <row r="112">
      <c r="A112" s="7" t="inlineStr">
        <is>
          <t>q56_yakap_understand</t>
        </is>
      </c>
      <c r="B112" s="8" t="inlineStr">
        <is>
          <t>56. What is your understanding about the YAKAP/Konsulta package?</t>
        </is>
      </c>
      <c r="C112" s="8" t="inlineStr">
        <is>
          <t>56. What is your understanding about the YAKAP/Konsulta package? DO NOT READ OPTIONS OUT LOUD. SELECT ALL THAT APPLY.</t>
        </is>
      </c>
      <c r="D112" s="8" t="inlineStr">
        <is>
          <t>not asked when Q54 YAKAP_HEARD = No / Don't know</t>
        </is>
      </c>
      <c r="E112" s="8" t="inlineStr"/>
      <c r="F112" s="8" t="inlineStr">
        <is>
          <t>E. YAKAP/Konsulta Awareness</t>
        </is>
      </c>
      <c r="G112" s="8" t="inlineStr">
        <is>
          <t>alpha 14</t>
        </is>
      </c>
      <c r="H112" s="8" t="inlineStr">
        <is>
          <t>01 = Free primary care consultation (with a registered YAKAP/Konsulta provider)
02 = Free health risk screening and assessment (with a registered YAKAP/Konsulta provider)
03 = Free selected laboratory / diagnostics examination
04 = Free selected drugs and medicines
05 = There are no benefits in the package
99 = Other (Specify)</t>
        </is>
      </c>
      <c r="I112" s="8" t="inlineStr">
        <is>
          <t>90 = I don't know</t>
        </is>
      </c>
      <c r="J112" s="8" t="inlineStr">
        <is>
          <t>[HARD] ≥ 1 option ticked when enabled; "Don't know" mutex; `_OTHER_TXT` required on Other</t>
        </is>
      </c>
    </row>
    <row r="113">
      <c r="A113" s="9" t="inlineStr">
        <is>
          <t>q56_yakap_understand_other_txt</t>
        </is>
      </c>
      <c r="B113" s="10" t="inlineStr">
        <is>
          <t>56. What is your understanding about the YAKAP/Konsulta package? — Other (specify) text</t>
        </is>
      </c>
      <c r="C113" s="10" t="inlineStr">
        <is>
          <t>56. What is your understanding about the YAKAP/Konsulta package? — Other (specify) text</t>
        </is>
      </c>
      <c r="D113" s="10" t="inlineStr">
        <is>
          <t>not asked when Q54 YAKAP_HEARD = No / Don't know</t>
        </is>
      </c>
      <c r="E113" s="10" t="inlineStr"/>
      <c r="F113" s="10" t="inlineStr">
        <is>
          <t>E. YAKAP/Konsulta Awareness</t>
        </is>
      </c>
      <c r="G113" s="10" t="inlineStr">
        <is>
          <t>alpha 120</t>
        </is>
      </c>
      <c r="H113" s="10" t="inlineStr"/>
      <c r="I113" s="10" t="inlineStr"/>
      <c r="J113" s="10" t="inlineStr"/>
    </row>
    <row r="114">
      <c r="A114" s="7" t="inlineStr">
        <is>
          <t>area_has_bucas</t>
        </is>
      </c>
      <c r="B114" s="8" t="inlineStr">
        <is>
          <t>Does this area have a Bagong Urgent Care and Ambulatory Services (BUCAS) center? (Q57-Q61 apply only to areas with a BUCAS center.)</t>
        </is>
      </c>
      <c r="C114" s="8" t="inlineStr">
        <is>
          <t>Does this area have a Bagong Urgent Care and Ambulatory Services (BUCAS) center? (Q57-Q61 apply only to areas with a BUCAS center.)</t>
        </is>
      </c>
      <c r="D114" s="8" t="inlineStr"/>
      <c r="E114" s="8" t="inlineStr"/>
      <c r="F114" s="8" t="inlineStr">
        <is>
          <t>F. Bagong Urgent Care and Ambulatory Service (BUCAS) Awareness and Utilization</t>
        </is>
      </c>
      <c r="G114" s="8" t="inlineStr">
        <is>
          <t>numeric 1</t>
        </is>
      </c>
      <c r="H114" s="8" t="inlineStr">
        <is>
          <t>1 = Yes
2 = No</t>
        </is>
      </c>
      <c r="I114" s="8" t="inlineStr"/>
      <c r="J114" s="8" t="inlineStr"/>
    </row>
    <row r="115">
      <c r="A115" s="9" t="inlineStr">
        <is>
          <t>q57_bucas_heard</t>
        </is>
      </c>
      <c r="B115" s="10" t="inlineStr">
        <is>
          <t>57. Have you heard about Bagong Urgent Care and Ambulatory Service (BUCAS) center?</t>
        </is>
      </c>
      <c r="C115" s="10" t="inlineStr">
        <is>
          <t>We will now ask about your awareness of BUCAS and the services you have accessed in a BUCAS Center. 57. Have you heard about Bagong Urgent Care and Ambulatory Service (BUCAS) center? Note to enumerator [do not read]: This section is for awareness of the BUCAS and the services you have accessed in a BUCAS Center. Ask all questions in this section unless a skip rule applies. Q57 to Q61 are applicable only to respondents in areas with BUCAS.</t>
        </is>
      </c>
      <c r="D115" s="10" t="inlineStr"/>
      <c r="E115" s="10">
        <f> No / Don't know → Q62 (skip Q58 sources, Q59 understanding, Q60 accessed, Q61 services)</f>
        <v/>
      </c>
      <c r="F115" s="10" t="inlineStr">
        <is>
          <t>F. Bagong Urgent Care and Ambulatory Service (BUCAS) Awareness and Utilization</t>
        </is>
      </c>
      <c r="G115" s="10" t="inlineStr">
        <is>
          <t>numeric 1</t>
        </is>
      </c>
      <c r="H115" s="10" t="inlineStr">
        <is>
          <t>1 = Yes
2 = No</t>
        </is>
      </c>
      <c r="I115" s="10" t="inlineStr"/>
      <c r="J115" s="10" t="inlineStr">
        <is>
          <t>[HARD] Required, ∈ {Yes, No, Don't know}</t>
        </is>
      </c>
    </row>
    <row r="116">
      <c r="A116" s="7" t="inlineStr">
        <is>
          <t>q58_bucas_source</t>
        </is>
      </c>
      <c r="B116" s="8" t="inlineStr">
        <is>
          <t>58. If yes, what are your sources of information about this BUCAS center?</t>
        </is>
      </c>
      <c r="C116" s="8" t="inlineStr">
        <is>
          <t>58. If yes, what are your sources of information about this BUCAS center? DO NOT READ OPTIONS OUT LOUD. SELECT ALL THAT APPLY.</t>
        </is>
      </c>
      <c r="D116" s="8" t="inlineStr">
        <is>
          <t>not asked when Q57 BUCAS_HEARD = No / Don't know</t>
        </is>
      </c>
      <c r="E116" s="8" t="inlineStr"/>
      <c r="F116" s="8" t="inlineStr">
        <is>
          <t>F. Bagong Urgent Care and Ambulatory Service (BUCAS) Awareness and Utilization</t>
        </is>
      </c>
      <c r="G116" s="8" t="inlineStr">
        <is>
          <t>alpha 16</t>
        </is>
      </c>
      <c r="H116" s="8" t="inlineStr">
        <is>
          <t>01 = News
02 = Legislation
03 = Social Media
04 = Friends / Family
05 = Health center/facility
06 = LGU/Barangay
99 = Other (Specify)</t>
        </is>
      </c>
      <c r="I116" s="8" t="inlineStr">
        <is>
          <t>90 = I don't know</t>
        </is>
      </c>
      <c r="J116" s="8" t="inlineStr">
        <is>
          <t>[HARD] Select-all; "Don't know" mutex; `_OTHER_TXT` on Other</t>
        </is>
      </c>
    </row>
    <row r="117">
      <c r="A117" s="9" t="inlineStr">
        <is>
          <t>q58_bucas_source_other_txt</t>
        </is>
      </c>
      <c r="B117" s="10" t="inlineStr">
        <is>
          <t>58. If yes, what are your sources of information about this BUCAS center? — Other (specify) text</t>
        </is>
      </c>
      <c r="C117" s="10" t="inlineStr">
        <is>
          <t>58. If yes, what are your sources of information about this BUCAS center? — Other (specify) text</t>
        </is>
      </c>
      <c r="D117" s="10" t="inlineStr">
        <is>
          <t>not asked when Q57 BUCAS_HEARD = No / Don't know</t>
        </is>
      </c>
      <c r="E117" s="10" t="inlineStr"/>
      <c r="F117" s="10" t="inlineStr">
        <is>
          <t>F. Bagong Urgent Care and Ambulatory Service (BUCAS) Awareness and Utilization</t>
        </is>
      </c>
      <c r="G117" s="10" t="inlineStr">
        <is>
          <t>alpha 120</t>
        </is>
      </c>
      <c r="H117" s="10" t="inlineStr"/>
      <c r="I117" s="10" t="inlineStr"/>
      <c r="J117" s="10" t="inlineStr"/>
    </row>
    <row r="118">
      <c r="A118" s="7" t="inlineStr">
        <is>
          <t>q59_bucas_understand</t>
        </is>
      </c>
      <c r="B118" s="8" t="inlineStr">
        <is>
          <t>59. What is your understanding about a BUCAS center?</t>
        </is>
      </c>
      <c r="C118" s="8" t="inlineStr">
        <is>
          <t>59. What is your understanding about a BUCAS center? DO NOT READ OPTIONS OUT LOUD. SELECT ALL THAT APPLY.</t>
        </is>
      </c>
      <c r="D118" s="8" t="inlineStr">
        <is>
          <t>not asked when Q57 BUCAS_HEARD = No / Don't know</t>
        </is>
      </c>
      <c r="E118" s="8" t="inlineStr"/>
      <c r="F118" s="8" t="inlineStr">
        <is>
          <t>F. Bagong Urgent Care and Ambulatory Service (BUCAS) Awareness and Utilization</t>
        </is>
      </c>
      <c r="G118" s="8" t="inlineStr">
        <is>
          <t>alpha 10</t>
        </is>
      </c>
      <c r="H118" s="8" t="inlineStr">
        <is>
          <t>01 = Provides urgent care for non-life-threatening/serious conditions
02 = Offers outpatient and ambulatory health services
03 = Helps reduce overcrowding in hospitals
04 = Allows access to timely medical consultation and treatment
99 = Other (specify)</t>
        </is>
      </c>
      <c r="I118" s="8" t="inlineStr"/>
      <c r="J118" s="8" t="inlineStr">
        <is>
          <t>[HARD] Select-all; "Don't know" mutex; `_OTHER_TXT` on Other</t>
        </is>
      </c>
    </row>
    <row r="119">
      <c r="A119" s="9" t="inlineStr">
        <is>
          <t>q59_bucas_understand_other_txt</t>
        </is>
      </c>
      <c r="B119" s="10" t="inlineStr">
        <is>
          <t>59. What is your understanding about a BUCAS center? — Other (specify) text</t>
        </is>
      </c>
      <c r="C119" s="10" t="inlineStr">
        <is>
          <t>59. What is your understanding about a BUCAS center? — Other (specify) text</t>
        </is>
      </c>
      <c r="D119" s="10" t="inlineStr">
        <is>
          <t>not asked when Q57 BUCAS_HEARD = No / Don't know</t>
        </is>
      </c>
      <c r="E119" s="10" t="inlineStr"/>
      <c r="F119" s="10" t="inlineStr">
        <is>
          <t>F. Bagong Urgent Care and Ambulatory Service (BUCAS) Awareness and Utilization</t>
        </is>
      </c>
      <c r="G119" s="10" t="inlineStr">
        <is>
          <t>alpha 120</t>
        </is>
      </c>
      <c r="H119" s="10" t="inlineStr"/>
      <c r="I119" s="10" t="inlineStr"/>
      <c r="J119" s="10" t="inlineStr"/>
    </row>
    <row r="120">
      <c r="A120" s="7" t="inlineStr">
        <is>
          <t>q60_bucas_accessed</t>
        </is>
      </c>
      <c r="B120" s="8" t="inlineStr">
        <is>
          <t>60. In the last six months, did you or any member of your HH accessed the services in a BUCAS center?</t>
        </is>
      </c>
      <c r="C120" s="8" t="inlineStr">
        <is>
          <t>60. In the last six months, did you or any member of your HH accessed the services in a BUCAS center?</t>
        </is>
      </c>
      <c r="D120" s="8" t="inlineStr">
        <is>
          <t>not asked when Q57 BUCAS_HEARD = No / Don't know</t>
        </is>
      </c>
      <c r="E120" s="8">
        <f> No → Q62 (skip Q61 services)</f>
        <v/>
      </c>
      <c r="F120" s="8" t="inlineStr">
        <is>
          <t>F. Bagong Urgent Care and Ambulatory Service (BUCAS) Awareness and Utilization</t>
        </is>
      </c>
      <c r="G120" s="8" t="inlineStr">
        <is>
          <t>numeric 1</t>
        </is>
      </c>
      <c r="H120" s="8" t="inlineStr">
        <is>
          <t>1 = Yes
2 = No</t>
        </is>
      </c>
      <c r="I120" s="8" t="inlineStr"/>
      <c r="J120" s="8" t="inlineStr">
        <is>
          <t>[HARD] Required when `Q57 = Yes`, ∈ {Yes, No}</t>
        </is>
      </c>
    </row>
    <row r="121">
      <c r="A121" s="9" t="inlineStr">
        <is>
          <t>q61_bucas_services</t>
        </is>
      </c>
      <c r="B121" s="10" t="inlineStr">
        <is>
          <t>61. If yes, which of the services did you avail?</t>
        </is>
      </c>
      <c r="C121" s="10" t="inlineStr">
        <is>
          <t>61. If yes, which of the services did you avail? SELECT ALL THAT APPLY.</t>
        </is>
      </c>
      <c r="D121" s="10" t="inlineStr">
        <is>
          <t>not asked when Q57 BUCAS_HEARD = No / Don't know
not asked when Q60 BUCAS_ACCESSED = No</t>
        </is>
      </c>
      <c r="E121" s="10" t="inlineStr"/>
      <c r="F121" s="10" t="inlineStr">
        <is>
          <t>F. Bagong Urgent Care and Ambulatory Service (BUCAS) Awareness and Utilization</t>
        </is>
      </c>
      <c r="G121" s="10" t="inlineStr">
        <is>
          <t>alpha 14</t>
        </is>
      </c>
      <c r="H121" s="10" t="inlineStr">
        <is>
          <t>01 = Medical consultation for urgent or minor conditions
02 = Outpatient or ambulatory care services
03 = Basic diagnostic services (e.g., laboratory tests, X-ray)
04 = Minor procedures or treatments
05 = Referral to higher-level health facilities
99 = Other (specify)</t>
        </is>
      </c>
      <c r="I121" s="10" t="inlineStr">
        <is>
          <t>90 = I don't know</t>
        </is>
      </c>
      <c r="J121" s="10" t="inlineStr">
        <is>
          <t>[HARD] ≥ 1 option ticked when enabled</t>
        </is>
      </c>
    </row>
    <row r="122">
      <c r="A122" s="7" t="inlineStr">
        <is>
          <t>q61_bucas_services_other_txt</t>
        </is>
      </c>
      <c r="B122" s="8" t="inlineStr">
        <is>
          <t>61. If yes, which of the services did you avail? — Other (specify) text</t>
        </is>
      </c>
      <c r="C122" s="8" t="inlineStr">
        <is>
          <t>61. If yes, which of the services did you avail? — Other (specify) text</t>
        </is>
      </c>
      <c r="D122" s="8" t="inlineStr">
        <is>
          <t>not asked when Q57 BUCAS_HEARD = No / Don't know
not asked when Q60 BUCAS_ACCESSED = No</t>
        </is>
      </c>
      <c r="E122" s="8" t="inlineStr"/>
      <c r="F122" s="8" t="inlineStr">
        <is>
          <t>F. Bagong Urgent Care and Ambulatory Service (BUCAS) Awareness and Utilization</t>
        </is>
      </c>
      <c r="G122" s="8" t="inlineStr">
        <is>
          <t>alpha 120</t>
        </is>
      </c>
      <c r="H122" s="8" t="inlineStr"/>
      <c r="I122" s="8" t="inlineStr"/>
      <c r="J122" s="8" t="inlineStr"/>
    </row>
    <row r="123">
      <c r="A123" s="9" t="inlineStr">
        <is>
          <t>q62_purchase_freq</t>
        </is>
      </c>
      <c r="B123" s="10" t="inlineStr">
        <is>
          <t>62. How often do you purchase or receive medicines?</t>
        </is>
      </c>
      <c r="C123" s="10" t="inlineStr">
        <is>
          <t>The next questions we will be asking are related to your access to medicines. We would like to know how easy or difficult it is for you and members of your household to purchase or receive medicines. 62. How often do you purchase or receive medicines? Note to enumerator [do not read]: This section is for the Access to Medicines of the household. For this section, we will ask the respondent about how easy or difficult it is for them to purchase or receive medicines. Ask all questions in this section unless a skip rule applies.</t>
        </is>
      </c>
      <c r="D123" s="10" t="inlineStr"/>
      <c r="E123" s="10">
        <f> Never (5) → Q69 (skip Q63–Q68 — never purchases → skip Rx/conditions/where/travel/ease)</f>
        <v/>
      </c>
      <c r="F123" s="10" t="inlineStr">
        <is>
          <t>G. Access to Medicines</t>
        </is>
      </c>
      <c r="G123" s="10" t="inlineStr">
        <is>
          <t>numeric 1</t>
        </is>
      </c>
      <c r="H123" s="10" t="inlineStr">
        <is>
          <t>1 = Weekly
2 = Bi-weekly
3 = Monthly
4 = Rarely
5 = Never</t>
        </is>
      </c>
      <c r="I123" s="10" t="inlineStr"/>
      <c r="J123" s="10" t="inlineStr">
        <is>
          <t>[HARD] Required, ∈ {1–5}</t>
        </is>
      </c>
    </row>
    <row r="124">
      <c r="A124" s="7" t="inlineStr">
        <is>
          <t>q63_prescription_type</t>
        </is>
      </c>
      <c r="B124" s="8" t="inlineStr">
        <is>
          <t>63. Was the most recent medicine purchased prescribed by a doctor or over-the-counter (OTC) medicine (no need for a prescription)?</t>
        </is>
      </c>
      <c r="C124" s="8" t="inlineStr">
        <is>
          <t>63. Was the most recent medicine purchased prescribed by a doctor or over-the-counter (OTC) medicine (no need for a prescription)?</t>
        </is>
      </c>
      <c r="D124" s="8" t="inlineStr">
        <is>
          <t>not asked when Q62 PURCHASE_FREQ = Never (5)</t>
        </is>
      </c>
      <c r="E124" s="8" t="inlineStr"/>
      <c r="F124" s="8" t="inlineStr">
        <is>
          <t>G. Access to Medicines</t>
        </is>
      </c>
      <c r="G124" s="8" t="inlineStr">
        <is>
          <t>numeric 1</t>
        </is>
      </c>
      <c r="H124" s="8" t="inlineStr">
        <is>
          <t>1 = Prescribed by a doctor
2 = Over-the-counter medicine
3 = Purchased both prescribed medicine and OTC medicine</t>
        </is>
      </c>
      <c r="I124" s="8" t="inlineStr">
        <is>
          <t>4 = I don't know</t>
        </is>
      </c>
      <c r="J124" s="8" t="inlineStr">
        <is>
          <t>[HARD] Required when enabled, ∈ value set</t>
        </is>
      </c>
    </row>
    <row r="125">
      <c r="A125" s="9" t="inlineStr">
        <is>
          <t>q64_medications_list</t>
        </is>
      </c>
      <c r="B125" s="10" t="inlineStr">
        <is>
          <t>64. What are the medications that you or any member of your household usually take? (List all medicines taken for the health condition.)</t>
        </is>
      </c>
      <c r="C125" s="10" t="inlineStr">
        <is>
          <t>64. What are the medications that you or any member of your household usually take? (List all medicines taken for the health condition.) PLEASE LIST DOWN ALL MEDICINES THAT YOU TOOK FOR THE HEALTH CONDITION.</t>
        </is>
      </c>
      <c r="D125" s="10" t="inlineStr"/>
      <c r="E125" s="10" t="inlineStr"/>
      <c r="F125" s="10" t="inlineStr">
        <is>
          <t>G. Access to Medicines</t>
        </is>
      </c>
      <c r="G125" s="10" t="inlineStr">
        <is>
          <t>alpha 500</t>
        </is>
      </c>
      <c r="H125" s="10" t="inlineStr"/>
      <c r="I125" s="10" t="inlineStr"/>
      <c r="J125" s="10" t="inlineStr">
        <is>
          <t>[HARD] Required when enabled, non-blank; ≤ 240 chars (monitor per F3 note)</t>
        </is>
      </c>
    </row>
    <row r="126">
      <c r="A126" s="7" t="inlineStr">
        <is>
          <t>q65_conditions</t>
        </is>
      </c>
      <c r="B126" s="8" t="inlineStr">
        <is>
          <t>65. What are the medical conditions that you/your household member/s take the medicine/s for?</t>
        </is>
      </c>
      <c r="C126" s="8" t="inlineStr">
        <is>
          <t>65. What are the medical conditions that you/your household member/s take the medicine/s for?</t>
        </is>
      </c>
      <c r="D126" s="8" t="inlineStr"/>
      <c r="E126" s="8" t="inlineStr"/>
      <c r="F126" s="8" t="inlineStr">
        <is>
          <t>G. Access to Medicines</t>
        </is>
      </c>
      <c r="G126" s="8" t="inlineStr">
        <is>
          <t>alpha 40</t>
        </is>
      </c>
      <c r="H126" s="8" t="inlineStr">
        <is>
          <t>01 = Upper respiratory infection
02 = Hypertension
03 = Immunization
04 = Pregnancy or birth
05 = Flu
06 = Fever
07 = Joint and muscle pain
08 = Asthma or COPD (chronic breathing problem, not cancer)
09 = Diabetes
10 = Heart problem
11 = Kidney problem / Dialysis
12 = Cancer (any)
13 = Gastro problem (vomiting, diarrhea, etc.)
14 = Other infection (e.g. urine, skin, other virus etc.)
15 = Accident/injury (e.g. wound/broken bone)
16 = Dental
17 = ENT (problem with ear/nose/throat)
18 = Allergy
90 = No condition - Regular check-up only
99 = Other (Specify)</t>
        </is>
      </c>
      <c r="I126" s="8" t="inlineStr"/>
      <c r="J126" s="8" t="inlineStr">
        <is>
          <t>[HARD] ≥ 1 option ticked when enabled</t>
        </is>
      </c>
    </row>
    <row r="127">
      <c r="A127" s="9" t="inlineStr">
        <is>
          <t>q65_conditions_other_txt</t>
        </is>
      </c>
      <c r="B127" s="10" t="inlineStr">
        <is>
          <t>65. What are the medical conditions that you/your household member/s take the medicine/s for? — Other (specify) text</t>
        </is>
      </c>
      <c r="C127" s="10" t="inlineStr">
        <is>
          <t>65. What are the medical conditions that you/your household member/s take the medicine/s for? — Other (specify) text</t>
        </is>
      </c>
      <c r="D127" s="10" t="inlineStr"/>
      <c r="E127" s="10" t="inlineStr"/>
      <c r="F127" s="10" t="inlineStr">
        <is>
          <t>G. Access to Medicines</t>
        </is>
      </c>
      <c r="G127" s="10" t="inlineStr">
        <is>
          <t>alpha 120</t>
        </is>
      </c>
      <c r="H127" s="10" t="inlineStr"/>
      <c r="I127" s="10" t="inlineStr"/>
      <c r="J127" s="10" t="inlineStr"/>
    </row>
    <row r="128">
      <c r="A128" s="7" t="inlineStr">
        <is>
          <t>q66_where_buy</t>
        </is>
      </c>
      <c r="B128" s="8" t="inlineStr">
        <is>
          <t>66. Where do you usually buy or receive your medicines?</t>
        </is>
      </c>
      <c r="C128" s="8" t="inlineStr">
        <is>
          <t>66. Where do you usually buy or receive your medicines?</t>
        </is>
      </c>
      <c r="D128" s="8" t="inlineStr"/>
      <c r="E128" s="8" t="inlineStr"/>
      <c r="F128" s="8" t="inlineStr">
        <is>
          <t>G. Access to Medicines</t>
        </is>
      </c>
      <c r="G128" s="8" t="inlineStr">
        <is>
          <t>alpha 16</t>
        </is>
      </c>
      <c r="H128" s="8" t="inlineStr">
        <is>
          <t>01 = Public Hospital
02 = Private Hospital
03 = Chain Pharmacies (e.g. Mercury Drug, Watsons, TGP, Generika)
04 = Local pharmacies
05 = Online stores (e.g. Shopee, Lazada)
06 = Barangay Health Station
07 = Rural Health Unit or City Health Office
99 = Other (specify)</t>
        </is>
      </c>
      <c r="I128" s="8" t="inlineStr"/>
      <c r="J128" s="8" t="inlineStr">
        <is>
          <t>[HARD] ≥ 1 option ticked when enabled</t>
        </is>
      </c>
    </row>
    <row r="129">
      <c r="A129" s="9" t="inlineStr">
        <is>
          <t>q66_where_buy_other_txt</t>
        </is>
      </c>
      <c r="B129" s="10" t="inlineStr">
        <is>
          <t>66. Where do you usually buy or receive your medicines? — Other (specify) text</t>
        </is>
      </c>
      <c r="C129" s="10" t="inlineStr">
        <is>
          <t>66. Where do you usually buy or receive your medicines? — Other (specify) text</t>
        </is>
      </c>
      <c r="D129" s="10" t="inlineStr"/>
      <c r="E129" s="10" t="inlineStr"/>
      <c r="F129" s="10" t="inlineStr">
        <is>
          <t>G. Access to Medicines</t>
        </is>
      </c>
      <c r="G129" s="10" t="inlineStr">
        <is>
          <t>alpha 120</t>
        </is>
      </c>
      <c r="H129" s="10" t="inlineStr"/>
      <c r="I129" s="10" t="inlineStr"/>
      <c r="J129" s="10" t="inlineStr"/>
    </row>
    <row r="130">
      <c r="A130" s="7" t="inlineStr">
        <is>
          <t>q67_travel_hh</t>
        </is>
      </c>
      <c r="B130" s="8" t="inlineStr">
        <is>
          <t>67. How much time does it take to reach the nearest pharmacy from your home? — Hours</t>
        </is>
      </c>
      <c r="C130" s="8" t="inlineStr">
        <is>
          <t>67. How much time does it take to reach the nearest pharmacy from your home? — Hours A Pharmacy is an ancillary primary care facility with a FDA LTO where registered medicines can be bought.</t>
        </is>
      </c>
      <c r="D130" s="8" t="inlineStr"/>
      <c r="E130" s="8" t="inlineStr"/>
      <c r="F130" s="8" t="inlineStr">
        <is>
          <t>G. Access to Medicines</t>
        </is>
      </c>
      <c r="G130" s="8" t="inlineStr">
        <is>
          <t>numeric 2</t>
        </is>
      </c>
      <c r="H130" s="8" t="inlineStr"/>
      <c r="I130" s="8" t="inlineStr"/>
      <c r="J130" s="8" t="inlineStr"/>
    </row>
    <row r="131">
      <c r="A131" s="9" t="inlineStr">
        <is>
          <t>q67_travel_mm</t>
        </is>
      </c>
      <c r="B131" s="10" t="inlineStr">
        <is>
          <t>67. How much time does it take to reach the nearest pharmacy from your home? — Minutes</t>
        </is>
      </c>
      <c r="C131" s="10" t="inlineStr">
        <is>
          <t>67. How much time does it take to reach the nearest pharmacy from your home? — Minutes A Pharmacy is an ancillary primary care facility with a FDA LTO where registered medicines can be bought.</t>
        </is>
      </c>
      <c r="D131" s="10" t="inlineStr"/>
      <c r="E131" s="10" t="inlineStr"/>
      <c r="F131" s="10" t="inlineStr">
        <is>
          <t>G. Access to Medicines</t>
        </is>
      </c>
      <c r="G131" s="10" t="inlineStr">
        <is>
          <t>numeric 2</t>
        </is>
      </c>
      <c r="H131" s="10" t="inlineStr"/>
      <c r="I131" s="10" t="inlineStr"/>
      <c r="J131" s="10" t="inlineStr"/>
    </row>
    <row r="132">
      <c r="A132" s="7" t="inlineStr">
        <is>
          <t>q68_pharmacy_access</t>
        </is>
      </c>
      <c r="B132" s="8" t="inlineStr">
        <is>
          <t>68. How easy is it for you to access a pharmacy or drugstore?</t>
        </is>
      </c>
      <c r="C132" s="8" t="inlineStr">
        <is>
          <t>68. How easy is it for you to access a pharmacy or drugstore?</t>
        </is>
      </c>
      <c r="D132" s="8" t="inlineStr">
        <is>
          <t>not asked when Q62 PURCHASE_FREQ = Never (5)</t>
        </is>
      </c>
      <c r="E132" s="8" t="inlineStr"/>
      <c r="F132" s="8" t="inlineStr">
        <is>
          <t>G. Access to Medicines</t>
        </is>
      </c>
      <c r="G132" s="8" t="inlineStr">
        <is>
          <t>numeric 1</t>
        </is>
      </c>
      <c r="H132" s="8" t="inlineStr">
        <is>
          <t>1 = Very difficult
2 = Difficult
3 = Neutral
4 = Easy
5 = Very easy</t>
        </is>
      </c>
      <c r="I132" s="8" t="inlineStr"/>
      <c r="J132" s="8" t="inlineStr">
        <is>
          <t>[HARD] Required when enabled, ∈ value set</t>
        </is>
      </c>
    </row>
    <row r="133">
      <c r="A133" s="9" t="inlineStr">
        <is>
          <t>area_has_gamot</t>
        </is>
      </c>
      <c r="B133" s="10" t="inlineStr">
        <is>
          <t>Does this area have a Guaranteed and Accessible Medications for Outpatient Treatment (GAMOT) pharmacy/package? (Q69-Q76 apply only to areas with GAMOT.)</t>
        </is>
      </c>
      <c r="C133" s="10" t="inlineStr">
        <is>
          <t>Does this area have a Guaranteed and Accessible Medications for Outpatient Treatment (GAMOT) pharmacy/package? (Q69-Q76 apply only to areas with GAMOT.)</t>
        </is>
      </c>
      <c r="D133" s="10" t="inlineStr"/>
      <c r="E133" s="10" t="inlineStr"/>
      <c r="F133" s="10" t="inlineStr">
        <is>
          <t>G. Access to Medicines</t>
        </is>
      </c>
      <c r="G133" s="10" t="inlineStr">
        <is>
          <t>numeric 1</t>
        </is>
      </c>
      <c r="H133" s="10" t="inlineStr">
        <is>
          <t>1 = Yes
2 = No</t>
        </is>
      </c>
      <c r="I133" s="10" t="inlineStr"/>
      <c r="J133" s="10" t="inlineStr"/>
    </row>
    <row r="134">
      <c r="A134" s="7" t="inlineStr">
        <is>
          <t>q69_gamot_heard</t>
        </is>
      </c>
      <c r="B134" s="8" t="inlineStr">
        <is>
          <t>69. Have you heard of the Guaranteed and Accessible Medications for Outpatient Treatment (GAMOT) Package, which is part of PhilHealth's YAKAP/Konsulta or primary care benefit package?</t>
        </is>
      </c>
      <c r="C134" s="8" t="inlineStr">
        <is>
          <t>We will now ask about your awareness of the GAMOT package, and the medicines you availed in a GAMOT pharmacy. We will also ask some questions about your views in buying generic or branded medicines. 69. Have you heard of the Guaranteed and Accessible Medications for Outpatient Treatment (GAMOT) Package, which is part of PhilHealth's YAKAP/Konsulta or primary care benefit package? Note to enumerator [do not read]: This section is for awareness of the GAMOT package and generic and branded medicines. Ask all questions in this section unless a skip rule applies. Q69 to Q74, Q76 are applicable only to respondents in areas with GAMOT.</t>
        </is>
      </c>
      <c r="D134" s="8" t="inlineStr"/>
      <c r="E134" s="8">
        <f> No → Q75 (skip Q70–Q74 — never heard of GAMOT)</f>
        <v/>
      </c>
      <c r="F134" s="8" t="inlineStr">
        <is>
          <t>G. Access to Medicines</t>
        </is>
      </c>
      <c r="G134" s="8" t="inlineStr">
        <is>
          <t>numeric 1</t>
        </is>
      </c>
      <c r="H134" s="8" t="inlineStr">
        <is>
          <t>1 = Yes
2 = No</t>
        </is>
      </c>
      <c r="I134" s="8" t="inlineStr"/>
      <c r="J134" s="8" t="inlineStr">
        <is>
          <t>[HARD] Required, ∈ {Yes, No}</t>
        </is>
      </c>
    </row>
    <row r="135">
      <c r="A135" s="9" t="inlineStr">
        <is>
          <t>q70_gamot_source</t>
        </is>
      </c>
      <c r="B135" s="10" t="inlineStr">
        <is>
          <t>70. If yes, what are your sources of information for GAMOT Package?</t>
        </is>
      </c>
      <c r="C135" s="10" t="inlineStr">
        <is>
          <t>70. If yes, what are your sources of information for GAMOT Package? Enumerator: Applicable only to respondents in areas with GAMOT facility.</t>
        </is>
      </c>
      <c r="D135" s="10" t="inlineStr">
        <is>
          <t>not asked when Q69 GAMOT_HEARD = No</t>
        </is>
      </c>
      <c r="E135" s="10" t="inlineStr"/>
      <c r="F135" s="10" t="inlineStr">
        <is>
          <t>G. Access to Medicines</t>
        </is>
      </c>
      <c r="G135" s="10" t="inlineStr">
        <is>
          <t>alpha 16</t>
        </is>
      </c>
      <c r="H135" s="10" t="inlineStr">
        <is>
          <t>01 = News
02 = Legislation
03 = Social Media
04 = Friends / Family
05 = Health center/facility
06 = LGU/Barangay
99 = Other (Specify)</t>
        </is>
      </c>
      <c r="I135" s="10" t="inlineStr">
        <is>
          <t>90 = I don't know</t>
        </is>
      </c>
      <c r="J135" s="10" t="inlineStr">
        <is>
          <t>[HARD] Select-all; "Don't know" mutex; `_OTHER_TXT` on Other</t>
        </is>
      </c>
    </row>
    <row r="136">
      <c r="A136" s="7" t="inlineStr">
        <is>
          <t>q70_gamot_source_other_txt</t>
        </is>
      </c>
      <c r="B136" s="8" t="inlineStr">
        <is>
          <t>70. If yes, what are your sources of information for GAMOT Package? — Other (specify) text</t>
        </is>
      </c>
      <c r="C136" s="8" t="inlineStr">
        <is>
          <t>70. If yes, what are your sources of information for GAMOT Package? — Other (specify) text</t>
        </is>
      </c>
      <c r="D136" s="8" t="inlineStr">
        <is>
          <t>not asked when Q69 GAMOT_HEARD = No</t>
        </is>
      </c>
      <c r="E136" s="8" t="inlineStr"/>
      <c r="F136" s="8" t="inlineStr">
        <is>
          <t>G. Access to Medicines</t>
        </is>
      </c>
      <c r="G136" s="8" t="inlineStr">
        <is>
          <t>alpha 120</t>
        </is>
      </c>
      <c r="H136" s="8" t="inlineStr"/>
      <c r="I136" s="8" t="inlineStr"/>
      <c r="J136" s="8" t="inlineStr"/>
    </row>
    <row r="137">
      <c r="A137" s="9" t="inlineStr">
        <is>
          <t>q71_gamot_understand</t>
        </is>
      </c>
      <c r="B137" s="10" t="inlineStr">
        <is>
          <t>71. What is your understanding of the GAMOT Package?</t>
        </is>
      </c>
      <c r="C137" s="10" t="inlineStr">
        <is>
          <t>71. What is your understanding of the GAMOT Package? Enumerator: Applicable only to respondents in areas with GAMOT facility.</t>
        </is>
      </c>
      <c r="D137" s="10" t="inlineStr"/>
      <c r="E137" s="10" t="inlineStr"/>
      <c r="F137" s="10" t="inlineStr">
        <is>
          <t>G. Access to Medicines</t>
        </is>
      </c>
      <c r="G137" s="10" t="inlineStr">
        <is>
          <t>alpha 12</t>
        </is>
      </c>
      <c r="H137" s="10" t="inlineStr">
        <is>
          <t>01 = Provides free or affordable medicines for outpatients
02 = Ensures continuous availability of essential medicines
03 = Helps reduce out-of-pocket expenses for medicines
04 = Supports treatment of common illnesses and chronic conditions
99 = Other (specify)</t>
        </is>
      </c>
      <c r="I137" s="10" t="inlineStr">
        <is>
          <t>90 = I don't know</t>
        </is>
      </c>
      <c r="J137" s="10" t="inlineStr">
        <is>
          <t>[HARD] Select-all; "Don't know" mutex; `_OTHER_TXT` on Other</t>
        </is>
      </c>
    </row>
    <row r="138">
      <c r="A138" s="7" t="inlineStr">
        <is>
          <t>q71_gamot_understand_other_txt</t>
        </is>
      </c>
      <c r="B138" s="8" t="inlineStr">
        <is>
          <t>71. What is your understanding of the GAMOT Package? — Other (specify) text</t>
        </is>
      </c>
      <c r="C138" s="8" t="inlineStr">
        <is>
          <t>71. What is your understanding of the GAMOT Package? — Other (specify) text</t>
        </is>
      </c>
      <c r="D138" s="8" t="inlineStr"/>
      <c r="E138" s="8" t="inlineStr"/>
      <c r="F138" s="8" t="inlineStr">
        <is>
          <t>G. Access to Medicines</t>
        </is>
      </c>
      <c r="G138" s="8" t="inlineStr">
        <is>
          <t>alpha 120</t>
        </is>
      </c>
      <c r="H138" s="8" t="inlineStr"/>
      <c r="I138" s="8" t="inlineStr"/>
      <c r="J138" s="8" t="inlineStr"/>
    </row>
    <row r="139">
      <c r="A139" s="9" t="inlineStr">
        <is>
          <t>q72_gamot_obtained</t>
        </is>
      </c>
      <c r="B139" s="10" t="inlineStr">
        <is>
          <t>72. Did you get the medicines from the GAMOT Package during the past 6 months?</t>
        </is>
      </c>
      <c r="C139" s="10" t="inlineStr">
        <is>
          <t>72. Did you get the medicines from the GAMOT Package during the past 6 months? Enumerator: Applicable only to respondents in areas with GAMOT facility.</t>
        </is>
      </c>
      <c r="D139" s="10" t="inlineStr"/>
      <c r="E139" s="10">
        <f> No → Q75 (skip Q73 meds list, Q74 where-rest)</f>
        <v/>
      </c>
      <c r="F139" s="10" t="inlineStr">
        <is>
          <t>G. Access to Medicines</t>
        </is>
      </c>
      <c r="G139" s="10" t="inlineStr">
        <is>
          <t>numeric 1</t>
        </is>
      </c>
      <c r="H139" s="10" t="inlineStr">
        <is>
          <t>1 = Yes
2 = No</t>
        </is>
      </c>
      <c r="I139" s="10" t="inlineStr"/>
      <c r="J139" s="10" t="inlineStr">
        <is>
          <t>[HARD] Required when enabled, ∈ {Yes, No}</t>
        </is>
      </c>
    </row>
    <row r="140">
      <c r="A140" s="7" t="inlineStr">
        <is>
          <t>q73_gamot_meds_list</t>
        </is>
      </c>
      <c r="B140" s="8" t="inlineStr">
        <is>
          <t>73. What are the medications that you obtained from the GAMOT Package? [LIST]</t>
        </is>
      </c>
      <c r="C140" s="8" t="inlineStr">
        <is>
          <t>73. What are the medications that you obtained from the GAMOT Package? [LIST] Enumerator: Applicable only to respondents in areas with GAMOT.</t>
        </is>
      </c>
      <c r="D140" s="8" t="inlineStr">
        <is>
          <t>not asked when Q72 GAMOT_OBTAINED = No</t>
        </is>
      </c>
      <c r="E140" s="8" t="inlineStr"/>
      <c r="F140" s="8" t="inlineStr">
        <is>
          <t>G. Access to Medicines</t>
        </is>
      </c>
      <c r="G140" s="8" t="inlineStr">
        <is>
          <t>alpha 500</t>
        </is>
      </c>
      <c r="H140" s="8" t="inlineStr"/>
      <c r="I140" s="8" t="inlineStr"/>
      <c r="J140" s="8" t="inlineStr">
        <is>
          <t>[HARD] Required when enabled, non-blank; ≤ 240 chars</t>
        </is>
      </c>
    </row>
    <row r="141">
      <c r="A141" s="9" t="inlineStr">
        <is>
          <t>q74_where_rest</t>
        </is>
      </c>
      <c r="B141" s="10" t="inlineStr">
        <is>
          <t>74. Where did you get the rest of the medicines?</t>
        </is>
      </c>
      <c r="C141" s="10" t="inlineStr">
        <is>
          <t>74. Where did you get the rest of the medicines?</t>
        </is>
      </c>
      <c r="D141" s="10" t="inlineStr">
        <is>
          <t>not asked when Q69 GAMOT_HEARD = No
not asked when Q72 GAMOT_OBTAINED = No</t>
        </is>
      </c>
      <c r="E141" s="10" t="inlineStr"/>
      <c r="F141" s="10" t="inlineStr">
        <is>
          <t>G. Access to Medicines</t>
        </is>
      </c>
      <c r="G141" s="10" t="inlineStr">
        <is>
          <t>alpha 20</t>
        </is>
      </c>
      <c r="H141" s="10" t="inlineStr">
        <is>
          <t>01 = Purchased from pharmacy
02 = Purchased from public hospital
03 = Purchased from private hospital
04 = Purchased from primary care provider (PCP)
05 = Received from PCP for free
06 = Received from LGU for free
07 = Received from public hospital for free
08 = Received from private hospital for free
99 = Other (Specify)</t>
        </is>
      </c>
      <c r="I141" s="10" t="inlineStr">
        <is>
          <t>90 = Not applicable</t>
        </is>
      </c>
      <c r="J141" s="10" t="inlineStr">
        <is>
          <t>[HARD] ≥ 1 option ticked when enabled</t>
        </is>
      </c>
    </row>
    <row r="142">
      <c r="A142" s="7" t="inlineStr">
        <is>
          <t>q74_where_rest_other_txt</t>
        </is>
      </c>
      <c r="B142" s="8" t="inlineStr">
        <is>
          <t>74. Where did you get the rest of the medicines? — Other (specify) text</t>
        </is>
      </c>
      <c r="C142" s="8" t="inlineStr">
        <is>
          <t>74. Where did you get the rest of the medicines? — Other (specify) text</t>
        </is>
      </c>
      <c r="D142" s="8" t="inlineStr">
        <is>
          <t>not asked when Q69 GAMOT_HEARD = No
not asked when Q72 GAMOT_OBTAINED = No</t>
        </is>
      </c>
      <c r="E142" s="8" t="inlineStr"/>
      <c r="F142" s="8" t="inlineStr">
        <is>
          <t>G. Access to Medicines</t>
        </is>
      </c>
      <c r="G142" s="8" t="inlineStr">
        <is>
          <t>alpha 120</t>
        </is>
      </c>
      <c r="H142" s="8" t="inlineStr"/>
      <c r="I142" s="8" t="inlineStr"/>
      <c r="J142" s="8" t="inlineStr"/>
    </row>
    <row r="143">
      <c r="A143" s="9" t="inlineStr">
        <is>
          <t>q75_brand_gen_knows</t>
        </is>
      </c>
      <c r="B143" s="10" t="inlineStr">
        <is>
          <t>75. Do you know the difference between a 'branded' and a 'generic' medicine?</t>
        </is>
      </c>
      <c r="C143" s="10" t="inlineStr">
        <is>
          <t>75. Do you know the difference between a 'branded' and a 'generic' medicine?</t>
        </is>
      </c>
      <c r="D143" s="10" t="inlineStr"/>
      <c r="E143" s="10">
        <f> No → Q79 (skip Q76–Q78 — exit Section G)</f>
        <v/>
      </c>
      <c r="F143" s="10" t="inlineStr">
        <is>
          <t>G. Access to Medicines</t>
        </is>
      </c>
      <c r="G143" s="10" t="inlineStr">
        <is>
          <t>numeric 1</t>
        </is>
      </c>
      <c r="H143" s="10" t="inlineStr">
        <is>
          <t>1 = Yes
2 = No</t>
        </is>
      </c>
      <c r="I143" s="10" t="inlineStr"/>
      <c r="J143" s="10" t="inlineStr">
        <is>
          <t>[HARD] Required, ∈ {Yes, No}</t>
        </is>
      </c>
    </row>
    <row r="144">
      <c r="A144" s="7" t="inlineStr">
        <is>
          <t>q76_brand_or_gen</t>
        </is>
      </c>
      <c r="B144" s="8" t="inlineStr">
        <is>
          <t>76. Was/were the medicine/s you bought outside of GAMOT pharmacy branded or generic?</t>
        </is>
      </c>
      <c r="C144" s="8" t="inlineStr">
        <is>
          <t>76. Was/were the medicine/s you bought outside of GAMOT pharmacy branded or generic?</t>
        </is>
      </c>
      <c r="D144" s="8" t="inlineStr">
        <is>
          <t>not asked when Q75 BRAND_GEN_KNOWS = No</t>
        </is>
      </c>
      <c r="E144" s="8">
        <f> Branded only → Q78 (skip Q77 why-generic)
= Generic only → Q79 (skip Q78 why-branded; after Q77)
= Don't know / Not applicable → Q79 (exit Section G)</f>
        <v/>
      </c>
      <c r="F144" s="8" t="inlineStr">
        <is>
          <t>G. Access to Medicines</t>
        </is>
      </c>
      <c r="G144" s="8" t="inlineStr">
        <is>
          <t>numeric 1</t>
        </is>
      </c>
      <c r="H144" s="8" t="inlineStr">
        <is>
          <t>1 = Branded
2 = Generic
3 = Both branded and generic</t>
        </is>
      </c>
      <c r="I144" s="8" t="inlineStr">
        <is>
          <t>9 = Not applicable</t>
        </is>
      </c>
      <c r="J144" s="8" t="inlineStr">
        <is>
          <t>[HARD] Required when enabled, ∈ value set</t>
        </is>
      </c>
    </row>
    <row r="145">
      <c r="A145" s="9" t="inlineStr">
        <is>
          <t>q77_why_generic</t>
        </is>
      </c>
      <c r="B145" s="10" t="inlineStr">
        <is>
          <t>77. If generic, why did you buy generic medicine?</t>
        </is>
      </c>
      <c r="C145" s="10" t="inlineStr">
        <is>
          <t>77. If generic, why did you buy generic medicine?</t>
        </is>
      </c>
      <c r="D145" s="10" t="inlineStr">
        <is>
          <t>not asked when Q76 BRAND_OR_GEN = Branded only</t>
        </is>
      </c>
      <c r="E145" s="10" t="inlineStr"/>
      <c r="F145" s="10" t="inlineStr">
        <is>
          <t>G. Access to Medicines</t>
        </is>
      </c>
      <c r="G145" s="10" t="inlineStr">
        <is>
          <t>alpha 14</t>
        </is>
      </c>
      <c r="H145" s="10" t="inlineStr">
        <is>
          <t>01 = Lower cost
02 = Prescribed by doctor
03 = Readily available
04 = Given for free
05 = More or as effective as branded medicine
99 = Other (Specify)</t>
        </is>
      </c>
      <c r="I145" s="10" t="inlineStr">
        <is>
          <t>90 = I don't know</t>
        </is>
      </c>
      <c r="J145" s="10" t="inlineStr">
        <is>
          <t>[HARD] Select-all; "Don't know" mutex; `_OTHER_TXT` on Other</t>
        </is>
      </c>
    </row>
    <row r="146">
      <c r="A146" s="7" t="inlineStr">
        <is>
          <t>q77_why_generic_other_txt</t>
        </is>
      </c>
      <c r="B146" s="8" t="inlineStr">
        <is>
          <t>77. If generic, why did you buy generic medicine? — Other (specify) text</t>
        </is>
      </c>
      <c r="C146" s="8" t="inlineStr">
        <is>
          <t>77. If generic, why did you buy generic medicine? — Other (specify) text</t>
        </is>
      </c>
      <c r="D146" s="8" t="inlineStr">
        <is>
          <t>not asked when Q76 BRAND_OR_GEN = Branded only</t>
        </is>
      </c>
      <c r="E146" s="8" t="inlineStr"/>
      <c r="F146" s="8" t="inlineStr">
        <is>
          <t>G. Access to Medicines</t>
        </is>
      </c>
      <c r="G146" s="8" t="inlineStr">
        <is>
          <t>alpha 120</t>
        </is>
      </c>
      <c r="H146" s="8" t="inlineStr"/>
      <c r="I146" s="8" t="inlineStr"/>
      <c r="J146" s="8" t="inlineStr"/>
    </row>
    <row r="147">
      <c r="A147" s="9" t="inlineStr">
        <is>
          <t>q78_why_branded</t>
        </is>
      </c>
      <c r="B147" s="10" t="inlineStr">
        <is>
          <t>78. If branded, why did you buy branded medicine?</t>
        </is>
      </c>
      <c r="C147" s="10" t="inlineStr">
        <is>
          <t>78. If branded, why did you buy branded medicine?</t>
        </is>
      </c>
      <c r="D147" s="10" t="inlineStr">
        <is>
          <t>not asked when Q75 BRAND_GEN_KNOWS = No
not asked when Q76 BRAND_OR_GEN = Generic only</t>
        </is>
      </c>
      <c r="E147" s="10" t="inlineStr"/>
      <c r="F147" s="10" t="inlineStr">
        <is>
          <t>G. Access to Medicines</t>
        </is>
      </c>
      <c r="G147" s="10" t="inlineStr">
        <is>
          <t>alpha 14</t>
        </is>
      </c>
      <c r="H147" s="10" t="inlineStr">
        <is>
          <t>01 = Branded medicine is more effective than generic
02 = Not aware of generic option
03 = Prescribed by doctor
04 = Given for free
05 = Prefer branded over generic option
99 = Other (Specify)</t>
        </is>
      </c>
      <c r="I147" s="10" t="inlineStr">
        <is>
          <t>90 = I don't know</t>
        </is>
      </c>
      <c r="J147" s="10" t="inlineStr">
        <is>
          <t>[HARD] Select-all; "Don't know" mutex; `_OTHER_TXT` on Other</t>
        </is>
      </c>
    </row>
    <row r="148">
      <c r="A148" s="7" t="inlineStr">
        <is>
          <t>q78_why_branded_other_txt</t>
        </is>
      </c>
      <c r="B148" s="8" t="inlineStr">
        <is>
          <t>78. If branded, why did you buy branded medicine? — Other (specify) text</t>
        </is>
      </c>
      <c r="C148" s="8" t="inlineStr">
        <is>
          <t>78. If branded, why did you buy branded medicine? — Other (specify) text</t>
        </is>
      </c>
      <c r="D148" s="8" t="inlineStr">
        <is>
          <t>not asked when Q75 BRAND_GEN_KNOWS = No
not asked when Q76 BRAND_OR_GEN = Generic only</t>
        </is>
      </c>
      <c r="E148" s="8" t="inlineStr"/>
      <c r="F148" s="8" t="inlineStr">
        <is>
          <t>G. Access to Medicines</t>
        </is>
      </c>
      <c r="G148" s="8" t="inlineStr">
        <is>
          <t>alpha 120</t>
        </is>
      </c>
      <c r="H148" s="8" t="inlineStr"/>
      <c r="I148" s="8" t="inlineStr"/>
      <c r="J148" s="8" t="inlineStr"/>
    </row>
    <row r="149">
      <c r="A149" s="9" t="inlineStr">
        <is>
          <t>q79_reg_source</t>
        </is>
      </c>
      <c r="B149" s="10" t="inlineStr">
        <is>
          <t>79. How did you find out about how to register to PhilHealth?</t>
        </is>
      </c>
      <c r="C149" s="10" t="inlineStr">
        <is>
          <t>The next questions we will be asking are related your PhilHealth registration experience. We will also confirm your PhilHealth registration status and membership. 79. How did you find out about how to register to PhilHealth? Note to enumerator [do not read]: This section is for PhilHealth registration experience and registration status and membership. Ask all questions in this section unless a skip rule applies. DO NOT READ OPTIONS OUT LOUD. SELECT ONE ANSWER ONLY.</t>
        </is>
      </c>
      <c r="D149" s="10" t="inlineStr"/>
      <c r="E149" s="10" t="inlineStr"/>
      <c r="F149" s="10" t="inlineStr">
        <is>
          <t>H. PhilHealth Registration and Health Insurance</t>
        </is>
      </c>
      <c r="G149" s="10" t="inlineStr">
        <is>
          <t>numeric 2</t>
        </is>
      </c>
      <c r="H149" s="10" t="inlineStr">
        <is>
          <t>01 = PhilHealth representative
02 = LGU
03 = Primary care provider
04 = Other health care provider
05 = Employer
06 = No one / self-registered
07 = Barangay Health Worker
08 = Friends / Family
09 = Health center/facility
10 = Other (Specify)</t>
        </is>
      </c>
      <c r="I149" s="10" t="inlineStr"/>
      <c r="J149" s="10" t="inlineStr">
        <is>
          <t>[HARD] Required, ∈ value set</t>
        </is>
      </c>
    </row>
    <row r="150">
      <c r="A150" s="7" t="inlineStr">
        <is>
          <t>q79_reg_source_other_txt</t>
        </is>
      </c>
      <c r="B150" s="8" t="inlineStr">
        <is>
          <t>79. Registration source — Other (Specify) text</t>
        </is>
      </c>
      <c r="C150" s="8" t="inlineStr">
        <is>
          <t>79. Registration source — Other (Specify) text</t>
        </is>
      </c>
      <c r="D150" s="8" t="inlineStr"/>
      <c r="E150" s="8" t="inlineStr"/>
      <c r="F150" s="8" t="inlineStr">
        <is>
          <t>H. PhilHealth Registration and Health Insurance</t>
        </is>
      </c>
      <c r="G150" s="8" t="inlineStr">
        <is>
          <t>alpha 120</t>
        </is>
      </c>
      <c r="H150" s="8" t="inlineStr"/>
      <c r="I150" s="8" t="inlineStr"/>
      <c r="J150" s="8" t="inlineStr"/>
    </row>
    <row r="151">
      <c r="A151" s="9" t="inlineStr">
        <is>
          <t>q80_assist</t>
        </is>
      </c>
      <c r="B151" s="10" t="inlineStr">
        <is>
          <t>80. Who assisted you in the registration process?</t>
        </is>
      </c>
      <c r="C151" s="10" t="inlineStr">
        <is>
          <t>80. Who assisted you in the registration process? DO NOT READ OPTIONS OUT LOUD. SELECT ONE ANSWER ONLY.</t>
        </is>
      </c>
      <c r="D151" s="10" t="inlineStr"/>
      <c r="E151" s="10" t="inlineStr"/>
      <c r="F151" s="10" t="inlineStr">
        <is>
          <t>H. PhilHealth Registration and Health Insurance</t>
        </is>
      </c>
      <c r="G151" s="10" t="inlineStr">
        <is>
          <t>numeric 2</t>
        </is>
      </c>
      <c r="H151" s="10" t="inlineStr">
        <is>
          <t>01 = PhilHealth representative
02 = LGU
03 = Primary care provider
04 = Other health care provider
05 = Employer
06 = No one / self-registered
07 = Barangay Health Worker
08 = Friends / Family
09 = Health center/facility
10 = Other (Specify)</t>
        </is>
      </c>
      <c r="I151" s="10" t="inlineStr"/>
      <c r="J151" s="10" t="inlineStr">
        <is>
          <t>[HARD] Required, ∈ value set</t>
        </is>
      </c>
    </row>
    <row r="152">
      <c r="A152" s="7" t="inlineStr">
        <is>
          <t>q80_assist_other_txt</t>
        </is>
      </c>
      <c r="B152" s="8" t="inlineStr">
        <is>
          <t>80. Registration assistant — Other (Specify) text</t>
        </is>
      </c>
      <c r="C152" s="8" t="inlineStr">
        <is>
          <t>80. Registration assistant — Other (Specify) text</t>
        </is>
      </c>
      <c r="D152" s="8" t="inlineStr"/>
      <c r="E152" s="8" t="inlineStr"/>
      <c r="F152" s="8" t="inlineStr">
        <is>
          <t>H. PhilHealth Registration and Health Insurance</t>
        </is>
      </c>
      <c r="G152" s="8" t="inlineStr">
        <is>
          <t>alpha 120</t>
        </is>
      </c>
      <c r="H152" s="8" t="inlineStr"/>
      <c r="I152" s="8" t="inlineStr"/>
      <c r="J152" s="8" t="inlineStr"/>
    </row>
    <row r="153">
      <c r="A153" s="9" t="inlineStr">
        <is>
          <t>q81_reg_difficulty</t>
        </is>
      </c>
      <c r="B153" s="10" t="inlineStr">
        <is>
          <t>81. Did you have any difficulties in the registration process?</t>
        </is>
      </c>
      <c r="C153" s="10" t="inlineStr">
        <is>
          <t>81. Did you have any difficulties in the registration process? DO NOT READ OPTIONS OUT LOUD. SELECT ONE ANSWER ONLY.</t>
        </is>
      </c>
      <c r="D153" s="10" t="inlineStr"/>
      <c r="E153" s="10">
        <f> No / No difficulty → Q83 (skip Q82 difficulty reasons)</f>
        <v/>
      </c>
      <c r="F153" s="10" t="inlineStr">
        <is>
          <t>H. PhilHealth Registration and Health Insurance</t>
        </is>
      </c>
      <c r="G153" s="10" t="inlineStr">
        <is>
          <t>numeric 1</t>
        </is>
      </c>
      <c r="H153" s="10" t="inlineStr">
        <is>
          <t>1 = Yes
2 = No</t>
        </is>
      </c>
      <c r="I153" s="10" t="inlineStr"/>
      <c r="J153" s="10" t="inlineStr">
        <is>
          <t>[HARD] Required, ∈ {Yes, No}</t>
        </is>
      </c>
    </row>
    <row r="154">
      <c r="A154" s="7" t="inlineStr">
        <is>
          <t>q82_difficulty_reasons</t>
        </is>
      </c>
      <c r="B154" s="8" t="inlineStr">
        <is>
          <t>82. What did you find difficult about the process?</t>
        </is>
      </c>
      <c r="C154" s="8" t="inlineStr">
        <is>
          <t>82. What did you find difficult about the process? READ OPTIONS OUT LOUD. SELECT ALL THAT APPLY.</t>
        </is>
      </c>
      <c r="D154" s="8" t="inlineStr">
        <is>
          <t>not asked when Q81 REG_DIFFICULTY = No / No difficulty</t>
        </is>
      </c>
      <c r="E154" s="8" t="inlineStr"/>
      <c r="F154" s="8" t="inlineStr">
        <is>
          <t>H. PhilHealth Registration and Health Insurance</t>
        </is>
      </c>
      <c r="G154" s="8" t="inlineStr">
        <is>
          <t>alpha 16</t>
        </is>
      </c>
      <c r="H154" s="8" t="inlineStr">
        <is>
          <t>01 = Unclear process
02 = Took a long time
03 = Did not know where to ask for help
04 = Had to travel a long way
05 = No valid ID
06 = Did not know the required documents to register
99 = Other (Specify)</t>
        </is>
      </c>
      <c r="I154" s="8" t="inlineStr">
        <is>
          <t>90 = I don't know</t>
        </is>
      </c>
      <c r="J154" s="8" t="inlineStr">
        <is>
          <t>[HARD] ≥ 1 option when enabled</t>
        </is>
      </c>
    </row>
    <row r="155">
      <c r="A155" s="9" t="inlineStr">
        <is>
          <t>q82_difficulty_reasons_other_txt</t>
        </is>
      </c>
      <c r="B155" s="10" t="inlineStr">
        <is>
          <t>82. What did you find difficult about the process? — Other (specify) text</t>
        </is>
      </c>
      <c r="C155" s="10" t="inlineStr">
        <is>
          <t>82. What did you find difficult about the process? — Other (specify) text</t>
        </is>
      </c>
      <c r="D155" s="10" t="inlineStr">
        <is>
          <t>not asked when Q81 REG_DIFFICULTY = No / No difficulty</t>
        </is>
      </c>
      <c r="E155" s="10" t="inlineStr"/>
      <c r="F155" s="10" t="inlineStr">
        <is>
          <t>H. PhilHealth Registration and Health Insurance</t>
        </is>
      </c>
      <c r="G155" s="10" t="inlineStr">
        <is>
          <t>alpha 120</t>
        </is>
      </c>
      <c r="H155" s="10" t="inlineStr"/>
      <c r="I155" s="10" t="inlineStr"/>
      <c r="J155" s="10" t="inlineStr"/>
    </row>
    <row r="156">
      <c r="A156" s="7" t="inlineStr">
        <is>
          <t>q83_knows_assist</t>
        </is>
      </c>
      <c r="B156" s="8" t="inlineStr">
        <is>
          <t>83. Would you know where to go to seek assistance in registration?</t>
        </is>
      </c>
      <c r="C156" s="8" t="inlineStr">
        <is>
          <t>83. Would you know where to go to seek assistance in registration?</t>
        </is>
      </c>
      <c r="D156" s="8" t="inlineStr"/>
      <c r="E156" s="8">
        <f> No → Q85 (skip Q84 where-assist)</f>
        <v/>
      </c>
      <c r="F156" s="8" t="inlineStr">
        <is>
          <t>H. PhilHealth Registration and Health Insurance</t>
        </is>
      </c>
      <c r="G156" s="8" t="inlineStr">
        <is>
          <t>numeric 1</t>
        </is>
      </c>
      <c r="H156" s="8" t="inlineStr">
        <is>
          <t>1 = Yes
2 = No</t>
        </is>
      </c>
      <c r="I156" s="8" t="inlineStr"/>
      <c r="J156" s="8" t="inlineStr">
        <is>
          <t>[HARD] Required, ∈ {Yes, No}</t>
        </is>
      </c>
    </row>
    <row r="157">
      <c r="A157" s="9" t="inlineStr">
        <is>
          <t>q84_where_assist</t>
        </is>
      </c>
      <c r="B157" s="10" t="inlineStr">
        <is>
          <t>84. Where would you go to seek assistance?</t>
        </is>
      </c>
      <c r="C157" s="10" t="inlineStr">
        <is>
          <t>84. Where would you go to seek assistance?</t>
        </is>
      </c>
      <c r="D157" s="10" t="inlineStr">
        <is>
          <t>not asked when Q83 KNOWS_ASSIST = No</t>
        </is>
      </c>
      <c r="E157" s="10" t="inlineStr"/>
      <c r="F157" s="10" t="inlineStr">
        <is>
          <t>H. PhilHealth Registration and Health Insurance</t>
        </is>
      </c>
      <c r="G157" s="10" t="inlineStr">
        <is>
          <t>alpha 20</t>
        </is>
      </c>
      <c r="H157" s="10" t="inlineStr">
        <is>
          <t>01 = PhilHealth representative
02 = LGU
03 = Primary care provider
04 = Other health care provider
05 = Employer
06 = No one / self-registered
07 = Barangay Health Worker
08 = Friends / Family
09 = Health center/facility
99 = Other (Specify)</t>
        </is>
      </c>
      <c r="I157" s="10" t="inlineStr"/>
      <c r="J157" s="10" t="inlineStr">
        <is>
          <t>[HARD] Required when enabled, non-blank</t>
        </is>
      </c>
    </row>
    <row r="158">
      <c r="A158" s="7" t="inlineStr">
        <is>
          <t>q84_where_assist_other_txt</t>
        </is>
      </c>
      <c r="B158" s="8" t="inlineStr">
        <is>
          <t>84. Where would you go to seek assistance? — Other (specify) text</t>
        </is>
      </c>
      <c r="C158" s="8" t="inlineStr">
        <is>
          <t>84. Where would you go to seek assistance? — Other (specify) text</t>
        </is>
      </c>
      <c r="D158" s="8" t="inlineStr">
        <is>
          <t>not asked when Q83 KNOWS_ASSIST = No</t>
        </is>
      </c>
      <c r="E158" s="8" t="inlineStr"/>
      <c r="F158" s="8" t="inlineStr">
        <is>
          <t>H. PhilHealth Registration and Health Insurance</t>
        </is>
      </c>
      <c r="G158" s="8" t="inlineStr">
        <is>
          <t>alpha 120</t>
        </is>
      </c>
      <c r="H158" s="8" t="inlineStr"/>
      <c r="I158" s="8" t="inlineStr"/>
      <c r="J158" s="8" t="inlineStr"/>
    </row>
    <row r="159">
      <c r="A159" s="9" t="inlineStr">
        <is>
          <t>q85_benefits</t>
        </is>
      </c>
      <c r="B159" s="10" t="inlineStr">
        <is>
          <t>85. What are some of the benefits that come with being a PhilHealth member?</t>
        </is>
      </c>
      <c r="C159" s="10" t="inlineStr">
        <is>
          <t>85. What are some of the benefits that come with being a PhilHealth member? DO NOT READ OPTIONS OUT LOUD. SELECT ALL THAT APPLY.</t>
        </is>
      </c>
      <c r="D159" s="10" t="inlineStr"/>
      <c r="E159" s="10" t="inlineStr"/>
      <c r="F159" s="10" t="inlineStr">
        <is>
          <t>H. PhilHealth Registration and Health Insurance</t>
        </is>
      </c>
      <c r="G159" s="10" t="inlineStr">
        <is>
          <t>alpha 12</t>
        </is>
      </c>
      <c r="H159" s="10" t="inlineStr">
        <is>
          <t>01 = No balance billing for basic ward accommodation
02 = Subsidized inpatient services
03 = Subsidized outpatient services
04 = There are no benefits to being a member
99 = Other (Specify)</t>
        </is>
      </c>
      <c r="I159" s="10" t="inlineStr">
        <is>
          <t>90 = I don't know</t>
        </is>
      </c>
      <c r="J159" s="10" t="inlineStr">
        <is>
          <t>[HARD] ≥ 1 option ticked</t>
        </is>
      </c>
    </row>
    <row r="160">
      <c r="A160" s="7" t="inlineStr">
        <is>
          <t>q85_benefits_other_txt</t>
        </is>
      </c>
      <c r="B160" s="8" t="inlineStr">
        <is>
          <t>85. What are some of the benefits that come with being a PhilHealth member? — Other (specify) text</t>
        </is>
      </c>
      <c r="C160" s="8" t="inlineStr">
        <is>
          <t>85. What are some of the benefits that come with being a PhilHealth member? — Other (specify) text</t>
        </is>
      </c>
      <c r="D160" s="8" t="inlineStr"/>
      <c r="E160" s="8" t="inlineStr"/>
      <c r="F160" s="8" t="inlineStr">
        <is>
          <t>H. PhilHealth Registration and Health Insurance</t>
        </is>
      </c>
      <c r="G160" s="8" t="inlineStr">
        <is>
          <t>alpha 120</t>
        </is>
      </c>
      <c r="H160" s="8" t="inlineStr"/>
      <c r="I160" s="8" t="inlineStr"/>
      <c r="J160" s="8" t="inlineStr"/>
    </row>
    <row r="161">
      <c r="A161" s="9" t="inlineStr">
        <is>
          <t>q86_premium_pay</t>
        </is>
      </c>
      <c r="B161" s="10" t="inlineStr">
        <is>
          <t>86. Do you and members of your HH pay PhilHealth premiums every month?</t>
        </is>
      </c>
      <c r="C161" s="10" t="inlineStr">
        <is>
          <t>86. Do you and members of your HH pay PhilHealth premiums every month?</t>
        </is>
      </c>
      <c r="D161" s="10" t="inlineStr"/>
      <c r="E161" s="10">
        <f> No (not a premium-paying member category) → Q89 (skip Q87, Q88 — only premium payers answer pay-difficulty)</f>
        <v/>
      </c>
      <c r="F161" s="10" t="inlineStr">
        <is>
          <t>H. PhilHealth Registration and Health Insurance</t>
        </is>
      </c>
      <c r="G161" s="10" t="inlineStr">
        <is>
          <t>numeric 1</t>
        </is>
      </c>
      <c r="H161" s="10" t="inlineStr">
        <is>
          <t>1 = Yes, I pay directly
2 = Yes, my employer pays
3 = No, I do not pay premiums</t>
        </is>
      </c>
      <c r="I161" s="10" t="inlineStr"/>
      <c r="J161" s="10" t="inlineStr">
        <is>
          <t>[HARD + SOFT] Required, ∈ {Yes, No}; `= Yes` only if roster shows a premium-paying category</t>
        </is>
      </c>
    </row>
    <row r="162">
      <c r="A162" s="7" t="inlineStr">
        <is>
          <t>q87_premium_difficult</t>
        </is>
      </c>
      <c r="B162" s="8" t="inlineStr">
        <is>
          <t>87. Do you find it difficult to pay the PhilHealth premiums every month?</t>
        </is>
      </c>
      <c r="C162" s="8" t="inlineStr">
        <is>
          <t>87. Do you find it difficult to pay the PhilHealth premiums every month?</t>
        </is>
      </c>
      <c r="D162" s="8" t="inlineStr">
        <is>
          <t>not asked when Q86 PREMIUM_PAY = No (not a premium-paying member category)</t>
        </is>
      </c>
      <c r="E162" s="8">
        <f> No → Q89 (skip Q88 diff-paying reasons)</f>
        <v/>
      </c>
      <c r="F162" s="8" t="inlineStr">
        <is>
          <t>H. PhilHealth Registration and Health Insurance</t>
        </is>
      </c>
      <c r="G162" s="8" t="inlineStr">
        <is>
          <t>numeric 1</t>
        </is>
      </c>
      <c r="H162" s="8" t="inlineStr">
        <is>
          <t>1 = Yes
2 = No</t>
        </is>
      </c>
      <c r="I162" s="8" t="inlineStr"/>
      <c r="J162" s="8" t="inlineStr">
        <is>
          <t>[HARD] Required when enabled, ∈ {Yes, No}</t>
        </is>
      </c>
    </row>
    <row r="163">
      <c r="A163" s="9" t="inlineStr">
        <is>
          <t>q88_diff_paying</t>
        </is>
      </c>
      <c r="B163" s="10" t="inlineStr">
        <is>
          <t>88. Why did you find it difficult?</t>
        </is>
      </c>
      <c r="C163" s="10" t="inlineStr">
        <is>
          <t>88. Why did you find it difficult? READ OPTIONS OUT LOUD. SELECT ALL THAT APPLY.</t>
        </is>
      </c>
      <c r="D163" s="10" t="inlineStr">
        <is>
          <t>not asked when Q86 PREMIUM_PAY = No (not a premium-paying member category)
not asked when Q87 PREMIUM_DIFFICULT = No</t>
        </is>
      </c>
      <c r="E163" s="10" t="inlineStr"/>
      <c r="F163" s="10" t="inlineStr">
        <is>
          <t>H. PhilHealth Registration and Health Insurance</t>
        </is>
      </c>
      <c r="G163" s="10" t="inlineStr">
        <is>
          <t>alpha 14</t>
        </is>
      </c>
      <c r="H163" s="10" t="inlineStr">
        <is>
          <t>01 = Cannot afford the premium
02 = Payment options are inconvenient
03 = No time to pay
04 = Don't see value in paying
05 = System of PhilHealth is unreliable/usually down
99 = Other (Specify)</t>
        </is>
      </c>
      <c r="I163" s="10" t="inlineStr">
        <is>
          <t>90 = I don't know</t>
        </is>
      </c>
      <c r="J163" s="10" t="inlineStr">
        <is>
          <t>[HARD] ≥ 1 option when enabled; `_OTHER_TXT` on Other</t>
        </is>
      </c>
    </row>
    <row r="164">
      <c r="A164" s="7" t="inlineStr">
        <is>
          <t>q88_diff_paying_other_txt</t>
        </is>
      </c>
      <c r="B164" s="8" t="inlineStr">
        <is>
          <t>88. Why did you find it difficult? — Other (specify) text</t>
        </is>
      </c>
      <c r="C164" s="8" t="inlineStr">
        <is>
          <t>88. Why did you find it difficult? — Other (specify) text</t>
        </is>
      </c>
      <c r="D164" s="8" t="inlineStr">
        <is>
          <t>not asked when Q86 PREMIUM_PAY = No (not a premium-paying member category)
not asked when Q87 PREMIUM_DIFFICULT = No</t>
        </is>
      </c>
      <c r="E164" s="8" t="inlineStr"/>
      <c r="F164" s="8" t="inlineStr">
        <is>
          <t>H. PhilHealth Registration and Health Insurance</t>
        </is>
      </c>
      <c r="G164" s="8" t="inlineStr">
        <is>
          <t>alpha 120</t>
        </is>
      </c>
      <c r="H164" s="8" t="inlineStr"/>
      <c r="I164" s="8" t="inlineStr"/>
      <c r="J164" s="8" t="inlineStr"/>
    </row>
    <row r="165">
      <c r="A165" s="9" t="inlineStr">
        <is>
          <t>q89_has_usual_facility</t>
        </is>
      </c>
      <c r="B165" s="10" t="inlineStr">
        <is>
          <t>89. In the past 12 months, do you have a clinic, or health center that you usually go to?</t>
        </is>
      </c>
      <c r="C165" s="10" t="inlineStr">
        <is>
          <t>We will now ask questions about your access to a primary care provider. 89. In the past 12 months, do you have a clinic, or health center that you usually go to? Note to enumerator [do not read]: This section is for Access to a primary care provider. Ask all questions in this section unless a skip rule applies.</t>
        </is>
      </c>
      <c r="D165" s="10" t="inlineStr">
        <is>
          <t>not asked when Q89 HAS_USUAL_FACILITY = No</t>
        </is>
      </c>
      <c r="E165" s="10">
        <f> Yes → Q89.1 facility name captured, proceed to Q90
= No → Q93 (skip Q89.1, Q90, Q91, Q92 — no usual facility → go straight to why-not reasons)</f>
        <v/>
      </c>
      <c r="F165" s="10" t="inlineStr">
        <is>
          <t>I. Primary Care Utilization</t>
        </is>
      </c>
      <c r="G165" s="10" t="inlineStr">
        <is>
          <t>numeric 1</t>
        </is>
      </c>
      <c r="H165" s="10" t="inlineStr">
        <is>
          <t>1 = Yes
2 = No</t>
        </is>
      </c>
      <c r="I165" s="10" t="inlineStr">
        <is>
          <t>3 = I don't know</t>
        </is>
      </c>
      <c r="J165" s="10" t="inlineStr">
        <is>
          <t>[HARD] Required, ∈ {Yes, No}</t>
        </is>
      </c>
    </row>
    <row r="166">
      <c r="A166" s="7" t="inlineStr">
        <is>
          <t>q89_1_facility_name</t>
        </is>
      </c>
      <c r="B166" s="8" t="inlineStr">
        <is>
          <t>89.1. What is the name of the facility?</t>
        </is>
      </c>
      <c r="C166" s="8" t="inlineStr">
        <is>
          <t>89.1. What is the name of the facility?</t>
        </is>
      </c>
      <c r="D166" s="8" t="inlineStr">
        <is>
          <t>not asked when Q89 HAS_USUAL_FACILITY = No</t>
        </is>
      </c>
      <c r="E166" s="8" t="inlineStr"/>
      <c r="F166" s="8" t="inlineStr">
        <is>
          <t>I. Primary Care Utilization</t>
        </is>
      </c>
      <c r="G166" s="8" t="inlineStr">
        <is>
          <t>alpha 120</t>
        </is>
      </c>
      <c r="H166" s="8" t="inlineStr"/>
      <c r="I166" s="8" t="inlineStr"/>
      <c r="J166" s="8" t="inlineStr">
        <is>
          <t>[HARD] Required when enabled, non-blank</t>
        </is>
      </c>
    </row>
    <row r="167">
      <c r="A167" s="9" t="inlineStr">
        <is>
          <t>q90_is_usual_for_general</t>
        </is>
      </c>
      <c r="B167" s="10" t="inlineStr">
        <is>
          <t>90. Is this the facility you usually go to for general health concerns?</t>
        </is>
      </c>
      <c r="C167" s="10" t="inlineStr">
        <is>
          <t>90. Is this the facility you usually go to for general health concerns?</t>
        </is>
      </c>
      <c r="D167" s="10" t="inlineStr">
        <is>
          <t>not asked when Q89 HAS_USUAL_FACILITY = No</t>
        </is>
      </c>
      <c r="E167" s="10">
        <f> Yes → Q94 (skip Q91 why-went, Q92 facility type, Q93 why-not — they use usual facility for general care, proceed to transport)
= No → Q91, Q92 asked; Q93 skipped</f>
        <v/>
      </c>
      <c r="F167" s="10" t="inlineStr">
        <is>
          <t>I. Primary Care Utilization</t>
        </is>
      </c>
      <c r="G167" s="10" t="inlineStr">
        <is>
          <t>numeric 1</t>
        </is>
      </c>
      <c r="H167" s="10" t="inlineStr">
        <is>
          <t>1 = Yes
2 = No</t>
        </is>
      </c>
      <c r="I167" s="10" t="inlineStr"/>
      <c r="J167" s="10" t="inlineStr">
        <is>
          <t>[HARD] Required when enabled, ∈ {Yes, No}</t>
        </is>
      </c>
    </row>
    <row r="168">
      <c r="A168" s="7" t="inlineStr">
        <is>
          <t>q91_why_went</t>
        </is>
      </c>
      <c r="B168" s="8" t="inlineStr">
        <is>
          <t>91. Why did you go to this facility?</t>
        </is>
      </c>
      <c r="C168" s="8" t="inlineStr">
        <is>
          <t>91. Why did you go to this facility? DO NOT READ OPTIONS OUT LOUD. SELECT ALL THAT APPLY.</t>
        </is>
      </c>
      <c r="D168" s="8" t="inlineStr">
        <is>
          <t>not asked when Q89 HAS_USUAL_FACILITY = No
not asked when Q90 IS_USUAL_FOR_GENERAL = Yes</t>
        </is>
      </c>
      <c r="E168" s="8" t="inlineStr"/>
      <c r="F168" s="8" t="inlineStr">
        <is>
          <t>I. Primary Care Utilization</t>
        </is>
      </c>
      <c r="G168" s="8" t="inlineStr">
        <is>
          <t>alpha 18</t>
        </is>
      </c>
      <c r="H168" s="8" t="inlineStr">
        <is>
          <t>01 = This facility is more accessible than my usual facility (i.e., nearer, has more transportation options to get to, and cheaper to travel to)
02 = Needed a service/specialist not available at my usual facility
03 = Recommended by friends/family
04 = Wanted to try another facility than my usual
05 = Prefer this facility than my usual
06 = This was referred to me by my usual facility
07 = Usual facility is closed for today
08 = The doctor I trust/familiar with transferred in this facility
99 = Other (Specify)</t>
        </is>
      </c>
      <c r="I168" s="8" t="inlineStr"/>
      <c r="J168" s="8" t="inlineStr">
        <is>
          <t>[HARD] ≥ 1 option; `_OTHER_TXT` on Other</t>
        </is>
      </c>
    </row>
    <row r="169">
      <c r="A169" s="9" t="inlineStr">
        <is>
          <t>q91_why_went_other_txt</t>
        </is>
      </c>
      <c r="B169" s="10" t="inlineStr">
        <is>
          <t>91. Why did you go to this facility? — Other (specify) text</t>
        </is>
      </c>
      <c r="C169" s="10" t="inlineStr">
        <is>
          <t>91. Why did you go to this facility? — Other (specify) text</t>
        </is>
      </c>
      <c r="D169" s="10" t="inlineStr">
        <is>
          <t>not asked when Q89 HAS_USUAL_FACILITY = No
not asked when Q90 IS_USUAL_FOR_GENERAL = Yes</t>
        </is>
      </c>
      <c r="E169" s="10" t="inlineStr"/>
      <c r="F169" s="10" t="inlineStr">
        <is>
          <t>I. Primary Care Utilization</t>
        </is>
      </c>
      <c r="G169" s="10" t="inlineStr">
        <is>
          <t>alpha 120</t>
        </is>
      </c>
      <c r="H169" s="10" t="inlineStr"/>
      <c r="I169" s="10" t="inlineStr"/>
      <c r="J169" s="10" t="inlineStr"/>
    </row>
    <row r="170">
      <c r="A170" s="7" t="inlineStr">
        <is>
          <t>q92_facility_type</t>
        </is>
      </c>
      <c r="B170" s="8" t="inlineStr">
        <is>
          <t>92. What is the type of facility that you usually go to?</t>
        </is>
      </c>
      <c r="C170" s="8" t="inlineStr">
        <is>
          <t>92. What is the type of facility that you usually go to? PROBE: Is your usual facility a health unit/center? Is it a hospital?</t>
        </is>
      </c>
      <c r="D170" s="8" t="inlineStr">
        <is>
          <t>not asked when Q89 HAS_USUAL_FACILITY = No
not asked when Q90 IS_USUAL_FOR_GENERAL = Yes</t>
        </is>
      </c>
      <c r="E170" s="8" t="inlineStr"/>
      <c r="F170" s="8" t="inlineStr">
        <is>
          <t>I. Primary Care Utilization</t>
        </is>
      </c>
      <c r="G170" s="8" t="inlineStr">
        <is>
          <t>numeric 2</t>
        </is>
      </c>
      <c r="H170" s="8" t="inlineStr">
        <is>
          <t>01 = YAKAP/Konsulta or primary care provider
02 = Barangay Health Center
03 = Rural Health Unit / Health Center
04 = Public Hospital
05 = Private Hospital
06 = Private Clinic
07 = Traditional Healer or Manghihilot/Albularyo
09 = Other (Specify)</t>
        </is>
      </c>
      <c r="I170" s="8" t="inlineStr">
        <is>
          <t>08 = I don't know</t>
        </is>
      </c>
      <c r="J170" s="8" t="inlineStr">
        <is>
          <t>[HARD] Required when enabled, ∈ value set; `Other` → `_OTHER_TXT`</t>
        </is>
      </c>
    </row>
    <row r="171">
      <c r="A171" s="9" t="inlineStr">
        <is>
          <t>q92_facility_type_other_txt</t>
        </is>
      </c>
      <c r="B171" s="10" t="inlineStr">
        <is>
          <t>92. Type of facility — Other (specify) text</t>
        </is>
      </c>
      <c r="C171" s="10" t="inlineStr">
        <is>
          <t>92. Type of facility — Other (specify) text</t>
        </is>
      </c>
      <c r="D171" s="10" t="inlineStr">
        <is>
          <t>not asked when Q89 HAS_USUAL_FACILITY = No
not asked when Q90 IS_USUAL_FOR_GENERAL = Yes</t>
        </is>
      </c>
      <c r="E171" s="10" t="inlineStr"/>
      <c r="F171" s="10" t="inlineStr">
        <is>
          <t>I. Primary Care Utilization</t>
        </is>
      </c>
      <c r="G171" s="10" t="inlineStr">
        <is>
          <t>alpha 120</t>
        </is>
      </c>
      <c r="H171" s="10" t="inlineStr"/>
      <c r="I171" s="10" t="inlineStr"/>
      <c r="J171" s="10" t="inlineStr"/>
    </row>
    <row r="172">
      <c r="A172" s="7" t="inlineStr">
        <is>
          <t>q93_why_not</t>
        </is>
      </c>
      <c r="B172" s="8" t="inlineStr">
        <is>
          <t>93. If not, why do you not have a usual clinic, or health center that you usually go to?</t>
        </is>
      </c>
      <c r="C172" s="8" t="inlineStr">
        <is>
          <t>93. If not, why do you not have a usual clinic, or health center that you usually go to? DO NOT READ OPTIONS OUT LOUD. SELECT ALL THAT APPLY.</t>
        </is>
      </c>
      <c r="D172" s="8" t="inlineStr">
        <is>
          <t>not asked when Q90 IS_USUAL_FOR_GENERAL = Yes</t>
        </is>
      </c>
      <c r="E172" s="8" t="inlineStr"/>
      <c r="F172" s="8" t="inlineStr">
        <is>
          <t>I. Primary Care Utilization</t>
        </is>
      </c>
      <c r="G172" s="8" t="inlineStr">
        <is>
          <t>alpha 14</t>
        </is>
      </c>
      <c r="H172" s="8" t="inlineStr">
        <is>
          <t>01 = I don't get sick
02 = I recently moved into the area
03 = It's expensive
04 = I can treat myself
99 = Other (Specify)</t>
        </is>
      </c>
      <c r="I172" s="8" t="inlineStr">
        <is>
          <t>05 = I don't know where to go for care
90 = I don't know</t>
        </is>
      </c>
      <c r="J172" s="8" t="inlineStr">
        <is>
          <t>[HARD] ≥ 1 option; `_OTHER_TXT` on Other</t>
        </is>
      </c>
    </row>
    <row r="173">
      <c r="A173" s="9" t="inlineStr">
        <is>
          <t>q93_why_not_other_txt</t>
        </is>
      </c>
      <c r="B173" s="10" t="inlineStr">
        <is>
          <t>93. If not, why do you not have a usual clinic, or health center that you usually go to? — Other (specify) text</t>
        </is>
      </c>
      <c r="C173" s="10" t="inlineStr">
        <is>
          <t>93. If not, why do you not have a usual clinic, or health center that you usually go to? — Other (specify) text</t>
        </is>
      </c>
      <c r="D173" s="10" t="inlineStr">
        <is>
          <t>not asked when Q90 IS_USUAL_FOR_GENERAL = Yes</t>
        </is>
      </c>
      <c r="E173" s="10" t="inlineStr"/>
      <c r="F173" s="10" t="inlineStr">
        <is>
          <t>I. Primary Care Utilization</t>
        </is>
      </c>
      <c r="G173" s="10" t="inlineStr">
        <is>
          <t>alpha 120</t>
        </is>
      </c>
      <c r="H173" s="10" t="inlineStr"/>
      <c r="I173" s="10" t="inlineStr"/>
      <c r="J173" s="10" t="inlineStr"/>
    </row>
    <row r="174">
      <c r="A174" s="7" t="inlineStr">
        <is>
          <t>q94_transport</t>
        </is>
      </c>
      <c r="B174" s="8" t="inlineStr">
        <is>
          <t>94. What mode/s of transportation do you use when travelling to the nearest primary care facility?</t>
        </is>
      </c>
      <c r="C174" s="8" t="inlineStr">
        <is>
          <t>94. What mode/s of transportation do you use when travelling to the nearest primary care facility? DO NOT READ OPTIONS OUT LOUD. SELECT ALL THAT APPLY.</t>
        </is>
      </c>
      <c r="D174" s="8" t="inlineStr"/>
      <c r="E174" s="8" t="inlineStr"/>
      <c r="F174" s="8" t="inlineStr">
        <is>
          <t>I. Primary Care Utilization</t>
        </is>
      </c>
      <c r="G174" s="8" t="inlineStr">
        <is>
          <t>alpha 24</t>
        </is>
      </c>
      <c r="H174" s="8" t="inlineStr">
        <is>
          <t>01 = Walk
02 = Bike
03 = Public Bus
04 = Jeepney
05 = Tricycle
06 = Car (including private taxi/cab)
07 = Motorcycle
08 = Boat
09 = Taxi
10 = Pedicab
11 = E-bike
99 = Other (Specify)</t>
        </is>
      </c>
      <c r="I174" s="8" t="inlineStr"/>
      <c r="J174" s="8" t="inlineStr">
        <is>
          <t>[HARD] ≥ 1 option; `_OTHER_TXT` on Other</t>
        </is>
      </c>
    </row>
    <row r="175">
      <c r="A175" s="9" t="inlineStr">
        <is>
          <t>q94_transport_other_txt</t>
        </is>
      </c>
      <c r="B175" s="10" t="inlineStr">
        <is>
          <t>94. What mode/s of transportation do you use when travelling to the nearest primary care facility? — Other (specify) text</t>
        </is>
      </c>
      <c r="C175" s="10" t="inlineStr">
        <is>
          <t>94. What mode/s of transportation do you use when travelling to the nearest primary care facility? — Other (specify) text</t>
        </is>
      </c>
      <c r="D175" s="10" t="inlineStr"/>
      <c r="E175" s="10" t="inlineStr"/>
      <c r="F175" s="10" t="inlineStr">
        <is>
          <t>I. Primary Care Utilization</t>
        </is>
      </c>
      <c r="G175" s="10" t="inlineStr">
        <is>
          <t>alpha 120</t>
        </is>
      </c>
      <c r="H175" s="10" t="inlineStr"/>
      <c r="I175" s="10" t="inlineStr"/>
      <c r="J175" s="10" t="inlineStr"/>
    </row>
    <row r="176">
      <c r="A176" s="7" t="inlineStr">
        <is>
          <t>q95_travel_time_min</t>
        </is>
      </c>
      <c r="B176" s="8" t="inlineStr">
        <is>
          <t>95. How long does it take you to travel from your house when going to the nearest primary care facility? (one-way, minutes)</t>
        </is>
      </c>
      <c r="C176" s="8" t="inlineStr">
        <is>
          <t>95. How long does it take you to travel from your house when going to the nearest primary care facility? (one-way, minutes) Please note the response for one way only from the time the respondent left their place of residence and arrived at the facility.</t>
        </is>
      </c>
      <c r="D176" s="8" t="inlineStr"/>
      <c r="E176" s="8" t="inlineStr"/>
      <c r="F176" s="8" t="inlineStr">
        <is>
          <t>I. Primary Care Utilization</t>
        </is>
      </c>
      <c r="G176" s="8" t="inlineStr">
        <is>
          <t>numeric 3</t>
        </is>
      </c>
      <c r="H176" s="8" t="inlineStr"/>
      <c r="I176" s="8" t="inlineStr"/>
      <c r="J176" s="8" t="inlineStr">
        <is>
          <t>[HARD] `0 ≤ t ≤ 1440` minutes</t>
        </is>
      </c>
    </row>
    <row r="177">
      <c r="A177" s="9" t="inlineStr">
        <is>
          <t>q96_travel_cost_php</t>
        </is>
      </c>
      <c r="B177" s="10" t="inlineStr">
        <is>
          <t>96. How much does it usually cost for you to travel to this facility from your home? (PHP, one-way)</t>
        </is>
      </c>
      <c r="C177" s="10" t="inlineStr">
        <is>
          <t>96. How much does it usually cost for you to travel to this facility from your home? (PHP, one-way) Please specify in Philippine pesos. Please confirm the ONE-WAY cost: from house to facility ONLY.</t>
        </is>
      </c>
      <c r="D177" s="10" t="inlineStr"/>
      <c r="E177" s="10" t="inlineStr"/>
      <c r="F177" s="10" t="inlineStr">
        <is>
          <t>I. Primary Care Utilization</t>
        </is>
      </c>
      <c r="G177" s="10" t="inlineStr">
        <is>
          <t>numeric 5</t>
        </is>
      </c>
      <c r="H177" s="10" t="inlineStr"/>
      <c r="I177" s="10" t="inlineStr"/>
      <c r="J177" s="10" t="inlineStr">
        <is>
          <t>[HARD] `0 ≤ amt ≤ 99,999`</t>
        </is>
      </c>
    </row>
    <row r="178">
      <c r="A178" s="7" t="inlineStr">
        <is>
          <t>q97_knows_booking</t>
        </is>
      </c>
      <c r="B178" s="8" t="inlineStr">
        <is>
          <t>97. When you have a health problem, do you know how to book an appointment at a primary care facility?</t>
        </is>
      </c>
      <c r="C178" s="8" t="inlineStr">
        <is>
          <t>In this section of the survey, I will now ask about how you access care in the last 6 months in a primary care facility. Examples of primary care facilities are RHUs, Health Center, and Barangay Health Station. 97. When you have a health problem, do you know how to book an appointment at a primary care facility? Note to enumerator [do not read]: This section is for Access to a primary care facility. Ask all questions in this section unless a skip rule applies.</t>
        </is>
      </c>
      <c r="D178" s="8" t="inlineStr"/>
      <c r="E178" s="8">
        <f> No → Q100 (skip Q98, Q99 phone advice — doesn't know booking → phone questions moot)</f>
        <v/>
      </c>
      <c r="F178" s="8" t="inlineStr">
        <is>
          <t>I. Primary Care Utilization</t>
        </is>
      </c>
      <c r="G178" s="8" t="inlineStr">
        <is>
          <t>numeric 1</t>
        </is>
      </c>
      <c r="H178" s="8" t="inlineStr">
        <is>
          <t>1 = Yes
2 = No</t>
        </is>
      </c>
      <c r="I178" s="8" t="inlineStr"/>
      <c r="J178" s="8" t="inlineStr">
        <is>
          <t>[HARD] Required, ∈ {Yes, No}</t>
        </is>
      </c>
    </row>
    <row r="179">
      <c r="A179" s="9" t="inlineStr">
        <is>
          <t>q98_phone_advice_open</t>
        </is>
      </c>
      <c r="B179" s="10" t="inlineStr">
        <is>
          <t>98. When your primary care facility is open, can you get advice quickly over the phone if you need it?</t>
        </is>
      </c>
      <c r="C179" s="10" t="inlineStr">
        <is>
          <t>98. When your primary care facility is open, can you get advice quickly over the phone if you need it?</t>
        </is>
      </c>
      <c r="D179" s="10" t="inlineStr">
        <is>
          <t>not asked when Q97 KNOWS_BOOKING = No</t>
        </is>
      </c>
      <c r="E179" s="10" t="inlineStr"/>
      <c r="F179" s="10" t="inlineStr">
        <is>
          <t>I. Primary Care Utilization</t>
        </is>
      </c>
      <c r="G179" s="10" t="inlineStr">
        <is>
          <t>numeric 1</t>
        </is>
      </c>
      <c r="H179" s="10" t="inlineStr">
        <is>
          <t>1 = Yes
2 = No
3 = I haven't tried</t>
        </is>
      </c>
      <c r="I179" s="10" t="inlineStr">
        <is>
          <t>4 = I don't know</t>
        </is>
      </c>
      <c r="J179" s="10" t="inlineStr">
        <is>
          <t>[HARD] Required when enabled, ∈ value set</t>
        </is>
      </c>
    </row>
    <row r="180">
      <c r="A180" s="7" t="inlineStr">
        <is>
          <t>q99_phone_advice_closed</t>
        </is>
      </c>
      <c r="B180" s="8" t="inlineStr">
        <is>
          <t>99. When your primary care facility is closed, is there a phone number you can call when you get sick?</t>
        </is>
      </c>
      <c r="C180" s="8" t="inlineStr">
        <is>
          <t>99. When your primary care facility is closed, is there a phone number you can call when you get sick?</t>
        </is>
      </c>
      <c r="D180" s="8" t="inlineStr">
        <is>
          <t>not asked when Q97 KNOWS_BOOKING = No</t>
        </is>
      </c>
      <c r="E180" s="8" t="inlineStr"/>
      <c r="F180" s="8" t="inlineStr">
        <is>
          <t>I. Primary Care Utilization</t>
        </is>
      </c>
      <c r="G180" s="8" t="inlineStr">
        <is>
          <t>numeric 1</t>
        </is>
      </c>
      <c r="H180" s="8" t="inlineStr">
        <is>
          <t>1 = Yes
2 = No
3 = I haven't tried</t>
        </is>
      </c>
      <c r="I180" s="8" t="inlineStr">
        <is>
          <t>4 = I don't know</t>
        </is>
      </c>
      <c r="J180" s="8" t="inlineStr">
        <is>
          <t>[HARD] Required when enabled, ∈ value set</t>
        </is>
      </c>
    </row>
    <row r="181">
      <c r="A181" s="9" t="inlineStr">
        <is>
          <t>q100_leave_work_school</t>
        </is>
      </c>
      <c r="B181" s="10" t="inlineStr">
        <is>
          <t>100. When you have to visit your primary care facility, do you have to take a leave from work or school to go?</t>
        </is>
      </c>
      <c r="C181" s="10" t="inlineStr">
        <is>
          <t>100. When you have to visit your primary care facility, do you have to take a leave from work or school to go?</t>
        </is>
      </c>
      <c r="D181" s="10" t="inlineStr"/>
      <c r="E181" s="10" t="inlineStr"/>
      <c r="F181" s="10" t="inlineStr">
        <is>
          <t>I. Primary Care Utilization</t>
        </is>
      </c>
      <c r="G181" s="10" t="inlineStr">
        <is>
          <t>numeric 1</t>
        </is>
      </c>
      <c r="H181" s="10" t="inlineStr">
        <is>
          <t>1 = Yes
2 = No
3 = I haven't tried</t>
        </is>
      </c>
      <c r="I181" s="10" t="inlineStr">
        <is>
          <t>4 = I don't know
9 = Not applicable</t>
        </is>
      </c>
      <c r="J181" s="10" t="inlineStr">
        <is>
          <t>[HARD] Required, ∈ {Yes, No}</t>
        </is>
      </c>
    </row>
    <row r="182">
      <c r="A182" s="7" t="inlineStr">
        <is>
          <t>q101_checkup_freq</t>
        </is>
      </c>
      <c r="B182" s="8" t="inlineStr">
        <is>
          <t>101. How often do you/your household member have a general check-up on your health (i.e., when you feel healthy, without any specific illness)?</t>
        </is>
      </c>
      <c r="C182" s="8" t="inlineStr">
        <is>
          <t>We will now be asking about you and your household members’ actions taken for health concerns. This includes the type of services and facilities you access for your health and well-being. 101. How often do you/your household member have a general check-up on your health (i.e., when you feel healthy, without any specific illness)? Note to enumerator [do not read]: This section is for the Household members’ health-seeking behavior and outcomes. Ask all questions in this section unless a skip rule applies.</t>
        </is>
      </c>
      <c r="D182" s="8" t="inlineStr"/>
      <c r="E182" s="8">
        <f> Never / Don't know → Q105 (skip Q102 visit reason, Q103 care type, Q104 preventive)</f>
        <v/>
      </c>
      <c r="F182" s="8" t="inlineStr">
        <is>
          <t>J. Household Members' Health-Seeking Behavior and Outcomes</t>
        </is>
      </c>
      <c r="G182" s="8" t="inlineStr">
        <is>
          <t>numeric 1</t>
        </is>
      </c>
      <c r="H182" s="8" t="inlineStr">
        <is>
          <t>1 = More than once a year
2 = Every year
3 = Every 2-3 years
4 = Every 4-5 years
5 = No set time; I've only ever done this once or twice in my life
6 = Never; I only go to the doctor when I am sick
7 = Other (Specify)</t>
        </is>
      </c>
      <c r="I182" s="8" t="inlineStr"/>
      <c r="J182" s="8" t="inlineStr">
        <is>
          <t>[HARD] Required, ∈ value set</t>
        </is>
      </c>
    </row>
    <row r="183">
      <c r="A183" s="9" t="inlineStr">
        <is>
          <t>q101_checkup_freq_other_txt</t>
        </is>
      </c>
      <c r="B183" s="10" t="inlineStr">
        <is>
          <t>101. Checkup frequency — Other (Specify) text</t>
        </is>
      </c>
      <c r="C183" s="10" t="inlineStr">
        <is>
          <t>101. Checkup frequency — Other (Specify) text</t>
        </is>
      </c>
      <c r="D183" s="10" t="inlineStr"/>
      <c r="E183" s="10" t="inlineStr"/>
      <c r="F183" s="10" t="inlineStr">
        <is>
          <t>J. Household Members' Health-Seeking Behavior and Outcomes</t>
        </is>
      </c>
      <c r="G183" s="10" t="inlineStr">
        <is>
          <t>alpha 120</t>
        </is>
      </c>
      <c r="H183" s="10" t="inlineStr"/>
      <c r="I183" s="10" t="inlineStr"/>
      <c r="J183" s="10" t="inlineStr"/>
    </row>
    <row r="184">
      <c r="A184" s="7" t="inlineStr">
        <is>
          <t>q102_visit_reason</t>
        </is>
      </c>
      <c r="B184" s="8" t="inlineStr">
        <is>
          <t>102. What best describes why you/your household member will visit a health facility (e.g. RHU, health center, clinic, hospital)?</t>
        </is>
      </c>
      <c r="C184" s="8" t="inlineStr">
        <is>
          <t>102. What best describes why you/your household member will visit a health facility (e.g. RHU, health center, clinic, hospital)? READ OPTIONS OUT LOUD. SELECT ALL THAT APPLY.</t>
        </is>
      </c>
      <c r="D184" s="8" t="inlineStr">
        <is>
          <t>not asked when Q101 CHECKUP_FREQ = Never / Don't know</t>
        </is>
      </c>
      <c r="E184" s="8" t="inlineStr"/>
      <c r="F184" s="8" t="inlineStr">
        <is>
          <t>J. Household Members' Health-Seeking Behavior and Outcomes</t>
        </is>
      </c>
      <c r="G184" s="8" t="inlineStr">
        <is>
          <t>alpha 16</t>
        </is>
      </c>
      <c r="H184" s="8" t="inlineStr">
        <is>
          <t>01 = Consultation for new health problem
02 = Consultation to follow-up an ongoing health problem
03 = For tests/diagnostics only
04 = For a general check-up
05 = To get a health certificate/administrative reason
06 = For immunizations/vaccinations
07 = My doctor transferred to this health facility
99 = Other (Specify)</t>
        </is>
      </c>
      <c r="I184" s="8" t="inlineStr"/>
      <c r="J184" s="8" t="inlineStr">
        <is>
          <t>[HARD] ≥ 1 option when enabled; `_OTHER_TXT` on Other</t>
        </is>
      </c>
    </row>
    <row r="185">
      <c r="A185" s="9" t="inlineStr">
        <is>
          <t>q102_visit_reason_other_txt</t>
        </is>
      </c>
      <c r="B185" s="10" t="inlineStr">
        <is>
          <t>102. What best describes why you/your household member will visit a health facility (e.g. RHU, health center, clinic, hospital)? — Other (specify) text</t>
        </is>
      </c>
      <c r="C185" s="10" t="inlineStr">
        <is>
          <t>102. What best describes why you/your household member will visit a health facility (e.g. RHU, health center, clinic, hospital)? — Other (specify) text</t>
        </is>
      </c>
      <c r="D185" s="10" t="inlineStr">
        <is>
          <t>not asked when Q101 CHECKUP_FREQ = Never / Don't know</t>
        </is>
      </c>
      <c r="E185" s="10" t="inlineStr"/>
      <c r="F185" s="10" t="inlineStr">
        <is>
          <t>J. Household Members' Health-Seeking Behavior and Outcomes</t>
        </is>
      </c>
      <c r="G185" s="10" t="inlineStr">
        <is>
          <t>alpha 120</t>
        </is>
      </c>
      <c r="H185" s="10" t="inlineStr"/>
      <c r="I185" s="10" t="inlineStr"/>
      <c r="J185" s="10" t="inlineStr"/>
    </row>
    <row r="186">
      <c r="A186" s="7" t="inlineStr">
        <is>
          <t>q103_care_type</t>
        </is>
      </c>
      <c r="B186" s="8" t="inlineStr">
        <is>
          <t>103. Have you accessed any of the following forms of care in the last 6 months?</t>
        </is>
      </c>
      <c r="C186" s="8" t="inlineStr">
        <is>
          <t>103. Have you accessed any of the following forms of care in the last 6 months? READ OPTIONS OUT LOUD. SELECT ALL THAT APPLY.</t>
        </is>
      </c>
      <c r="D186" s="8" t="inlineStr">
        <is>
          <t>not asked when Q101 CHECKUP_FREQ = Never / Don't know</t>
        </is>
      </c>
      <c r="E186" s="8" t="inlineStr"/>
      <c r="F186" s="8" t="inlineStr">
        <is>
          <t>J. Household Members' Health-Seeking Behavior and Outcomes</t>
        </is>
      </c>
      <c r="G186" s="8" t="inlineStr">
        <is>
          <t>alpha 12</t>
        </is>
      </c>
      <c r="H186" s="8" t="inlineStr">
        <is>
          <t>01 = Outpatient care (Consultation, procedure, or treatment where the patient visits and leaves within the same day)
02 = Inpatient care (Care provided in hospital or another facility where the patient is admitted for at least one night)
03 = Emergency care (Care for serious illnesses or injuries that need immediate medical attention; usually provided in an emergency room or ER)
04 = Primary care consultation
90 = No, I haven't accessed any form of medical care
99 = Other (Specify)</t>
        </is>
      </c>
      <c r="I186" s="8" t="inlineStr"/>
      <c r="J186" s="8" t="inlineStr">
        <is>
          <t>[HARD] ≥ 1 option when enabled; `_OTHER_TXT` on Other</t>
        </is>
      </c>
    </row>
    <row r="187">
      <c r="A187" s="9" t="inlineStr">
        <is>
          <t>q103_care_type_other_txt</t>
        </is>
      </c>
      <c r="B187" s="10" t="inlineStr">
        <is>
          <t>103. Have you accessed any of the following forms of care in the last 6 months? — Other (specify) text</t>
        </is>
      </c>
      <c r="C187" s="10" t="inlineStr">
        <is>
          <t>103. Have you accessed any of the following forms of care in the last 6 months? — Other (specify) text</t>
        </is>
      </c>
      <c r="D187" s="10" t="inlineStr">
        <is>
          <t>not asked when Q101 CHECKUP_FREQ = Never / Don't know</t>
        </is>
      </c>
      <c r="E187" s="10" t="inlineStr"/>
      <c r="F187" s="10" t="inlineStr">
        <is>
          <t>J. Household Members' Health-Seeking Behavior and Outcomes</t>
        </is>
      </c>
      <c r="G187" s="10" t="inlineStr">
        <is>
          <t>alpha 120</t>
        </is>
      </c>
      <c r="H187" s="10" t="inlineStr"/>
      <c r="I187" s="10" t="inlineStr"/>
      <c r="J187" s="10" t="inlineStr"/>
    </row>
    <row r="188">
      <c r="A188" s="7" t="inlineStr">
        <is>
          <t>q104_preventive</t>
        </is>
      </c>
      <c r="B188" s="8" t="inlineStr">
        <is>
          <t>104. Have you ever consulted a physician for preventative reasons, such as to consult about your lifestyle, weight loss, stopping smoking, etc.?</t>
        </is>
      </c>
      <c r="C188" s="8" t="inlineStr">
        <is>
          <t>104. Have you ever consulted a physician for preventative reasons, such as to consult about your lifestyle, weight loss, stopping smoking, etc.?</t>
        </is>
      </c>
      <c r="D188" s="8" t="inlineStr">
        <is>
          <t>not asked when Q101 CHECKUP_FREQ = Never / Don't know</t>
        </is>
      </c>
      <c r="E188" s="8" t="inlineStr"/>
      <c r="F188" s="8" t="inlineStr">
        <is>
          <t>J. Household Members' Health-Seeking Behavior and Outcomes</t>
        </is>
      </c>
      <c r="G188" s="8" t="inlineStr">
        <is>
          <t>numeric 1</t>
        </is>
      </c>
      <c r="H188" s="8" t="inlineStr">
        <is>
          <t>1 = Yes
2 = No</t>
        </is>
      </c>
      <c r="I188" s="8" t="inlineStr"/>
      <c r="J188" s="8" t="inlineStr">
        <is>
          <t>[HARD] Required when enabled, ∈ {Yes, No}</t>
        </is>
      </c>
    </row>
    <row r="189">
      <c r="A189" s="9" t="inlineStr">
        <is>
          <t>q105_forgone_care</t>
        </is>
      </c>
      <c r="B189" s="10" t="inlineStr">
        <is>
          <t>105. In the last 6 months, have you or any of your household members had a medical problem and chosen NOT to see a healthcare provider?</t>
        </is>
      </c>
      <c r="C189" s="10" t="inlineStr">
        <is>
          <t>105. In the last 6 months, have you or any of your household members had a medical problem and chosen NOT to see a healthcare provider?</t>
        </is>
      </c>
      <c r="D189" s="10" t="inlineStr"/>
      <c r="E189" s="10">
        <f> No / No forgone care → End of member-iteration (skip Q106 forgone-why, Q107 other-actions)</f>
        <v/>
      </c>
      <c r="F189" s="10" t="inlineStr">
        <is>
          <t>J. Household Members' Health-Seeking Behavior and Outcomes</t>
        </is>
      </c>
      <c r="G189" s="10" t="inlineStr">
        <is>
          <t>numeric 1</t>
        </is>
      </c>
      <c r="H189" s="10" t="inlineStr">
        <is>
          <t>1 = Yes
2 = No</t>
        </is>
      </c>
      <c r="I189" s="10" t="inlineStr"/>
      <c r="J189" s="10" t="inlineStr">
        <is>
          <t>[HARD] Required, ∈ {Yes, No}</t>
        </is>
      </c>
    </row>
    <row r="190">
      <c r="A190" s="7" t="inlineStr">
        <is>
          <t>q106_forgone_why</t>
        </is>
      </c>
      <c r="B190" s="8" t="inlineStr">
        <is>
          <t>106. Why not?</t>
        </is>
      </c>
      <c r="C190" s="8" t="inlineStr">
        <is>
          <t>106. Why not?</t>
        </is>
      </c>
      <c r="D190" s="8" t="inlineStr">
        <is>
          <t>not asked when Q105 FORGONE_CARE = No / No forgone care</t>
        </is>
      </c>
      <c r="E190" s="8" t="inlineStr"/>
      <c r="F190" s="8" t="inlineStr">
        <is>
          <t>J. Household Members' Health-Seeking Behavior and Outcomes</t>
        </is>
      </c>
      <c r="G190" s="8" t="inlineStr">
        <is>
          <t>alpha 16</t>
        </is>
      </c>
      <c r="H190" s="8" t="inlineStr">
        <is>
          <t>01 = Not sick enough
02 = It's too expensive
03 = Could not take time off work
04 = Could not get an appointment soon enough
05 = No transportation available
06 = Afraid to know my illness
99 = Other (Specify)</t>
        </is>
      </c>
      <c r="I190" s="8" t="inlineStr">
        <is>
          <t>90 = I don't know</t>
        </is>
      </c>
      <c r="J190" s="8" t="inlineStr">
        <is>
          <t>[HARD] ≥ 1 option when enabled; `_OTHER_TXT` on Other</t>
        </is>
      </c>
    </row>
    <row r="191">
      <c r="A191" s="9" t="inlineStr">
        <is>
          <t>q106_forgone_why_other_txt</t>
        </is>
      </c>
      <c r="B191" s="10" t="inlineStr">
        <is>
          <t>106. Why not? — Other (specify) text</t>
        </is>
      </c>
      <c r="C191" s="10" t="inlineStr">
        <is>
          <t>106. Why not? — Other (specify) text</t>
        </is>
      </c>
      <c r="D191" s="10" t="inlineStr">
        <is>
          <t>not asked when Q105 FORGONE_CARE = No / No forgone care</t>
        </is>
      </c>
      <c r="E191" s="10" t="inlineStr"/>
      <c r="F191" s="10" t="inlineStr">
        <is>
          <t>J. Household Members' Health-Seeking Behavior and Outcomes</t>
        </is>
      </c>
      <c r="G191" s="10" t="inlineStr">
        <is>
          <t>alpha 120</t>
        </is>
      </c>
      <c r="H191" s="10" t="inlineStr"/>
      <c r="I191" s="10" t="inlineStr"/>
      <c r="J191" s="10" t="inlineStr"/>
    </row>
    <row r="192">
      <c r="A192" s="7" t="inlineStr">
        <is>
          <t>q107_other_actions</t>
        </is>
      </c>
      <c r="B192" s="8" t="inlineStr">
        <is>
          <t>107. Did you or your household members do any other actions to improve your/their health condition or address your/their health concern?</t>
        </is>
      </c>
      <c r="C192" s="8" t="inlineStr">
        <is>
          <t>107. Did you or your household members do any other actions to improve your/their health condition or address your/their health concern?</t>
        </is>
      </c>
      <c r="D192" s="8" t="inlineStr">
        <is>
          <t>not asked when Q105 FORGONE_CARE = No / No forgone care</t>
        </is>
      </c>
      <c r="E192" s="8" t="inlineStr"/>
      <c r="F192" s="8" t="inlineStr">
        <is>
          <t>J. Household Members' Health-Seeking Behavior and Outcomes</t>
        </is>
      </c>
      <c r="G192" s="8" t="inlineStr">
        <is>
          <t>alpha 14</t>
        </is>
      </c>
      <c r="H192" s="8" t="inlineStr">
        <is>
          <t>01 = Visited other healthcare facility
02 = Sought alternative care (Healthcare apart from medical doctors or the formal healthcare system; such as reflexology, acupuncture, massage therapy, herbal medicines, etc.)
03 = Sought telemedicine (Remote diagnosis and treatment of patients by means of telecommunications technology)
04 = Used home care (Healthcare services and support provided to individuals in their own homes)
05 = Bought medicine from a pharmacy
90 = Did not seek other forms of care
99 = Other (Specify)</t>
        </is>
      </c>
      <c r="I192" s="8" t="inlineStr"/>
      <c r="J192" s="8" t="inlineStr">
        <is>
          <t>[HARD] ≥ 1 option when enabled; `_OTHER_TXT` on Other</t>
        </is>
      </c>
    </row>
    <row r="193">
      <c r="A193" s="9" t="inlineStr">
        <is>
          <t>q107_other_actions_other_txt</t>
        </is>
      </c>
      <c r="B193" s="10" t="inlineStr">
        <is>
          <t>107. Did you or your household members do any other actions to improve your/their health condition or address your/their health concern? — Other (specify) text</t>
        </is>
      </c>
      <c r="C193" s="10" t="inlineStr">
        <is>
          <t>107. Did you or your household members do any other actions to improve your/their health condition or address your/their health concern? — Other (specify) text</t>
        </is>
      </c>
      <c r="D193" s="10" t="inlineStr">
        <is>
          <t>not asked when Q105 FORGONE_CARE = No / No forgone care</t>
        </is>
      </c>
      <c r="E193" s="10" t="inlineStr"/>
      <c r="F193" s="10" t="inlineStr">
        <is>
          <t>J. Household Members' Health-Seeking Behavior and Outcomes</t>
        </is>
      </c>
      <c r="G193" s="10" t="inlineStr">
        <is>
          <t>alpha 120</t>
        </is>
      </c>
      <c r="H193" s="10" t="inlineStr"/>
      <c r="I193" s="10" t="inlineStr"/>
      <c r="J193" s="10" t="inlineStr"/>
    </row>
    <row r="194">
      <c r="A194" s="7" t="inlineStr">
        <is>
          <t>q108_referred</t>
        </is>
      </c>
      <c r="B194" s="8" t="inlineStr">
        <is>
          <t>108. In the past 6 months, did a healthcare worker refer you to another facility or specialist for further care or specialized care?</t>
        </is>
      </c>
      <c r="C194" s="8" t="inlineStr">
        <is>
          <t>We will be asking about your experiences and satisfaction on referrals. 108. In the past 6 months, did a healthcare worker refer you to another facility or specialist for further care or specialized care? Note to enumerator [do not read]: This section is for the Experiences and Satisfaction with Referrals. Ask all questions in this section unless a skip rule applies.</t>
        </is>
      </c>
      <c r="D194" s="8" t="inlineStr"/>
      <c r="E194" s="8">
        <f> No → Q126 (skip Q109–Q125 — jumps straight to Section L NBB)</f>
        <v/>
      </c>
      <c r="F194" s="8" t="inlineStr">
        <is>
          <t>K. Experiences and Satisfaction with Referrals</t>
        </is>
      </c>
      <c r="G194" s="8" t="inlineStr">
        <is>
          <t>numeric 1</t>
        </is>
      </c>
      <c r="H194" s="8" t="inlineStr">
        <is>
          <t>1 = Yes
2 = No</t>
        </is>
      </c>
      <c r="I194" s="8" t="inlineStr"/>
      <c r="J194" s="8" t="inlineStr">
        <is>
          <t>[HARD] Required, ∈ {Yes, No}</t>
        </is>
      </c>
    </row>
    <row r="195">
      <c r="A195" s="9" t="inlineStr">
        <is>
          <t>q109_type</t>
        </is>
      </c>
      <c r="B195" s="10" t="inlineStr">
        <is>
          <t>109. What type of care was the referral for?</t>
        </is>
      </c>
      <c r="C195" s="10" t="inlineStr">
        <is>
          <t>109. What type of care was the referral for? READ OPTIONS OUT LOUD. SELECT ALL THAT APPLY.</t>
        </is>
      </c>
      <c r="D195" s="10" t="inlineStr">
        <is>
          <t>not asked when Q108 REFERRED = No</t>
        </is>
      </c>
      <c r="E195" s="10" t="inlineStr"/>
      <c r="F195" s="10" t="inlineStr">
        <is>
          <t>K. Experiences and Satisfaction with Referrals</t>
        </is>
      </c>
      <c r="G195" s="10" t="inlineStr">
        <is>
          <t>alpha 24</t>
        </is>
      </c>
      <c r="H195" s="10" t="inlineStr">
        <is>
          <t>01 = Outpatient care (Consultation, procedure, or treatment where the patient visits and leaves within the same day)
02 = Emergency care (Care for serious illnesses or injuries that need immediate medical attention; usually provided in an emergency room or ER)
03 = Inpatient care (Care provided in hospital or another facility where the patient is admitted for at least one night)
04 = Dental care (Medical care for your teeth, such as cleanings, fillings, etc.)
05 = Other facility visits (Care that is provided in a facility that is not a health center or hospital, such as independent diagnostic centers, TB dispensaries, etc.)
06 = Special therapy visits (Rehabilitation care or services, such as occupational therapy, physical therapy, psychological and behavioral rehabilitation, prosthetics and orthotics rehabilitation, or speech and language therapy)
07 = Alternative care (Healthcare apart from medical doctors or the formal health care system; such as reflexology, acupuncture, massage therapy, herbal medicines, etc.)
08 = Outreach / medical missions (Care provided by the government or an NGO through an outreach or medical mission within a community)
09 = Home healthcare (Care that is administered at the patient's home, such as birth delivery, checkups, immunization, rehabilitation, etc.)
10 = Telemedicine (Remote diagnosis and treatment of patients by means of telecommunications technology)
90 = None of the above
99 = Other (Specify)</t>
        </is>
      </c>
      <c r="I195" s="10" t="inlineStr"/>
      <c r="J195" s="10" t="inlineStr">
        <is>
          <t>[HARD] ≥ 1 option when enabled; `_OTHER_TXT` on Other</t>
        </is>
      </c>
    </row>
    <row r="196">
      <c r="A196" s="7" t="inlineStr">
        <is>
          <t>q109_type_other_txt</t>
        </is>
      </c>
      <c r="B196" s="8" t="inlineStr">
        <is>
          <t>109. What type of care was the referral for? — Other (specify) text</t>
        </is>
      </c>
      <c r="C196" s="8" t="inlineStr">
        <is>
          <t>109. What type of care was the referral for? — Other (specify) text</t>
        </is>
      </c>
      <c r="D196" s="8" t="inlineStr">
        <is>
          <t>not asked when Q108 REFERRED = No</t>
        </is>
      </c>
      <c r="E196" s="8" t="inlineStr"/>
      <c r="F196" s="8" t="inlineStr">
        <is>
          <t>K. Experiences and Satisfaction with Referrals</t>
        </is>
      </c>
      <c r="G196" s="8" t="inlineStr">
        <is>
          <t>alpha 120</t>
        </is>
      </c>
      <c r="H196" s="8" t="inlineStr"/>
      <c r="I196" s="8" t="inlineStr"/>
      <c r="J196" s="8" t="inlineStr"/>
    </row>
    <row r="197">
      <c r="A197" s="9" t="inlineStr">
        <is>
          <t>q110_specialist</t>
        </is>
      </c>
      <c r="B197" s="10" t="inlineStr">
        <is>
          <t>110. What kind of specialist did they recommend?</t>
        </is>
      </c>
      <c r="C197" s="10" t="inlineStr">
        <is>
          <t>110. What kind of specialist did they recommend? READ OPTIONS OUT LOUD. SELECT ONE ANSWER ONLY.</t>
        </is>
      </c>
      <c r="D197" s="10" t="inlineStr"/>
      <c r="E197" s="10" t="inlineStr"/>
      <c r="F197" s="10" t="inlineStr">
        <is>
          <t>K. Experiences and Satisfaction with Referrals</t>
        </is>
      </c>
      <c r="G197" s="10" t="inlineStr">
        <is>
          <t>numeric 2</t>
        </is>
      </c>
      <c r="H197" s="10" t="inlineStr">
        <is>
          <t>01 = No specialty
02 = Anesthesia
03 = Dermatology
04 = Emergency Medicine
05 = Family Medicine
06 = General Surgery
07 = Internal Medicine
08 = Neurology
09 = Nuclear Medicine
10 = Obstetrics and Gynecology
11 = Occupational Medicine
12 = Ophthalmology
13 = Orthopedics
14 = Otorhinolaryngology (ENT)
15 = Pathology
16 = Pediatrics
17 = Physical and Rehabilitation Medicine
18 = Psychiatry
19 = Public health
20 = Radiology
21 = Research
23 = Other (Specify)</t>
        </is>
      </c>
      <c r="I197" s="10" t="inlineStr">
        <is>
          <t>22 = I don't know</t>
        </is>
      </c>
      <c r="J197" s="10" t="inlineStr">
        <is>
          <t>[HARD] Required when enabled, ∈ value set; `Other` → `_OTHER_TXT`</t>
        </is>
      </c>
    </row>
    <row r="198">
      <c r="A198" s="7" t="inlineStr">
        <is>
          <t>q110_specialist_other_txt</t>
        </is>
      </c>
      <c r="B198" s="8" t="inlineStr">
        <is>
          <t>110. Specialist — Other (Specify) text</t>
        </is>
      </c>
      <c r="C198" s="8" t="inlineStr">
        <is>
          <t>110. Specialist — Other (Specify) text</t>
        </is>
      </c>
      <c r="D198" s="8" t="inlineStr"/>
      <c r="E198" s="8" t="inlineStr"/>
      <c r="F198" s="8" t="inlineStr">
        <is>
          <t>K. Experiences and Satisfaction with Referrals</t>
        </is>
      </c>
      <c r="G198" s="8" t="inlineStr">
        <is>
          <t>alpha 120</t>
        </is>
      </c>
      <c r="H198" s="8" t="inlineStr"/>
      <c r="I198" s="8" t="inlineStr"/>
      <c r="J198" s="8" t="inlineStr"/>
    </row>
    <row r="199">
      <c r="A199" s="9" t="inlineStr">
        <is>
          <t>q111_method</t>
        </is>
      </c>
      <c r="B199" s="10" t="inlineStr">
        <is>
          <t>111. How did they refer you to the doctor?</t>
        </is>
      </c>
      <c r="C199" s="10" t="inlineStr">
        <is>
          <t>111. How did they refer you to the doctor? READ OPTIONS OUT LOUD. SELECT ONE ANSWER ONLY.</t>
        </is>
      </c>
      <c r="D199" s="10" t="inlineStr"/>
      <c r="E199" s="10" t="inlineStr"/>
      <c r="F199" s="10" t="inlineStr">
        <is>
          <t>K. Experiences and Satisfaction with Referrals</t>
        </is>
      </c>
      <c r="G199" s="10" t="inlineStr">
        <is>
          <t>numeric 1</t>
        </is>
      </c>
      <c r="H199" s="10" t="inlineStr">
        <is>
          <t>1 = Physical referral slip
2 = E-referral
3 = Phone call from referring facility to receiving facility
5 = Other (Specify)</t>
        </is>
      </c>
      <c r="I199" s="10" t="inlineStr">
        <is>
          <t>4 = I don't know</t>
        </is>
      </c>
      <c r="J199" s="10" t="inlineStr">
        <is>
          <t>[HARD] Required when enabled, ∈ value set; `Other` → `_OTHER_TXT`</t>
        </is>
      </c>
    </row>
    <row r="200">
      <c r="A200" s="7" t="inlineStr">
        <is>
          <t>q111_method_other_txt</t>
        </is>
      </c>
      <c r="B200" s="8" t="inlineStr">
        <is>
          <t>111. Referral method — Other (Specify) text</t>
        </is>
      </c>
      <c r="C200" s="8" t="inlineStr">
        <is>
          <t>111. Referral method — Other (Specify) text</t>
        </is>
      </c>
      <c r="D200" s="8" t="inlineStr"/>
      <c r="E200" s="8" t="inlineStr"/>
      <c r="F200" s="8" t="inlineStr">
        <is>
          <t>K. Experiences and Satisfaction with Referrals</t>
        </is>
      </c>
      <c r="G200" s="8" t="inlineStr">
        <is>
          <t>alpha 120</t>
        </is>
      </c>
      <c r="H200" s="8" t="inlineStr"/>
      <c r="I200" s="8" t="inlineStr"/>
      <c r="J200" s="8" t="inlineStr"/>
    </row>
    <row r="201">
      <c r="A201" s="9" t="inlineStr">
        <is>
          <t>q112_visited</t>
        </is>
      </c>
      <c r="B201" s="10" t="inlineStr">
        <is>
          <t>112. Did you visit another facility after the referral?</t>
        </is>
      </c>
      <c r="C201" s="10" t="inlineStr">
        <is>
          <t>112. Did you visit another facility after the referral? DO NOT READ OPTIONS OUT LOUD. SELECT ONE ANSWER ONLY.</t>
        </is>
      </c>
      <c r="D201" s="10" t="inlineStr"/>
      <c r="E201" s="10">
        <f> Yes → Q114 (skip Q113 why-not)
= No, not planning or Not yet, planning → Q113 asked; after Q113 → Q114
≠ Yes → Q117 + Q118 skipped — both asked only when Q112 = Yes; after Q116 → Q119 (#816)</f>
        <v/>
      </c>
      <c r="F201" s="10" t="inlineStr">
        <is>
          <t>K. Experiences and Satisfaction with Referrals</t>
        </is>
      </c>
      <c r="G201" s="10" t="inlineStr">
        <is>
          <t>numeric 1</t>
        </is>
      </c>
      <c r="H201" s="10" t="inlineStr">
        <is>
          <t>1 = Yes
2 = No, I'm not planning to
3 = Not yet, but I'm planning to</t>
        </is>
      </c>
      <c r="I201" s="10" t="inlineStr"/>
      <c r="J201" s="10" t="inlineStr">
        <is>
          <t>[HARD] Required when enabled, ∈ value set</t>
        </is>
      </c>
    </row>
    <row r="202">
      <c r="A202" s="7" t="inlineStr">
        <is>
          <t>q113_why_not</t>
        </is>
      </c>
      <c r="B202" s="8" t="inlineStr">
        <is>
          <t>113. Why are you not planning to visit?</t>
        </is>
      </c>
      <c r="C202" s="8" t="inlineStr">
        <is>
          <t>113. Why are you not planning to visit? DO NOT READ OPTIONS OUT LOUD. SELECT ALL THAT APPLY.</t>
        </is>
      </c>
      <c r="D202" s="8" t="inlineStr">
        <is>
          <t>not asked when Q112 VISITED = Yes</t>
        </is>
      </c>
      <c r="E202" s="8" t="inlineStr"/>
      <c r="F202" s="8" t="inlineStr">
        <is>
          <t>K. Experiences and Satisfaction with Referrals</t>
        </is>
      </c>
      <c r="G202" s="8" t="inlineStr">
        <is>
          <t>alpha 14</t>
        </is>
      </c>
      <c r="H202" s="8" t="inlineStr">
        <is>
          <t>01 = Facility is too far
02 = Do not trust the referred facility
03 = No time
04 = Worried about additional costs
05 = Not needed
99 = Other (Specify)</t>
        </is>
      </c>
      <c r="I202" s="8" t="inlineStr">
        <is>
          <t>06 = Don't know how to get to facility</t>
        </is>
      </c>
      <c r="J202" s="8" t="inlineStr">
        <is>
          <t>[HARD] ≥ 1 option when enabled; `_OTHER_TXT` on Other</t>
        </is>
      </c>
    </row>
    <row r="203">
      <c r="A203" s="9" t="inlineStr">
        <is>
          <t>q113_why_not_other_txt</t>
        </is>
      </c>
      <c r="B203" s="10" t="inlineStr">
        <is>
          <t>113. Why are you not planning to visit? — Other (specify) text</t>
        </is>
      </c>
      <c r="C203" s="10" t="inlineStr">
        <is>
          <t>113. Why are you not planning to visit? — Other (specify) text</t>
        </is>
      </c>
      <c r="D203" s="10" t="inlineStr">
        <is>
          <t>not asked when Q112 VISITED = Yes</t>
        </is>
      </c>
      <c r="E203" s="10" t="inlineStr"/>
      <c r="F203" s="10" t="inlineStr">
        <is>
          <t>K. Experiences and Satisfaction with Referrals</t>
        </is>
      </c>
      <c r="G203" s="10" t="inlineStr">
        <is>
          <t>alpha 120</t>
        </is>
      </c>
      <c r="H203" s="10" t="inlineStr"/>
      <c r="I203" s="10" t="inlineStr"/>
      <c r="J203" s="10" t="inlineStr"/>
    </row>
    <row r="204">
      <c r="A204" s="7" t="inlineStr">
        <is>
          <t>q114_discussed_places</t>
        </is>
      </c>
      <c r="B204" s="8" t="inlineStr">
        <is>
          <t>114. Did they discuss with you the different places you could have gone to get help with your problem?</t>
        </is>
      </c>
      <c r="C204" s="8" t="inlineStr">
        <is>
          <t>114. Did they discuss with you the different places you could have gone to get help with your problem?</t>
        </is>
      </c>
      <c r="D204" s="8" t="inlineStr"/>
      <c r="E204" s="8" t="inlineStr"/>
      <c r="F204" s="8" t="inlineStr">
        <is>
          <t>K. Experiences and Satisfaction with Referrals</t>
        </is>
      </c>
      <c r="G204" s="8" t="inlineStr">
        <is>
          <t>numeric 1</t>
        </is>
      </c>
      <c r="H204" s="8" t="inlineStr">
        <is>
          <t>1 = Yes
2 = No</t>
        </is>
      </c>
      <c r="I204" s="8" t="inlineStr"/>
      <c r="J204" s="8" t="inlineStr">
        <is>
          <t>[HARD] Required when enabled, ∈ {Yes, No}</t>
        </is>
      </c>
    </row>
    <row r="205">
      <c r="A205" s="9" t="inlineStr">
        <is>
          <t>q115_helped_appt</t>
        </is>
      </c>
      <c r="B205" s="10" t="inlineStr">
        <is>
          <t>115. Did they help you make the appointment for that visit?</t>
        </is>
      </c>
      <c r="C205" s="10" t="inlineStr">
        <is>
          <t>115. Did they help you make the appointment for that visit?</t>
        </is>
      </c>
      <c r="D205" s="10" t="inlineStr"/>
      <c r="E205" s="10" t="inlineStr"/>
      <c r="F205" s="10" t="inlineStr">
        <is>
          <t>K. Experiences and Satisfaction with Referrals</t>
        </is>
      </c>
      <c r="G205" s="10" t="inlineStr">
        <is>
          <t>numeric 1</t>
        </is>
      </c>
      <c r="H205" s="10" t="inlineStr">
        <is>
          <t>1 = Yes
2 = No</t>
        </is>
      </c>
      <c r="I205" s="10" t="inlineStr"/>
      <c r="J205" s="10" t="inlineStr">
        <is>
          <t>[HARD] Required when enabled, ∈ {Yes, No}</t>
        </is>
      </c>
    </row>
    <row r="206">
      <c r="A206" s="7" t="inlineStr">
        <is>
          <t>q116_wrote_info</t>
        </is>
      </c>
      <c r="B206" s="8" t="inlineStr">
        <is>
          <t>116. Did they write down any information for the specialist about the reason for that visit?</t>
        </is>
      </c>
      <c r="C206" s="8" t="inlineStr">
        <is>
          <t>116. Did they write down any information for the specialist about the reason for that visit?</t>
        </is>
      </c>
      <c r="D206" s="8" t="inlineStr"/>
      <c r="E206" s="8" t="inlineStr"/>
      <c r="F206" s="8" t="inlineStr">
        <is>
          <t>K. Experiences and Satisfaction with Referrals</t>
        </is>
      </c>
      <c r="G206" s="8" t="inlineStr">
        <is>
          <t>numeric 1</t>
        </is>
      </c>
      <c r="H206" s="8" t="inlineStr">
        <is>
          <t>1 = Yes
2 = No</t>
        </is>
      </c>
      <c r="I206" s="8" t="inlineStr"/>
      <c r="J206" s="8" t="inlineStr">
        <is>
          <t>[HARD] Required when enabled, ∈ {Yes, No}</t>
        </is>
      </c>
    </row>
    <row r="207">
      <c r="A207" s="9" t="inlineStr">
        <is>
          <t>q117_specialist_followup</t>
        </is>
      </c>
      <c r="B207" s="10" t="inlineStr">
        <is>
          <t>117. After you went to the specialist or special service, did they follow up with you about what happened at the visit? (Only if Q112=Yes)</t>
        </is>
      </c>
      <c r="C207" s="10" t="inlineStr">
        <is>
          <t>117. After you went to the specialist or special service, did they follow up with you about what happened at the visit? (Only if Q112=Yes)</t>
        </is>
      </c>
      <c r="D207" s="10" t="inlineStr"/>
      <c r="E207" s="10">
        <f> No → Q119 (skip Q118 sat-referral-process)</f>
        <v/>
      </c>
      <c r="F207" s="10" t="inlineStr">
        <is>
          <t>K. Experiences and Satisfaction with Referrals</t>
        </is>
      </c>
      <c r="G207" s="10" t="inlineStr">
        <is>
          <t>numeric 1</t>
        </is>
      </c>
      <c r="H207" s="10" t="inlineStr">
        <is>
          <t>1 = Yes
2 = No</t>
        </is>
      </c>
      <c r="I207" s="10" t="inlineStr"/>
      <c r="J207" s="10" t="inlineStr">
        <is>
          <t>[HARD] Required when enabled, ∈ {Yes, No}</t>
        </is>
      </c>
    </row>
    <row r="208">
      <c r="A208" s="7" t="inlineStr">
        <is>
          <t>q118_sat_referral_process</t>
        </is>
      </c>
      <c r="B208" s="8" t="inlineStr">
        <is>
          <t>118. Overall, how satisfied were you with the referral process — from being referred to the specialist or other facility through your visit there?</t>
        </is>
      </c>
      <c r="C208" s="8" t="inlineStr">
        <is>
          <t>118. Overall, how satisfied were you with the referral process — from being referred to the specialist or other facility through your visit there? READ OPTIONS OUT LOUD. SELECT ONE ANSWER ONLY.</t>
        </is>
      </c>
      <c r="D208" s="8" t="inlineStr">
        <is>
          <t>not asked when Q117 SPECIALIST_FOLLOWUP = No</t>
        </is>
      </c>
      <c r="E208" s="8" t="inlineStr"/>
      <c r="F208" s="8" t="inlineStr">
        <is>
          <t>K. Experiences and Satisfaction with Referrals</t>
        </is>
      </c>
      <c r="G208" s="8" t="inlineStr">
        <is>
          <t>numeric 1</t>
        </is>
      </c>
      <c r="H208" s="8" t="inlineStr">
        <is>
          <t>1 = Very Satisfied
2 = Satisfied
3 = Neither Satisfied nor Dissatisfied
4 = Dissatisfied
5 = Very Dissatisfied</t>
        </is>
      </c>
      <c r="I208" s="8" t="inlineStr">
        <is>
          <t>9 = Not applicable</t>
        </is>
      </c>
      <c r="J208" s="8" t="inlineStr">
        <is>
          <t>[HARD] Required when enabled, ∈ satisfaction codes</t>
        </is>
      </c>
    </row>
    <row r="209">
      <c r="A209" s="9" t="inlineStr">
        <is>
          <t>q119_pcf_referral</t>
        </is>
      </c>
      <c r="B209" s="10" t="inlineStr">
        <is>
          <t>119. Was the visit to the facility a referral from your primary care facility?</t>
        </is>
      </c>
      <c r="C209" s="10" t="inlineStr">
        <is>
          <t>119. Was the visit to the facility a referral from your primary care facility?</t>
        </is>
      </c>
      <c r="D209" s="10" t="inlineStr"/>
      <c r="E209" s="10">
        <f> Yes → Q120 PCP-knows, then Q122 discussed-places (skip Q121 why-hospital)
= No → Q121 (skip Q120 — not PCP referral → why-hospital asked)</f>
        <v/>
      </c>
      <c r="F209" s="10" t="inlineStr">
        <is>
          <t>K. Experiences and Satisfaction with Referrals</t>
        </is>
      </c>
      <c r="G209" s="10" t="inlineStr">
        <is>
          <t>numeric 1</t>
        </is>
      </c>
      <c r="H209" s="10" t="inlineStr">
        <is>
          <t>1 = Yes
2 = No</t>
        </is>
      </c>
      <c r="I209" s="10" t="inlineStr"/>
      <c r="J209" s="10" t="inlineStr">
        <is>
          <t>[HARD] Required when enabled, ∈ {Yes, No}</t>
        </is>
      </c>
    </row>
    <row r="210">
      <c r="A210" s="7" t="inlineStr">
        <is>
          <t>q120_pcp_knows</t>
        </is>
      </c>
      <c r="B210" s="8" t="inlineStr">
        <is>
          <t>120. Does your primary care provider know that you made the visit?</t>
        </is>
      </c>
      <c r="C210" s="8" t="inlineStr">
        <is>
          <t>120. Does your primary care provider know that you made the visit?</t>
        </is>
      </c>
      <c r="D210" s="8" t="inlineStr">
        <is>
          <t>not asked when Q119 PCF_REFERRAL = No</t>
        </is>
      </c>
      <c r="E210" s="8" t="inlineStr"/>
      <c r="F210" s="8" t="inlineStr">
        <is>
          <t>K. Experiences and Satisfaction with Referrals</t>
        </is>
      </c>
      <c r="G210" s="8" t="inlineStr">
        <is>
          <t>numeric 1</t>
        </is>
      </c>
      <c r="H210" s="8" t="inlineStr">
        <is>
          <t>1 = Yes
2 = No</t>
        </is>
      </c>
      <c r="I210" s="8" t="inlineStr">
        <is>
          <t>3 = I don't know</t>
        </is>
      </c>
      <c r="J210" s="8" t="inlineStr">
        <is>
          <t>[HARD] Required when enabled, ∈ value set</t>
        </is>
      </c>
    </row>
    <row r="211">
      <c r="A211" s="9" t="inlineStr">
        <is>
          <t>q121_why_hospital</t>
        </is>
      </c>
      <c r="B211" s="10" t="inlineStr">
        <is>
          <t>121. As it was not a referral, why did you decide to visit a hospital?</t>
        </is>
      </c>
      <c r="C211" s="10" t="inlineStr">
        <is>
          <t>121. As it was not a referral, why did you decide to visit a hospital? DO NOT READ OPTIONS OUT LOUD. SELECT ALL THAT APPLY.</t>
        </is>
      </c>
      <c r="D211" s="10" t="inlineStr">
        <is>
          <t>not asked when Q119 PCF_REFERRAL = Yes</t>
        </is>
      </c>
      <c r="E211" s="10" t="inlineStr"/>
      <c r="F211" s="10" t="inlineStr">
        <is>
          <t>K. Experiences and Satisfaction with Referrals</t>
        </is>
      </c>
      <c r="G211" s="10" t="inlineStr">
        <is>
          <t>alpha 18</t>
        </is>
      </c>
      <c r="H211" s="10" t="inlineStr">
        <is>
          <t>01 = Referred by other specialist (doctor in another hospital)
02 = Nearest facility to house
03 = Facility is usual source of care
04 = Facility is the only place that can perform a certain test
05 = Referred by BHW/nurse/midwife/other community health professional
06 = Referred by family / friends
07 = Facility offers subsidized or free health services
99 = Other (Specify)</t>
        </is>
      </c>
      <c r="I211" s="10" t="inlineStr">
        <is>
          <t>90 = I don't know</t>
        </is>
      </c>
      <c r="J211" s="10" t="inlineStr">
        <is>
          <t>[HARD] ≥ 1 option when enabled; "Don't know" mutex; `_OTHER_TXT` on Other</t>
        </is>
      </c>
    </row>
    <row r="212">
      <c r="A212" s="7" t="inlineStr">
        <is>
          <t>q121_why_hospital_other_txt</t>
        </is>
      </c>
      <c r="B212" s="8" t="inlineStr">
        <is>
          <t>121. As it was not a referral, why did you decide to visit a hospital? — Other (specify) text</t>
        </is>
      </c>
      <c r="C212" s="8" t="inlineStr">
        <is>
          <t>121. As it was not a referral, why did you decide to visit a hospital? — Other (specify) text</t>
        </is>
      </c>
      <c r="D212" s="8" t="inlineStr">
        <is>
          <t>not asked when Q119 PCF_REFERRAL = Yes</t>
        </is>
      </c>
      <c r="E212" s="8" t="inlineStr"/>
      <c r="F212" s="8" t="inlineStr">
        <is>
          <t>K. Experiences and Satisfaction with Referrals</t>
        </is>
      </c>
      <c r="G212" s="8" t="inlineStr">
        <is>
          <t>alpha 120</t>
        </is>
      </c>
      <c r="H212" s="8" t="inlineStr"/>
      <c r="I212" s="8" t="inlineStr"/>
      <c r="J212" s="8" t="inlineStr"/>
    </row>
    <row r="213">
      <c r="A213" s="9" t="inlineStr">
        <is>
          <t>q122_pcp_discussed_places</t>
        </is>
      </c>
      <c r="B213" s="10" t="inlineStr">
        <is>
          <t>122. Did your primary care provider discuss with you different places you could have gone to get help with your problem?</t>
        </is>
      </c>
      <c r="C213" s="10" t="inlineStr">
        <is>
          <t>122. Did your primary care provider discuss with you different places you could have gone to get help with your problem?</t>
        </is>
      </c>
      <c r="D213" s="10" t="inlineStr"/>
      <c r="E213" s="10" t="inlineStr"/>
      <c r="F213" s="10" t="inlineStr">
        <is>
          <t>K. Experiences and Satisfaction with Referrals</t>
        </is>
      </c>
      <c r="G213" s="10" t="inlineStr">
        <is>
          <t>numeric 1</t>
        </is>
      </c>
      <c r="H213" s="10" t="inlineStr">
        <is>
          <t>1 = Yes
2 = No</t>
        </is>
      </c>
      <c r="I213" s="10" t="inlineStr"/>
      <c r="J213" s="10" t="inlineStr">
        <is>
          <t>[HARD] Required when enabled, ∈ {Yes, No}</t>
        </is>
      </c>
    </row>
    <row r="214">
      <c r="A214" s="7" t="inlineStr">
        <is>
          <t>q123_pcp_helped_appt</t>
        </is>
      </c>
      <c r="B214" s="8" t="inlineStr">
        <is>
          <t>123. Did your primary care provider (PCP) or someone working with your PCP help you make the appointment for that visit?</t>
        </is>
      </c>
      <c r="C214" s="8" t="inlineStr">
        <is>
          <t>123. Did your primary care provider (PCP) or someone working with your PCP help you make the appointment for that visit?</t>
        </is>
      </c>
      <c r="D214" s="8" t="inlineStr"/>
      <c r="E214" s="8" t="inlineStr"/>
      <c r="F214" s="8" t="inlineStr">
        <is>
          <t>K. Experiences and Satisfaction with Referrals</t>
        </is>
      </c>
      <c r="G214" s="8" t="inlineStr">
        <is>
          <t>numeric 1</t>
        </is>
      </c>
      <c r="H214" s="8" t="inlineStr">
        <is>
          <t>1 = Yes
2 = No</t>
        </is>
      </c>
      <c r="I214" s="8" t="inlineStr"/>
      <c r="J214" s="8" t="inlineStr">
        <is>
          <t>[HARD] Required when enabled, ∈ {Yes, No}</t>
        </is>
      </c>
    </row>
    <row r="215">
      <c r="A215" s="9" t="inlineStr">
        <is>
          <t>q124_pcp_wrote_info</t>
        </is>
      </c>
      <c r="B215" s="10" t="inlineStr">
        <is>
          <t>124. Did your primary care provider write down any information for the specialist about the reason for that visit?</t>
        </is>
      </c>
      <c r="C215" s="10" t="inlineStr">
        <is>
          <t>124. Did your primary care provider write down any information for the specialist about the reason for that visit?</t>
        </is>
      </c>
      <c r="D215" s="10" t="inlineStr"/>
      <c r="E215" s="10" t="inlineStr">
        <is>
          <t>completed → Q125 (close Section K)</t>
        </is>
      </c>
      <c r="F215" s="10" t="inlineStr">
        <is>
          <t>K. Experiences and Satisfaction with Referrals</t>
        </is>
      </c>
      <c r="G215" s="10" t="inlineStr">
        <is>
          <t>numeric 1</t>
        </is>
      </c>
      <c r="H215" s="10" t="inlineStr">
        <is>
          <t>1 = Yes
2 = No</t>
        </is>
      </c>
      <c r="I215" s="10" t="inlineStr"/>
      <c r="J215" s="10" t="inlineStr">
        <is>
          <t>[HARD] Required when enabled, ∈ {Yes, No}</t>
        </is>
      </c>
    </row>
    <row r="216">
      <c r="A216" s="7" t="inlineStr">
        <is>
          <t>q125_sat_referral_exp</t>
        </is>
      </c>
      <c r="B216" s="8" t="inlineStr">
        <is>
          <t>125. Overall, how would you rate your experience with the referral process?</t>
        </is>
      </c>
      <c r="C216" s="8" t="inlineStr">
        <is>
          <t>125. Overall, how would you rate your experience with the referral process? READ OPTIONS OUT LOUD. SELECT ONE ANSWER ONLY.</t>
        </is>
      </c>
      <c r="D216" s="8" t="inlineStr">
        <is>
          <t>not asked when Q108 REFERRED = No</t>
        </is>
      </c>
      <c r="E216" s="8" t="inlineStr"/>
      <c r="F216" s="8" t="inlineStr">
        <is>
          <t>K. Experiences and Satisfaction with Referrals</t>
        </is>
      </c>
      <c r="G216" s="8" t="inlineStr">
        <is>
          <t>numeric 1</t>
        </is>
      </c>
      <c r="H216" s="8" t="inlineStr">
        <is>
          <t>1 = Very Satisfied
2 = Satisfied
3 = Neither Satisfied nor Dissatisfied
4 = Dissatisfied
5 = Very Dissatisfied</t>
        </is>
      </c>
      <c r="I216" s="8" t="inlineStr">
        <is>
          <t>9 = Not applicable</t>
        </is>
      </c>
      <c r="J216" s="8" t="inlineStr">
        <is>
          <t>[HARD] Required when `Q108 = Yes`, ∈ satisfaction codes</t>
        </is>
      </c>
    </row>
    <row r="217">
      <c r="A217" s="9" t="inlineStr">
        <is>
          <t>q126_nbb_heard</t>
        </is>
      </c>
      <c r="B217" s="10" t="inlineStr">
        <is>
          <t>126. Have you heard of the No Balance Billing (NBB)?</t>
        </is>
      </c>
      <c r="C217" s="10" t="inlineStr">
        <is>
          <t>We will now ask about your awareness of the No Balance Billing (NBB). 126. Have you heard of the No Balance Billing (NBB)? Note to enumerator [do not read]: This section is for No Balance Billing Awareness and Utilization. Ask all questions in this section unless a skip rule applies.</t>
        </is>
      </c>
      <c r="D217" s="10" t="inlineStr"/>
      <c r="E217" s="10">
        <f> No / Don't know → Q129 (skip Q127 sources, Q128 understanding)</f>
        <v/>
      </c>
      <c r="F217" s="10" t="inlineStr">
        <is>
          <t>L. No Balance Billing (NBB) Awareness and Utilization</t>
        </is>
      </c>
      <c r="G217" s="10" t="inlineStr">
        <is>
          <t>numeric 1</t>
        </is>
      </c>
      <c r="H217" s="10" t="inlineStr">
        <is>
          <t>1 = Yes
2 = No</t>
        </is>
      </c>
      <c r="I217" s="10" t="inlineStr">
        <is>
          <t>3 = I don't know</t>
        </is>
      </c>
      <c r="J217" s="10" t="inlineStr">
        <is>
          <t>[HARD] Required, ∈ {Yes, No, Don't know}</t>
        </is>
      </c>
    </row>
    <row r="218">
      <c r="A218" s="7" t="inlineStr">
        <is>
          <t>q127_nbb_source</t>
        </is>
      </c>
      <c r="B218" s="8" t="inlineStr">
        <is>
          <t>127. If yes, what are your sources of information about NBB?</t>
        </is>
      </c>
      <c r="C218" s="8" t="inlineStr">
        <is>
          <t>127. If yes, what are your sources of information about NBB? DO NOT READ OPTIONS OUT LOUD. SELECT ALL THAT APPLY.</t>
        </is>
      </c>
      <c r="D218" s="8" t="inlineStr">
        <is>
          <t>not asked when Q126 NBB_HEARD = No / Don't know</t>
        </is>
      </c>
      <c r="E218" s="8" t="inlineStr"/>
      <c r="F218" s="8" t="inlineStr">
        <is>
          <t>L. No Balance Billing (NBB) Awareness and Utilization</t>
        </is>
      </c>
      <c r="G218" s="8" t="inlineStr">
        <is>
          <t>alpha 16</t>
        </is>
      </c>
      <c r="H218" s="8" t="inlineStr">
        <is>
          <t>01 = News
02 = Legislation
03 = Social Media
04 = Friends / Family
05 = Health center/facility
06 = LGU/Barangay
99 = Other (Specify)</t>
        </is>
      </c>
      <c r="I218" s="8" t="inlineStr">
        <is>
          <t>90 = I don't know</t>
        </is>
      </c>
      <c r="J218" s="8" t="inlineStr">
        <is>
          <t>[HARD] Select-all; "Don't know" mutex; `_OTHER_TXT` on Other</t>
        </is>
      </c>
    </row>
    <row r="219">
      <c r="A219" s="9" t="inlineStr">
        <is>
          <t>q127_nbb_source_other_txt</t>
        </is>
      </c>
      <c r="B219" s="10" t="inlineStr">
        <is>
          <t>127. If yes, what are your sources of information about NBB? — Other (specify) text</t>
        </is>
      </c>
      <c r="C219" s="10" t="inlineStr">
        <is>
          <t>127. If yes, what are your sources of information about NBB? — Other (specify) text</t>
        </is>
      </c>
      <c r="D219" s="10" t="inlineStr">
        <is>
          <t>not asked when Q126 NBB_HEARD = No / Don't know</t>
        </is>
      </c>
      <c r="E219" s="10" t="inlineStr"/>
      <c r="F219" s="10" t="inlineStr">
        <is>
          <t>L. No Balance Billing (NBB) Awareness and Utilization</t>
        </is>
      </c>
      <c r="G219" s="10" t="inlineStr">
        <is>
          <t>alpha 120</t>
        </is>
      </c>
      <c r="H219" s="10" t="inlineStr"/>
      <c r="I219" s="10" t="inlineStr"/>
      <c r="J219" s="10" t="inlineStr"/>
    </row>
    <row r="220">
      <c r="A220" s="7" t="inlineStr">
        <is>
          <t>q128_nbb_understand</t>
        </is>
      </c>
      <c r="B220" s="8" t="inlineStr">
        <is>
          <t>128. What is your understanding about NBB?</t>
        </is>
      </c>
      <c r="C220" s="8" t="inlineStr">
        <is>
          <t>128. What is your understanding about NBB? DO NOT READ OPTIONS OUT LOUD. SELECT ALL THAT APPLY.</t>
        </is>
      </c>
      <c r="D220" s="8" t="inlineStr">
        <is>
          <t>not asked when Q126 NBB_HEARD = No / Don't know</t>
        </is>
      </c>
      <c r="E220" s="8" t="inlineStr"/>
      <c r="F220" s="8" t="inlineStr">
        <is>
          <t>L. No Balance Billing (NBB) Awareness and Utilization</t>
        </is>
      </c>
      <c r="G220" s="8" t="inlineStr">
        <is>
          <t>alpha 18</t>
        </is>
      </c>
      <c r="H220" s="8" t="inlineStr">
        <is>
          <t>01 = Patient does not pay any hospital bill
02 = Bills are settled between the hospital and PhilHealth
03 = PhilHealth will cover cost of treatment
04 = Patients should not be charged extra fees
05 = Medicine and service are already included
06 = No cash payment required upon discharge
07 = Applies only to certain patients or hospitals
99 = Other (Specify)</t>
        </is>
      </c>
      <c r="I220" s="8" t="inlineStr">
        <is>
          <t>90 = I don't know</t>
        </is>
      </c>
      <c r="J220" s="8" t="inlineStr">
        <is>
          <t>[HARD] Select-all; "Don't know" mutex; `_OTHER_TXT` on Other</t>
        </is>
      </c>
    </row>
    <row r="221">
      <c r="A221" s="9" t="inlineStr">
        <is>
          <t>q128_nbb_understand_other_txt</t>
        </is>
      </c>
      <c r="B221" s="10" t="inlineStr">
        <is>
          <t>128. What is your understanding about NBB? — Other (specify) text</t>
        </is>
      </c>
      <c r="C221" s="10" t="inlineStr">
        <is>
          <t>128. What is your understanding about NBB? — Other (specify) text</t>
        </is>
      </c>
      <c r="D221" s="10" t="inlineStr">
        <is>
          <t>not asked when Q126 NBB_HEARD = No / Don't know</t>
        </is>
      </c>
      <c r="E221" s="10" t="inlineStr"/>
      <c r="F221" s="10" t="inlineStr">
        <is>
          <t>L. No Balance Billing (NBB) Awareness and Utilization</t>
        </is>
      </c>
      <c r="G221" s="10" t="inlineStr">
        <is>
          <t>alpha 120</t>
        </is>
      </c>
      <c r="H221" s="10" t="inlineStr"/>
      <c r="I221" s="10" t="inlineStr"/>
      <c r="J221" s="10" t="inlineStr"/>
    </row>
    <row r="222">
      <c r="A222" s="7" t="inlineStr">
        <is>
          <t>q129_hh_confined</t>
        </is>
      </c>
      <c r="B222" s="8" t="inlineStr">
        <is>
          <t>129. Were you or any of your household members confined in a hospital during the past 6 months?</t>
        </is>
      </c>
      <c r="C222" s="8" t="inlineStr">
        <is>
          <t>129. Were you or any of your household members confined in a hospital during the past 6 months?</t>
        </is>
      </c>
      <c r="D222" s="8" t="inlineStr"/>
      <c r="E222" s="8">
        <f> No → Q144 (skip Q130, Q131 NBB utilization; skip Q132–Q143 bill-recall tail of Section M — proceed straight to Section N)</f>
        <v/>
      </c>
      <c r="F222" s="8" t="inlineStr">
        <is>
          <t>L. No Balance Billing (NBB) Awareness and Utilization</t>
        </is>
      </c>
      <c r="G222" s="8" t="inlineStr">
        <is>
          <t>numeric 1</t>
        </is>
      </c>
      <c r="H222" s="8" t="inlineStr">
        <is>
          <t>1 = Yes
2 = No</t>
        </is>
      </c>
      <c r="I222" s="8" t="inlineStr">
        <is>
          <t>3 = I don't know</t>
        </is>
      </c>
      <c r="J222" s="8" t="inlineStr">
        <is>
          <t>[HARD] Required, ∈ {Yes, No}</t>
        </is>
      </c>
    </row>
    <row r="223">
      <c r="A223" s="9" t="inlineStr">
        <is>
          <t>q130_hospital_type</t>
        </is>
      </c>
      <c r="B223" s="10" t="inlineStr">
        <is>
          <t>130. For the most recent hospitalization, what type of hospital?</t>
        </is>
      </c>
      <c r="C223" s="10" t="inlineStr">
        <is>
          <t>130. For the most recent hospitalization, what type of hospital?</t>
        </is>
      </c>
      <c r="D223" s="10" t="inlineStr">
        <is>
          <t>not asked when Q129 HH_CONFINED = No</t>
        </is>
      </c>
      <c r="E223" s="10">
        <f> Public (per source) → Q131 NBB_OOP asked (NBB applies to public only per program design)
= Private → Q132 (skip Q131 — NBB doesn't apply to private)</f>
        <v/>
      </c>
      <c r="F223" s="10" t="inlineStr">
        <is>
          <t>L. No Balance Billing (NBB) Awareness and Utilization</t>
        </is>
      </c>
      <c r="G223" s="10" t="inlineStr">
        <is>
          <t>numeric 1</t>
        </is>
      </c>
      <c r="H223" s="10" t="inlineStr">
        <is>
          <t>1 = Public
2 = DOH-retained hospital (sub-type of public hospital)
3 = Private</t>
        </is>
      </c>
      <c r="I223" s="10" t="inlineStr"/>
      <c r="J223" s="10" t="inlineStr">
        <is>
          <t>[HARD] Required when enabled, ∈ value set</t>
        </is>
      </c>
    </row>
    <row r="224">
      <c r="A224" s="7" t="inlineStr">
        <is>
          <t>q131_nbb_oop</t>
        </is>
      </c>
      <c r="B224" s="8" t="inlineStr">
        <is>
          <t>131. During your hospitalization in a DOH-retained hospital, did you or your family pay anything out-of-pocket before being discharged that should have been covered under NBB?</t>
        </is>
      </c>
      <c r="C224" s="8" t="inlineStr">
        <is>
          <t>131. During your hospitalization in a DOH-retained hospital, did you or your family pay anything out-of-pocket before being discharged that should have been covered under NBB?</t>
        </is>
      </c>
      <c r="D224" s="8" t="inlineStr">
        <is>
          <t>not asked when Q129 HH_CONFINED = No
not asked when Q130 HOSPITAL_TYPE = Private</t>
        </is>
      </c>
      <c r="E224" s="8" t="inlineStr"/>
      <c r="F224" s="8" t="inlineStr">
        <is>
          <t>L. No Balance Billing (NBB) Awareness and Utilization</t>
        </is>
      </c>
      <c r="G224" s="8" t="inlineStr">
        <is>
          <t>numeric 1</t>
        </is>
      </c>
      <c r="H224" s="8" t="inlineStr">
        <is>
          <t>1 = Yes
2 = No</t>
        </is>
      </c>
      <c r="I224" s="8" t="inlineStr">
        <is>
          <t>3 = I don't know</t>
        </is>
      </c>
      <c r="J224" s="8" t="inlineStr">
        <is>
          <t>[HARD] Required when enabled, ∈ value set</t>
        </is>
      </c>
    </row>
    <row r="225">
      <c r="A225" s="9" t="inlineStr">
        <is>
          <t>q132_zbb_heard</t>
        </is>
      </c>
      <c r="B225" s="10" t="inlineStr">
        <is>
          <t>132. Have you heard of the Zero Balance Billing (ZBB)?</t>
        </is>
      </c>
      <c r="C225" s="10" t="inlineStr">
        <is>
          <t>We will now ask about your awareness of the Zero Balance Billing (ZBB). 132. Have you heard of the Zero Balance Billing (ZBB)? Note to enumerator [do not read]: This section is for Zero Balance Billing Awareness and Utilization. Ask all questions in this section unless a skip rule applies.</t>
        </is>
      </c>
      <c r="D225" s="10" t="inlineStr"/>
      <c r="E225" s="10">
        <f> No / Don't know → Q136 (skip Q133 sources, Q134 understanding, Q135 ZBB-OOP)</f>
        <v/>
      </c>
      <c r="F225" s="10" t="inlineStr">
        <is>
          <t>M. Zero Balance Billing (ZBB) Awareness + MAIFIP + Bill Breakdown</t>
        </is>
      </c>
      <c r="G225" s="10" t="inlineStr">
        <is>
          <t>numeric 1</t>
        </is>
      </c>
      <c r="H225" s="10" t="inlineStr">
        <is>
          <t>1 = Yes
2 = No</t>
        </is>
      </c>
      <c r="I225" s="10" t="inlineStr">
        <is>
          <t>3 = I don't know</t>
        </is>
      </c>
      <c r="J225" s="10" t="inlineStr">
        <is>
          <t>[HARD] Required, ∈ {Yes, No, Don't know}</t>
        </is>
      </c>
    </row>
    <row r="226">
      <c r="A226" s="7" t="inlineStr">
        <is>
          <t>q133_zbb_source</t>
        </is>
      </c>
      <c r="B226" s="8" t="inlineStr">
        <is>
          <t>133. If yes, what are your sources of information about ZBB?</t>
        </is>
      </c>
      <c r="C226" s="8" t="inlineStr">
        <is>
          <t>133. If yes, what are your sources of information about ZBB? DO NOT READ OPTIONS OUT LOUD. SELECT ALL THAT APPLY.</t>
        </is>
      </c>
      <c r="D226" s="8" t="inlineStr">
        <is>
          <t>not asked when Q132 ZBB_HEARD = No / Don't know</t>
        </is>
      </c>
      <c r="E226" s="8" t="inlineStr"/>
      <c r="F226" s="8" t="inlineStr">
        <is>
          <t>M. Zero Balance Billing (ZBB) Awareness + MAIFIP + Bill Breakdown</t>
        </is>
      </c>
      <c r="G226" s="8" t="inlineStr">
        <is>
          <t>alpha 16</t>
        </is>
      </c>
      <c r="H226" s="8" t="inlineStr">
        <is>
          <t>01 = News
02 = Legislation
03 = Social Media
04 = Friends / Family
05 = Health center/facility
06 = LGU/Barangay
99 = Other (Specify)</t>
        </is>
      </c>
      <c r="I226" s="8" t="inlineStr">
        <is>
          <t>90 = I don't know</t>
        </is>
      </c>
      <c r="J226" s="8" t="inlineStr">
        <is>
          <t>[HARD] Select-all; "Don't know" mutex; `_OTHER_TXT` on Other</t>
        </is>
      </c>
    </row>
    <row r="227">
      <c r="A227" s="9" t="inlineStr">
        <is>
          <t>q133_zbb_source_other_txt</t>
        </is>
      </c>
      <c r="B227" s="10" t="inlineStr">
        <is>
          <t>133. If yes, what are your sources of information about ZBB? — Other (specify) text</t>
        </is>
      </c>
      <c r="C227" s="10" t="inlineStr">
        <is>
          <t>133. If yes, what are your sources of information about ZBB? — Other (specify) text</t>
        </is>
      </c>
      <c r="D227" s="10" t="inlineStr">
        <is>
          <t>not asked when Q132 ZBB_HEARD = No / Don't know</t>
        </is>
      </c>
      <c r="E227" s="10" t="inlineStr"/>
      <c r="F227" s="10" t="inlineStr">
        <is>
          <t>M. Zero Balance Billing (ZBB) Awareness + MAIFIP + Bill Breakdown</t>
        </is>
      </c>
      <c r="G227" s="10" t="inlineStr">
        <is>
          <t>alpha 120</t>
        </is>
      </c>
      <c r="H227" s="10" t="inlineStr"/>
      <c r="I227" s="10" t="inlineStr"/>
      <c r="J227" s="10" t="inlineStr"/>
    </row>
    <row r="228">
      <c r="A228" s="7" t="inlineStr">
        <is>
          <t>q134_zbb_understand</t>
        </is>
      </c>
      <c r="B228" s="8" t="inlineStr">
        <is>
          <t>134. What is your understanding about ZBB?</t>
        </is>
      </c>
      <c r="C228" s="8" t="inlineStr">
        <is>
          <t>134. What is your understanding about ZBB? DO NOT READ OPTIONS OUT LOUD. SELECT ALL THAT APPLY.</t>
        </is>
      </c>
      <c r="D228" s="8" t="inlineStr">
        <is>
          <t>not asked when Q132 ZBB_HEARD = No / Don't know</t>
        </is>
      </c>
      <c r="E228" s="8" t="inlineStr"/>
      <c r="F228" s="8" t="inlineStr">
        <is>
          <t>M. Zero Balance Billing (ZBB) Awareness + MAIFIP + Bill Breakdown</t>
        </is>
      </c>
      <c r="G228" s="8" t="inlineStr">
        <is>
          <t>alpha 18</t>
        </is>
      </c>
      <c r="H228" s="8" t="inlineStr">
        <is>
          <t>01 = Patient does not pay any hospital bill
02 = Bills are settled between the hospital and PhilHealth
03 = PhilHealth will cover cost of treatment
04 = Patients should not be charged extra fees
05 = Medicine and service are already included
06 = No cash payment required upon discharge
07 = Applies only to certain patients or hospitals
99 = Other (Specify)</t>
        </is>
      </c>
      <c r="I228" s="8" t="inlineStr">
        <is>
          <t>90 = I don't know</t>
        </is>
      </c>
      <c r="J228" s="8" t="inlineStr">
        <is>
          <t>[HARD] Select-all; "Don't know" mutex; `_OTHER_TXT` on Other</t>
        </is>
      </c>
    </row>
    <row r="229">
      <c r="A229" s="9" t="inlineStr">
        <is>
          <t>q134_zbb_understand_other_txt</t>
        </is>
      </c>
      <c r="B229" s="10" t="inlineStr">
        <is>
          <t>134. What is your understanding about ZBB? — Other (specify) text</t>
        </is>
      </c>
      <c r="C229" s="10" t="inlineStr">
        <is>
          <t>134. What is your understanding about ZBB? — Other (specify) text</t>
        </is>
      </c>
      <c r="D229" s="10" t="inlineStr">
        <is>
          <t>not asked when Q132 ZBB_HEARD = No / Don't know</t>
        </is>
      </c>
      <c r="E229" s="10" t="inlineStr"/>
      <c r="F229" s="10" t="inlineStr">
        <is>
          <t>M. Zero Balance Billing (ZBB) Awareness + MAIFIP + Bill Breakdown</t>
        </is>
      </c>
      <c r="G229" s="10" t="inlineStr">
        <is>
          <t>alpha 120</t>
        </is>
      </c>
      <c r="H229" s="10" t="inlineStr"/>
      <c r="I229" s="10" t="inlineStr"/>
      <c r="J229" s="10" t="inlineStr"/>
    </row>
    <row r="230">
      <c r="A230" s="7" t="inlineStr">
        <is>
          <t>q135_zbb_oop</t>
        </is>
      </c>
      <c r="B230" s="8" t="inlineStr">
        <is>
          <t>135. During your hospitalization in a DOH-retained hospital, did you or your family pay anything out-of-pocket before being discharged that should have been covered under ZBB?</t>
        </is>
      </c>
      <c r="C230" s="8" t="inlineStr">
        <is>
          <t>135. During your hospitalization in a DOH-retained hospital, did you or your family pay anything out-of-pocket before being discharged that should have been covered under ZBB?</t>
        </is>
      </c>
      <c r="D230" s="8" t="inlineStr">
        <is>
          <t>not asked when Q132 ZBB_HEARD = No / Don't know</t>
        </is>
      </c>
      <c r="E230" s="8" t="inlineStr">
        <is>
          <t>captured only if ZBB-eligible facility visited → Per source note — enumerator gate</t>
        </is>
      </c>
      <c r="F230" s="8" t="inlineStr">
        <is>
          <t>M. Zero Balance Billing (ZBB) Awareness + MAIFIP + Bill Breakdown</t>
        </is>
      </c>
      <c r="G230" s="8" t="inlineStr">
        <is>
          <t>numeric 1</t>
        </is>
      </c>
      <c r="H230" s="8" t="inlineStr">
        <is>
          <t>1 = Yes
2 = No</t>
        </is>
      </c>
      <c r="I230" s="8" t="inlineStr">
        <is>
          <t>3 = I don't know</t>
        </is>
      </c>
      <c r="J230" s="8" t="inlineStr">
        <is>
          <t>[HARD] Required when enabled, ∈ value set</t>
        </is>
      </c>
    </row>
    <row r="231">
      <c r="A231" s="9" t="inlineStr">
        <is>
          <t>q136_maifip_heard</t>
        </is>
      </c>
      <c r="B231" s="10" t="inlineStr">
        <is>
          <t>136. Have you heard of the Medical Assistance for Indigent and Financially Incapacitated Patients (MAIFIP)?</t>
        </is>
      </c>
      <c r="C231" s="10" t="inlineStr">
        <is>
          <t>136. Have you heard of the Medical Assistance for Indigent and Financially Incapacitated Patients (MAIFIP)?</t>
        </is>
      </c>
      <c r="D231" s="10" t="inlineStr"/>
      <c r="E231" s="10">
        <f> No / Don't know → Q138 (skip Q137 sources)</f>
        <v/>
      </c>
      <c r="F231" s="10" t="inlineStr">
        <is>
          <t>M. Zero Balance Billing (ZBB) Awareness + MAIFIP + Bill Breakdown</t>
        </is>
      </c>
      <c r="G231" s="10" t="inlineStr">
        <is>
          <t>numeric 1</t>
        </is>
      </c>
      <c r="H231" s="10" t="inlineStr">
        <is>
          <t>1 = Yes
2 = No</t>
        </is>
      </c>
      <c r="I231" s="10" t="inlineStr">
        <is>
          <t>3 = I don't know</t>
        </is>
      </c>
      <c r="J231" s="10" t="inlineStr">
        <is>
          <t>[HARD] Required, ∈ {Yes, No, Don't know}</t>
        </is>
      </c>
    </row>
    <row r="232">
      <c r="A232" s="7" t="inlineStr">
        <is>
          <t>q137_maifip_source</t>
        </is>
      </c>
      <c r="B232" s="8" t="inlineStr">
        <is>
          <t>137. What are your sources of information about MAIFIP?</t>
        </is>
      </c>
      <c r="C232" s="8" t="inlineStr">
        <is>
          <t>137. What are your sources of information about MAIFIP? DO NOT READ OPTIONS OUT LOUD. SELECT ALL THAT APPLY.</t>
        </is>
      </c>
      <c r="D232" s="8" t="inlineStr">
        <is>
          <t>not asked when Q136 MAIFIP_HEARD = No / Don't know</t>
        </is>
      </c>
      <c r="E232" s="8" t="inlineStr"/>
      <c r="F232" s="8" t="inlineStr">
        <is>
          <t>M. Zero Balance Billing (ZBB) Awareness + MAIFIP + Bill Breakdown</t>
        </is>
      </c>
      <c r="G232" s="8" t="inlineStr">
        <is>
          <t>alpha 16</t>
        </is>
      </c>
      <c r="H232" s="8" t="inlineStr">
        <is>
          <t>01 = News
02 = Legislation
03 = Social Media
04 = Friends / Family
05 = Health center/facility
06 = LGU/Barangay
99 = Other (Specify)</t>
        </is>
      </c>
      <c r="I232" s="8" t="inlineStr">
        <is>
          <t>90 = I don't know</t>
        </is>
      </c>
      <c r="J232" s="8" t="inlineStr">
        <is>
          <t>[HARD] Select-all; "Don't know" mutex; `_OTHER_TXT` on Other</t>
        </is>
      </c>
    </row>
    <row r="233">
      <c r="A233" s="9" t="inlineStr">
        <is>
          <t>q137_maifip_source_other_txt</t>
        </is>
      </c>
      <c r="B233" s="10" t="inlineStr">
        <is>
          <t>137. What are your sources of information about MAIFIP? — Other (specify) text</t>
        </is>
      </c>
      <c r="C233" s="10" t="inlineStr">
        <is>
          <t>137. What are your sources of information about MAIFIP? — Other (specify) text</t>
        </is>
      </c>
      <c r="D233" s="10" t="inlineStr">
        <is>
          <t>not asked when Q136 MAIFIP_HEARD = No / Don't know</t>
        </is>
      </c>
      <c r="E233" s="10" t="inlineStr"/>
      <c r="F233" s="10" t="inlineStr">
        <is>
          <t>M. Zero Balance Billing (ZBB) Awareness + MAIFIP + Bill Breakdown</t>
        </is>
      </c>
      <c r="G233" s="10" t="inlineStr">
        <is>
          <t>alpha 120</t>
        </is>
      </c>
      <c r="H233" s="10" t="inlineStr"/>
      <c r="I233" s="10" t="inlineStr"/>
      <c r="J233" s="10" t="inlineStr"/>
    </row>
    <row r="234">
      <c r="A234" s="7" t="inlineStr">
        <is>
          <t>q138_most_expensive</t>
        </is>
      </c>
      <c r="B234" s="8" t="inlineStr">
        <is>
          <t>138. From your most recent visit, which among the charges was the most expensive?</t>
        </is>
      </c>
      <c r="C234" s="8" t="inlineStr">
        <is>
          <t>138. From your most recent visit, which among the charges was the most expensive?</t>
        </is>
      </c>
      <c r="D234" s="8" t="inlineStr"/>
      <c r="E234" s="8" t="inlineStr"/>
      <c r="F234" s="8" t="inlineStr">
        <is>
          <t>M. Zero Balance Billing (ZBB) Awareness + MAIFIP + Bill Breakdown</t>
        </is>
      </c>
      <c r="G234" s="8" t="inlineStr">
        <is>
          <t>numeric 1</t>
        </is>
      </c>
      <c r="H234" s="8" t="inlineStr">
        <is>
          <t>1 = Medicine
2 = Laboratory Tests
3 = Medical Supplies
4 = Doctor's Fee
9 = Other (Specify)</t>
        </is>
      </c>
      <c r="I234" s="8" t="inlineStr"/>
      <c r="J234" s="8" t="inlineStr">
        <is>
          <t>[HARD] Required when enabled, non-blank (free-text description of most expensive confinement)</t>
        </is>
      </c>
    </row>
    <row r="235">
      <c r="A235" s="9" t="inlineStr">
        <is>
          <t>q138_most_expensive_other_txt</t>
        </is>
      </c>
      <c r="B235" s="10" t="inlineStr">
        <is>
          <t>138. Most expensive charge — Other (specify) text</t>
        </is>
      </c>
      <c r="C235" s="10" t="inlineStr">
        <is>
          <t>138. Most expensive charge — Other (specify) text</t>
        </is>
      </c>
      <c r="D235" s="10" t="inlineStr"/>
      <c r="E235" s="10" t="inlineStr"/>
      <c r="F235" s="10" t="inlineStr">
        <is>
          <t>M. Zero Balance Billing (ZBB) Awareness + MAIFIP + Bill Breakdown</t>
        </is>
      </c>
      <c r="G235" s="10" t="inlineStr">
        <is>
          <t>alpha 120</t>
        </is>
      </c>
      <c r="H235" s="10" t="inlineStr"/>
      <c r="I235" s="10" t="inlineStr"/>
      <c r="J235" s="10" t="inlineStr"/>
    </row>
    <row r="236">
      <c r="A236" s="7" t="inlineStr">
        <is>
          <t>q139_final_amount_php</t>
        </is>
      </c>
      <c r="B236" s="8" t="inlineStr">
        <is>
          <t>139. From your most recent visit, what was the final amount you paid in cash at the hospital cashier upon discharge? (PHP)</t>
        </is>
      </c>
      <c r="C236" s="8" t="inlineStr">
        <is>
          <t>139. From your most recent visit, what was the final amount you paid in cash at the hospital cashier upon discharge? (PHP)</t>
        </is>
      </c>
      <c r="D236" s="8" t="inlineStr"/>
      <c r="E236" s="8" t="inlineStr"/>
      <c r="F236" s="8" t="inlineStr">
        <is>
          <t>M. Zero Balance Billing (ZBB) Awareness + MAIFIP + Bill Breakdown</t>
        </is>
      </c>
      <c r="G236" s="8" t="inlineStr">
        <is>
          <t>numeric 8</t>
        </is>
      </c>
      <c r="H236" s="8" t="inlineStr"/>
      <c r="I236" s="8" t="inlineStr"/>
      <c r="J236" s="8" t="inlineStr">
        <is>
          <t>[HARD] `0 ≤ amt ≤ 999,999,999` when enabled</t>
        </is>
      </c>
    </row>
    <row r="237">
      <c r="A237" s="9" t="inlineStr">
        <is>
          <t>q140_recall_breakdown</t>
        </is>
      </c>
      <c r="B237" s="10" t="inlineStr">
        <is>
          <t>140. From your most recent visit, do you recall the breakdown of the bill?</t>
        </is>
      </c>
      <c r="C237" s="10" t="inlineStr">
        <is>
          <t>140. From your most recent visit, do you recall the breakdown of the bill?</t>
        </is>
      </c>
      <c r="D237" s="10" t="inlineStr"/>
      <c r="E237" s="10">
        <f> No → Q142 (skip Q141 bill-items, Q141.1 no-receipt-amount)</f>
        <v/>
      </c>
      <c r="F237" s="10" t="inlineStr">
        <is>
          <t>M. Zero Balance Billing (ZBB) Awareness + MAIFIP + Bill Breakdown</t>
        </is>
      </c>
      <c r="G237" s="10" t="inlineStr">
        <is>
          <t>numeric 1</t>
        </is>
      </c>
      <c r="H237" s="10" t="inlineStr">
        <is>
          <t>1 = Yes
2 = No</t>
        </is>
      </c>
      <c r="I237" s="10" t="inlineStr"/>
      <c r="J237" s="10" t="inlineStr">
        <is>
          <t>[HARD] Required when enabled, ∈ {Yes, No}</t>
        </is>
      </c>
    </row>
    <row r="238">
      <c r="A238" s="7" t="inlineStr">
        <is>
          <t>q141_bill_items</t>
        </is>
      </c>
      <c r="B238" s="8" t="inlineStr">
        <is>
          <t>141. From your most recent visit, which of the following were included in the bill?</t>
        </is>
      </c>
      <c r="C238" s="8" t="inlineStr">
        <is>
          <t>141. From your most recent visit, which of the following were included in the bill? IF RESPONDENT PROVIDES A RECEIPT, SELECT ALL THAT APPLY. IF NO RECEIPT WAS PROVIDED, READ OPTIONS OUT LOUD. SELECT ALL THAT APPLY.</t>
        </is>
      </c>
      <c r="D238" s="8" t="inlineStr">
        <is>
          <t>not asked when Q140 RECALL_BREAKDOWN = No</t>
        </is>
      </c>
      <c r="E238" s="8" t="inlineStr"/>
      <c r="F238" s="8" t="inlineStr">
        <is>
          <t>M. Zero Balance Billing (ZBB) Awareness + MAIFIP + Bill Breakdown</t>
        </is>
      </c>
      <c r="G238" s="8" t="inlineStr">
        <is>
          <t>alpha 14</t>
        </is>
      </c>
      <c r="H238" s="8" t="inlineStr">
        <is>
          <t>01 = Rooms &lt;for inpatients only&gt;
02 = Doctor's Fee
03 = Diagnostic or laboratory procedure
04 = Medical equipment or supplies
05 = Medicines or drugs
06 = Non-medical expenses (e.g. hygiene kit)
07 = Other expenses</t>
        </is>
      </c>
      <c r="I238" s="8" t="inlineStr"/>
      <c r="J238" s="8" t="inlineStr">
        <is>
          <t>[HARD] ≥ 1 option when enabled; `_OTHER_TXT` on Other</t>
        </is>
      </c>
    </row>
    <row r="239">
      <c r="A239" s="9" t="inlineStr">
        <is>
          <t>q141_bill_items_other_txt</t>
        </is>
      </c>
      <c r="B239" s="10" t="inlineStr">
        <is>
          <t>141. Bill items — Other expenses (Specify) text</t>
        </is>
      </c>
      <c r="C239" s="10" t="inlineStr">
        <is>
          <t>141. Bill items — Other expenses (Specify) text</t>
        </is>
      </c>
      <c r="D239" s="10" t="inlineStr">
        <is>
          <t>not asked when Q140 RECALL_BREAKDOWN = No</t>
        </is>
      </c>
      <c r="E239" s="10" t="inlineStr"/>
      <c r="F239" s="10" t="inlineStr">
        <is>
          <t>M. Zero Balance Billing (ZBB) Awareness + MAIFIP + Bill Breakdown</t>
        </is>
      </c>
      <c r="G239" s="10" t="inlineStr">
        <is>
          <t>alpha 120</t>
        </is>
      </c>
      <c r="H239" s="10" t="inlineStr"/>
      <c r="I239" s="10" t="inlineStr"/>
      <c r="J239" s="10" t="inlineStr"/>
    </row>
    <row r="240">
      <c r="A240" s="7" t="inlineStr">
        <is>
          <t>q141_1_no_receipt_amt_php</t>
        </is>
      </c>
      <c r="B240" s="8" t="inlineStr">
        <is>
          <t>141.1. From your recent visit, how much was charged for services with no receipts provided (i.e. Professional fees)? (PHP)</t>
        </is>
      </c>
      <c r="C240" s="8" t="inlineStr">
        <is>
          <t>141.1. From your recent visit, how much was charged for services with no receipts provided (i.e. Professional fees)? (PHP)</t>
        </is>
      </c>
      <c r="D240" s="8" t="inlineStr">
        <is>
          <t>not asked when Q140 RECALL_BREAKDOWN = No</t>
        </is>
      </c>
      <c r="E240" s="8" t="inlineStr"/>
      <c r="F240" s="8" t="inlineStr">
        <is>
          <t>M. Zero Balance Billing (ZBB) Awareness + MAIFIP + Bill Breakdown</t>
        </is>
      </c>
      <c r="G240" s="8" t="inlineStr">
        <is>
          <t>numeric 8</t>
        </is>
      </c>
      <c r="H240" s="8" t="inlineStr"/>
      <c r="I240" s="8" t="inlineStr"/>
      <c r="J240" s="8" t="inlineStr">
        <is>
          <t>[HARD] `0 ≤ amt ≤ Q139_FINAL_AMOUNT_PHP` when enabled</t>
        </is>
      </c>
    </row>
    <row r="241">
      <c r="A241" s="9" t="inlineStr">
        <is>
          <t>q142_recall_payment</t>
        </is>
      </c>
      <c r="B241" s="10" t="inlineStr">
        <is>
          <t>142. From your most recent visit, do you recall how you paid for your bill?</t>
        </is>
      </c>
      <c r="C241" s="10" t="inlineStr">
        <is>
          <t>142. From your most recent visit, do you recall how you paid for your bill?</t>
        </is>
      </c>
      <c r="D241" s="10" t="inlineStr"/>
      <c r="E241" s="10">
        <f> No → Q144 (skip Q143 how-paid — end of Section M)</f>
        <v/>
      </c>
      <c r="F241" s="10" t="inlineStr">
        <is>
          <t>M. Zero Balance Billing (ZBB) Awareness + MAIFIP + Bill Breakdown</t>
        </is>
      </c>
      <c r="G241" s="10" t="inlineStr">
        <is>
          <t>numeric 1</t>
        </is>
      </c>
      <c r="H241" s="10" t="inlineStr">
        <is>
          <t>1 = Yes
2 = No</t>
        </is>
      </c>
      <c r="I241" s="10" t="inlineStr"/>
      <c r="J241" s="10" t="inlineStr">
        <is>
          <t>[HARD] Required when `Q129 = Yes`, ∈ {Yes, No}</t>
        </is>
      </c>
    </row>
    <row r="242">
      <c r="A242" s="7" t="inlineStr">
        <is>
          <t>q143_how_paid</t>
        </is>
      </c>
      <c r="B242" s="8" t="inlineStr">
        <is>
          <t>143. From your most recent visit, how did you pay?</t>
        </is>
      </c>
      <c r="C242" s="8" t="inlineStr">
        <is>
          <t>143. From your most recent visit, how did you pay? READ OPTIONS OUT LOUD. SELECT ALL THAT APPLY.</t>
        </is>
      </c>
      <c r="D242" s="8" t="inlineStr">
        <is>
          <t>not asked when Q142 RECALL_PAYMENT = No</t>
        </is>
      </c>
      <c r="E242" s="8" t="inlineStr"/>
      <c r="F242" s="8" t="inlineStr">
        <is>
          <t>M. Zero Balance Billing (ZBB) Awareness + MAIFIP + Bill Breakdown</t>
        </is>
      </c>
      <c r="G242" s="8" t="inlineStr">
        <is>
          <t>alpha 20</t>
        </is>
      </c>
      <c r="H242" s="8" t="inlineStr">
        <is>
          <t>01 = Own income/ household income
02 = PhilHealth
03 = Private insurance / HMO
04 = Loan
05 = Sale of assets
06 = Donations from charities / NGOs
07 = Donations from LGUs / LGU programs
08 = National Government Agencies (DSWD, etc.)
09 = Paid by someone else
99 = Other (Specify)</t>
        </is>
      </c>
      <c r="I242" s="8" t="inlineStr"/>
      <c r="J242" s="8" t="inlineStr">
        <is>
          <t>[HARD] ≥ 1 option when enabled; `_OTHER_TXT` on Other</t>
        </is>
      </c>
    </row>
    <row r="243">
      <c r="A243" s="9" t="inlineStr">
        <is>
          <t>q143_how_paid_other_txt</t>
        </is>
      </c>
      <c r="B243" s="10" t="inlineStr">
        <is>
          <t>143. From your most recent visit, how did you pay? — Other (specify) text</t>
        </is>
      </c>
      <c r="C243" s="10" t="inlineStr">
        <is>
          <t>143. From your most recent visit, how did you pay? — Other (specify) text</t>
        </is>
      </c>
      <c r="D243" s="10" t="inlineStr">
        <is>
          <t>not asked when Q142 RECALL_PAYMENT = No</t>
        </is>
      </c>
      <c r="E243" s="10" t="inlineStr"/>
      <c r="F243" s="10" t="inlineStr">
        <is>
          <t>M. Zero Balance Billing (ZBB) Awareness + MAIFIP + Bill Breakdown</t>
        </is>
      </c>
      <c r="G243" s="10" t="inlineStr">
        <is>
          <t>alpha 120</t>
        </is>
      </c>
      <c r="H243" s="10" t="inlineStr"/>
      <c r="I243" s="10" t="inlineStr"/>
      <c r="J243" s="10" t="inlineStr"/>
    </row>
    <row r="244">
      <c r="A244" s="7" t="inlineStr">
        <is>
          <t>n_food_item</t>
        </is>
      </c>
      <c r="B244" s="8" t="inlineStr">
        <is>
          <t>Food item (auto - one grid row per item, Q144-Q156)</t>
        </is>
      </c>
      <c r="C244" s="8" t="inlineStr">
        <is>
          <t>Food item (auto - one grid row per item, Q144-Q156)</t>
        </is>
      </c>
      <c r="D244" s="8" t="inlineStr"/>
      <c r="E244" s="8" t="inlineStr"/>
      <c r="F244" s="8" t="inlineStr">
        <is>
          <t>N. Food consumed last week (Q144-Q156) - one row per item (roster ×13)</t>
        </is>
      </c>
      <c r="G244" s="8" t="inlineStr">
        <is>
          <t>alpha 120</t>
        </is>
      </c>
      <c r="H244" s="8" t="inlineStr"/>
      <c r="I244" s="8" t="inlineStr"/>
      <c r="J244" s="8" t="inlineStr"/>
    </row>
    <row r="245">
      <c r="A245" s="9" t="inlineStr">
        <is>
          <t>n_food_consumed</t>
        </is>
      </c>
      <c r="B245" s="10" t="inlineStr">
        <is>
          <t>Food item - In the last week, did you or any member of your household consume this item?</t>
        </is>
      </c>
      <c r="C245" s="10" t="inlineStr">
        <is>
          <t>We are now on the last few sections of the survey questionnaire. In this section, I would like to ask you questions about your household consumption of various food, non-food, and health products and services. I will ask about what your household used or consumed. First, I will ask which items your household used, and if you bought them, how much you spent. Then, I will ask about items your household used but did not buy—such as those you produced yourselves, received as gifts, or got for free—and you can estimate their value. Please do not include items bought for business, resale, or for making other products. Let me start with questions about your household consumption of food and beverages over the past week. In this first part, I would like to ask you to exclude meals, snacks and beverages prepared by restaurants and the like, including take-aways. ~~strip(N_FOOD_ITEM)~~ Food item - In the last week, did you or any member of your household consume this item? [+1 conditional variant(s)]</t>
        </is>
      </c>
      <c r="D245" s="10" t="inlineStr"/>
      <c r="E245" s="10" t="inlineStr"/>
      <c r="F245" s="10" t="inlineStr">
        <is>
          <t>N. Food consumed last week (Q144-Q156) - one row per item (roster ×13)</t>
        </is>
      </c>
      <c r="G245" s="10" t="inlineStr">
        <is>
          <t>numeric 1</t>
        </is>
      </c>
      <c r="H245" s="10" t="inlineStr">
        <is>
          <t>1 = Yes
2 = No</t>
        </is>
      </c>
      <c r="I245" s="10" t="inlineStr"/>
      <c r="J245" s="10" t="inlineStr"/>
    </row>
    <row r="246">
      <c r="A246" s="7" t="inlineStr">
        <is>
          <t>n_food_purchased_php</t>
        </is>
      </c>
      <c r="B246" s="8" t="inlineStr">
        <is>
          <t>Food item - During the last week, how much did your household spend to purchase this item? (PHP; enter -98 if don't know, or -99 if the respondent refuses to answer - do not read these codes aloud)</t>
        </is>
      </c>
      <c r="C246" s="8" t="inlineStr">
        <is>
          <t>~~strip(N_FOOD_ITEM)~~ Food item - During the last week, how much did your household spend to purchase this item? (PHP; enter -98 if don't know, or -99 if the respondent refuses to answer - do not read these codes aloud)</t>
        </is>
      </c>
      <c r="D246" s="8" t="inlineStr"/>
      <c r="E246" s="8" t="inlineStr"/>
      <c r="F246" s="8" t="inlineStr">
        <is>
          <t>N. Food consumed last week (Q144-Q156) - one row per item (roster ×13)</t>
        </is>
      </c>
      <c r="G246" s="8" t="inlineStr">
        <is>
          <t>numeric 8</t>
        </is>
      </c>
      <c r="H246" s="8" t="inlineStr"/>
      <c r="I246" s="8" t="inlineStr"/>
      <c r="J246" s="8" t="inlineStr"/>
    </row>
    <row r="247">
      <c r="A247" s="9" t="inlineStr">
        <is>
          <t>n_food_inkind_php</t>
        </is>
      </c>
      <c r="B247" s="10" t="inlineStr">
        <is>
          <t>Food item - During the last week, what was the total estimated value of this item that you produced, received in-kind, and/or as gift? Your best estimate is fine. (PHP; enter -98 if don't know, or -99 if the respondent refuses to answer - do not read...</t>
        </is>
      </c>
      <c r="C247" s="10" t="inlineStr">
        <is>
          <t>~~strip(N_FOOD_ITEM)~~ Food item - During the last week, what was the total estimated value of this item that you produced, received in-kind, and/or as gift? Your best estimate is fine. (PHP; enter -98 if don't know, or -99 if the respondent refuses to answer - do not read these codes aloud)</t>
        </is>
      </c>
      <c r="D247" s="10" t="inlineStr"/>
      <c r="E247" s="10" t="inlineStr"/>
      <c r="F247" s="10" t="inlineStr">
        <is>
          <t>N. Food consumed last week (Q144-Q156) - one row per item (roster ×13)</t>
        </is>
      </c>
      <c r="G247" s="10" t="inlineStr">
        <is>
          <t>numeric 8</t>
        </is>
      </c>
      <c r="H247" s="10" t="inlineStr"/>
      <c r="I247" s="10" t="inlineStr"/>
      <c r="J247" s="10" t="inlineStr"/>
    </row>
    <row r="248">
      <c r="A248" s="7" t="inlineStr">
        <is>
          <t>q157_food_subtotal_total_php</t>
        </is>
      </c>
      <c r="B248" s="8" t="inlineStr">
        <is>
          <t>157. Sub-total (food, last week) — Auto-computed total (PHP, [DO NOT ASK])</t>
        </is>
      </c>
      <c r="C248" s="8" t="inlineStr">
        <is>
          <t>157. Sub-total (food, last week) — Auto-computed total (PHP, [DO NOT ASK])</t>
        </is>
      </c>
      <c r="D248" s="8" t="inlineStr"/>
      <c r="E248" s="8" t="inlineStr"/>
      <c r="F248" s="8" t="inlineStr">
        <is>
          <t>N. Household Expenditures (WHO/SHA)</t>
        </is>
      </c>
      <c r="G248" s="8" t="inlineStr">
        <is>
          <t>numeric 10</t>
        </is>
      </c>
      <c r="H248" s="8" t="inlineStr"/>
      <c r="I248" s="8" t="inlineStr"/>
      <c r="J248" s="8" t="inlineStr">
        <is>
          <t>[HARD (auto; no edit)] Sum of `{Q144..Q156}_PURCHASED_PHP + {Q144..Q156}_INKIND_PHP`</t>
        </is>
      </c>
    </row>
    <row r="249">
      <c r="A249" s="9" t="inlineStr">
        <is>
          <t>n_wkoth_item</t>
        </is>
      </c>
      <c r="B249" s="10" t="inlineStr">
        <is>
          <t>Expenditure item (auto - one grid row per item)</t>
        </is>
      </c>
      <c r="C249" s="10" t="inlineStr">
        <is>
          <t>Expenditure item (auto - one grid row per item)</t>
        </is>
      </c>
      <c r="D249" s="10" t="inlineStr"/>
      <c r="E249" s="10" t="inlineStr"/>
      <c r="F249" s="10" t="inlineStr">
        <is>
          <t>N. Restaurant + tobacco, last week (Q158-Q159) - one row per item (roster ×2)</t>
        </is>
      </c>
      <c r="G249" s="10" t="inlineStr">
        <is>
          <t>alpha 250</t>
        </is>
      </c>
      <c r="H249" s="10" t="inlineStr"/>
      <c r="I249" s="10" t="inlineStr"/>
      <c r="J249" s="10" t="inlineStr"/>
    </row>
    <row r="250">
      <c r="A250" s="7" t="inlineStr">
        <is>
          <t>n_wkoth_consumed</t>
        </is>
      </c>
      <c r="B250" s="8" t="inlineStr">
        <is>
          <t>Expenditure item - In the last week, did you or any member of your household consume this item?</t>
        </is>
      </c>
      <c r="C250" s="8" t="inlineStr">
        <is>
          <t>~~strip(N_WKOTH_ITEM)~~ Expenditure item - In the last week, did you or any member of your household consume this item?</t>
        </is>
      </c>
      <c r="D250" s="8" t="inlineStr"/>
      <c r="E250" s="8" t="inlineStr"/>
      <c r="F250" s="8" t="inlineStr">
        <is>
          <t>N. Restaurant + tobacco, last week (Q158-Q159) - one row per item (roster ×2)</t>
        </is>
      </c>
      <c r="G250" s="8" t="inlineStr">
        <is>
          <t>numeric 1</t>
        </is>
      </c>
      <c r="H250" s="8" t="inlineStr">
        <is>
          <t>1 = Yes
2 = No</t>
        </is>
      </c>
      <c r="I250" s="8" t="inlineStr"/>
      <c r="J250" s="8" t="inlineStr"/>
    </row>
    <row r="251">
      <c r="A251" s="9" t="inlineStr">
        <is>
          <t>n_wkoth_purchased_php</t>
        </is>
      </c>
      <c r="B251" s="10" t="inlineStr">
        <is>
          <t>Expenditure item - During the last week, how much did your household spend to purchase this item? (PHP; enter -98 if don't know, or -99 if the respondent refuses to answer - do not read these codes aloud)</t>
        </is>
      </c>
      <c r="C251" s="10" t="inlineStr">
        <is>
          <t>~~strip(N_WKOTH_ITEM)~~ Expenditure item - During the last week, how much did your household spend to purchase this item? (PHP; enter -98 if don't know, or -99 if the respondent refuses to answer - do not read these codes aloud)</t>
        </is>
      </c>
      <c r="D251" s="10" t="inlineStr"/>
      <c r="E251" s="10" t="inlineStr"/>
      <c r="F251" s="10" t="inlineStr">
        <is>
          <t>N. Restaurant + tobacco, last week (Q158-Q159) - one row per item (roster ×2)</t>
        </is>
      </c>
      <c r="G251" s="10" t="inlineStr">
        <is>
          <t>numeric 8</t>
        </is>
      </c>
      <c r="H251" s="10" t="inlineStr"/>
      <c r="I251" s="10" t="inlineStr"/>
      <c r="J251" s="10" t="inlineStr"/>
    </row>
    <row r="252">
      <c r="A252" s="7" t="inlineStr">
        <is>
          <t>n_wkoth_inkind_php</t>
        </is>
      </c>
      <c r="B252" s="8" t="inlineStr">
        <is>
          <t>Expenditure item - During the last week, what was the total estimated value of this item that you produced, received in-kind, and/or as gift? Your best estimate is fine. (PHP; enter -98 if don't know, or -99 if the respondent refuses to answer - do...</t>
        </is>
      </c>
      <c r="C252" s="8" t="inlineStr">
        <is>
          <t>~~strip(N_WKOTH_ITEM)~~ Expenditure item - During the last week, what was the total estimated value of this item that you produced, received in-kind, and/or as gift? Your best estimate is fine. (PHP; enter -98 if don't know, or -99 if the respondent refuses to answer - do not read these codes aloud)</t>
        </is>
      </c>
      <c r="D252" s="8" t="inlineStr"/>
      <c r="E252" s="8" t="inlineStr"/>
      <c r="F252" s="8" t="inlineStr">
        <is>
          <t>N. Restaurant + tobacco, last week (Q158-Q159) - one row per item (roster ×2)</t>
        </is>
      </c>
      <c r="G252" s="8" t="inlineStr">
        <is>
          <t>numeric 8</t>
        </is>
      </c>
      <c r="H252" s="8" t="inlineStr"/>
      <c r="I252" s="8" t="inlineStr"/>
      <c r="J252" s="8" t="inlineStr"/>
    </row>
    <row r="253">
      <c r="A253" s="9" t="inlineStr">
        <is>
          <t>n_nf1m_item</t>
        </is>
      </c>
      <c r="B253" s="10" t="inlineStr">
        <is>
          <t>Non-food item (auto - one grid row per item)</t>
        </is>
      </c>
      <c r="C253" s="10" t="inlineStr">
        <is>
          <t>Non-food item (auto - one grid row per item)</t>
        </is>
      </c>
      <c r="D253" s="10" t="inlineStr"/>
      <c r="E253" s="10" t="inlineStr"/>
      <c r="F253" s="10" t="inlineStr">
        <is>
          <t>N. Non-food, last month (Q160-Q167) - one row per item (roster ×8)</t>
        </is>
      </c>
      <c r="G253" s="10" t="inlineStr">
        <is>
          <t>alpha 250</t>
        </is>
      </c>
      <c r="H253" s="10" t="inlineStr"/>
      <c r="I253" s="10" t="inlineStr"/>
      <c r="J253" s="10" t="inlineStr"/>
    </row>
    <row r="254">
      <c r="A254" s="7" t="inlineStr">
        <is>
          <t>n_nf1m_consumed</t>
        </is>
      </c>
      <c r="B254" s="8" t="inlineStr">
        <is>
          <t>Non-food item - In the last month, did you or any member of your household consume this item?</t>
        </is>
      </c>
      <c r="C254" s="8" t="inlineStr">
        <is>
          <t>For the next non-food items, the reference period is the past MONTH. This could include online purchases whenever applicable. ~~strip(N_NF1M_ITEM)~~ Non-food item - In the last month, did you or any member of your household consume this item? [+1 conditional variant(s)]</t>
        </is>
      </c>
      <c r="D254" s="8" t="inlineStr"/>
      <c r="E254" s="8" t="inlineStr"/>
      <c r="F254" s="8" t="inlineStr">
        <is>
          <t>N. Non-food, last month (Q160-Q167) - one row per item (roster ×8)</t>
        </is>
      </c>
      <c r="G254" s="8" t="inlineStr">
        <is>
          <t>numeric 1</t>
        </is>
      </c>
      <c r="H254" s="8" t="inlineStr">
        <is>
          <t>1 = Yes
2 = No</t>
        </is>
      </c>
      <c r="I254" s="8" t="inlineStr"/>
      <c r="J254" s="8" t="inlineStr"/>
    </row>
    <row r="255">
      <c r="A255" s="9" t="inlineStr">
        <is>
          <t>n_nf1m_purchased_php</t>
        </is>
      </c>
      <c r="B255" s="10" t="inlineStr">
        <is>
          <t>Non-food item - During the last month, how much did your household spend to purchase this item? (PHP; enter -98 if don't know, or -99 if the respondent refuses to answer - do not read these codes aloud)</t>
        </is>
      </c>
      <c r="C255" s="10" t="inlineStr">
        <is>
          <t>~~strip(N_NF1M_ITEM)~~ Non-food item - During the last month, how much did your household spend to purchase this item? (PHP; enter -98 if don't know, or -99 if the respondent refuses to answer - do not read these codes aloud)</t>
        </is>
      </c>
      <c r="D255" s="10" t="inlineStr"/>
      <c r="E255" s="10" t="inlineStr"/>
      <c r="F255" s="10" t="inlineStr">
        <is>
          <t>N. Non-food, last month (Q160-Q167) - one row per item (roster ×8)</t>
        </is>
      </c>
      <c r="G255" s="10" t="inlineStr">
        <is>
          <t>numeric 8</t>
        </is>
      </c>
      <c r="H255" s="10" t="inlineStr"/>
      <c r="I255" s="10" t="inlineStr"/>
      <c r="J255" s="10" t="inlineStr"/>
    </row>
    <row r="256">
      <c r="A256" s="7" t="inlineStr">
        <is>
          <t>n_nf1m_inkind_php</t>
        </is>
      </c>
      <c r="B256" s="8" t="inlineStr">
        <is>
          <t>Non-food item - During the last month, what was the total estimated value of this item that you produced, received in-kind, and/or as gift? Your best estimate is fine. (PHP; enter -98 if don't know, or -99 if the respondent refuses to answer - do not...</t>
        </is>
      </c>
      <c r="C256" s="8" t="inlineStr">
        <is>
          <t>~~strip(N_NF1M_ITEM)~~ Non-food item - During the last month, what was the total estimated value of this item that you produced, received in-kind, and/or as gift? Your best estimate is fine. (PHP; enter -98 if don't know, or -99 if the respondent refuses to answer - do not read these codes aloud)</t>
        </is>
      </c>
      <c r="D256" s="8" t="inlineStr"/>
      <c r="E256" s="8" t="inlineStr"/>
      <c r="F256" s="8" t="inlineStr">
        <is>
          <t>N. Non-food, last month (Q160-Q167) - one row per item (roster ×8)</t>
        </is>
      </c>
      <c r="G256" s="8" t="inlineStr">
        <is>
          <t>numeric 8</t>
        </is>
      </c>
      <c r="H256" s="8" t="inlineStr"/>
      <c r="I256" s="8" t="inlineStr"/>
      <c r="J256" s="8" t="inlineStr"/>
    </row>
    <row r="257">
      <c r="A257" s="9" t="inlineStr">
        <is>
          <t>n_nf6m_item</t>
        </is>
      </c>
      <c r="B257" s="10" t="inlineStr">
        <is>
          <t>Non-food item (auto - one grid row per item)</t>
        </is>
      </c>
      <c r="C257" s="10" t="inlineStr">
        <is>
          <t>Non-food item (auto - one grid row per item)</t>
        </is>
      </c>
      <c r="D257" s="10" t="inlineStr"/>
      <c r="E257" s="10" t="inlineStr"/>
      <c r="F257" s="10" t="inlineStr">
        <is>
          <t>N. Non-food, last 6 months (Q168-Q169) - one row per item (roster ×2)</t>
        </is>
      </c>
      <c r="G257" s="10" t="inlineStr">
        <is>
          <t>alpha 250</t>
        </is>
      </c>
      <c r="H257" s="10" t="inlineStr"/>
      <c r="I257" s="10" t="inlineStr"/>
      <c r="J257" s="10" t="inlineStr"/>
    </row>
    <row r="258">
      <c r="A258" s="7" t="inlineStr">
        <is>
          <t>n_nf6m_consumed</t>
        </is>
      </c>
      <c r="B258" s="8" t="inlineStr">
        <is>
          <t>Non-food item - In the last 6 months, did you or any member of your household consume this item?</t>
        </is>
      </c>
      <c r="C258" s="8" t="inlineStr">
        <is>
          <t>For the next non-food items, the reference period is the past 6 MONTHS. This could include online purchases whenever applicable. ~~strip(N_NF6M_ITEM)~~ Non-food item - In the last 6 months, did you or any member of your household consume this item? [+1 conditional variant(s)]</t>
        </is>
      </c>
      <c r="D258" s="8" t="inlineStr"/>
      <c r="E258" s="8" t="inlineStr"/>
      <c r="F258" s="8" t="inlineStr">
        <is>
          <t>N. Non-food, last 6 months (Q168-Q169) - one row per item (roster ×2)</t>
        </is>
      </c>
      <c r="G258" s="8" t="inlineStr">
        <is>
          <t>numeric 1</t>
        </is>
      </c>
      <c r="H258" s="8" t="inlineStr">
        <is>
          <t>1 = Yes
2 = No</t>
        </is>
      </c>
      <c r="I258" s="8" t="inlineStr"/>
      <c r="J258" s="8" t="inlineStr"/>
    </row>
    <row r="259">
      <c r="A259" s="9" t="inlineStr">
        <is>
          <t>n_nf6m_purchased_php</t>
        </is>
      </c>
      <c r="B259" s="10" t="inlineStr">
        <is>
          <t>Non-food item - During the last 6 months, how much did your household spend to purchase this item? (PHP; enter -98 if don't know, or -99 if the respondent refuses to answer - do not read these codes aloud)</t>
        </is>
      </c>
      <c r="C259" s="10" t="inlineStr">
        <is>
          <t>~~strip(N_NF6M_ITEM)~~ Non-food item - During the last 6 months, how much did your household spend to purchase this item? (PHP; enter -98 if don't know, or -99 if the respondent refuses to answer - do not read these codes aloud)</t>
        </is>
      </c>
      <c r="D259" s="10" t="inlineStr"/>
      <c r="E259" s="10" t="inlineStr"/>
      <c r="F259" s="10" t="inlineStr">
        <is>
          <t>N. Non-food, last 6 months (Q168-Q169) - one row per item (roster ×2)</t>
        </is>
      </c>
      <c r="G259" s="10" t="inlineStr">
        <is>
          <t>numeric 8</t>
        </is>
      </c>
      <c r="H259" s="10" t="inlineStr"/>
      <c r="I259" s="10" t="inlineStr"/>
      <c r="J259" s="10" t="inlineStr"/>
    </row>
    <row r="260">
      <c r="A260" s="7" t="inlineStr">
        <is>
          <t>n_nf6m_inkind_php</t>
        </is>
      </c>
      <c r="B260" s="8" t="inlineStr">
        <is>
          <t>Non-food item - During the last 6 months, what was the total estimated value of this item that you produced, received in-kind, and/or as gift? Your best estimate is fine. (PHP; enter -98 if don't know, or -99 if the respondent refuses to answer - do...</t>
        </is>
      </c>
      <c r="C260" s="8" t="inlineStr">
        <is>
          <t>~~strip(N_NF6M_ITEM)~~ Non-food item - During the last 6 months, what was the total estimated value of this item that you produced, received in-kind, and/or as gift? Your best estimate is fine. (PHP; enter -98 if don't know, or -99 if the respondent refuses to answer - do not read these codes aloud)</t>
        </is>
      </c>
      <c r="D260" s="8" t="inlineStr"/>
      <c r="E260" s="8" t="inlineStr"/>
      <c r="F260" s="8" t="inlineStr">
        <is>
          <t>N. Non-food, last 6 months (Q168-Q169) - one row per item (roster ×2)</t>
        </is>
      </c>
      <c r="G260" s="8" t="inlineStr">
        <is>
          <t>numeric 8</t>
        </is>
      </c>
      <c r="H260" s="8" t="inlineStr"/>
      <c r="I260" s="8" t="inlineStr"/>
      <c r="J260" s="8" t="inlineStr"/>
    </row>
    <row r="261">
      <c r="A261" s="9" t="inlineStr">
        <is>
          <t>n_nf12m_item</t>
        </is>
      </c>
      <c r="B261" s="10" t="inlineStr">
        <is>
          <t>Non-food item (auto - one grid row per item)</t>
        </is>
      </c>
      <c r="C261" s="10" t="inlineStr">
        <is>
          <t>Non-food item (auto - one grid row per item)</t>
        </is>
      </c>
      <c r="D261" s="10" t="inlineStr"/>
      <c r="E261" s="10" t="inlineStr"/>
      <c r="F261" s="10" t="inlineStr">
        <is>
          <t>N. Non-food, last 12 months (Q170-Q174) - one row per item (roster ×5)</t>
        </is>
      </c>
      <c r="G261" s="10" t="inlineStr">
        <is>
          <t>alpha 250</t>
        </is>
      </c>
      <c r="H261" s="10" t="inlineStr"/>
      <c r="I261" s="10" t="inlineStr"/>
      <c r="J261" s="10" t="inlineStr"/>
    </row>
    <row r="262">
      <c r="A262" s="7" t="inlineStr">
        <is>
          <t>n_nf12m_consumed</t>
        </is>
      </c>
      <c r="B262" s="8" t="inlineStr">
        <is>
          <t>Non-food item - In the last 12 months, did you or any member of your household consume this item?</t>
        </is>
      </c>
      <c r="C262" s="8" t="inlineStr">
        <is>
          <t>For the next non-food items, the reference period is the past 12 MONTHS (1 YEAR). This could include online purchases whenever applicable. ~~strip(N_NF12M_ITEM)~~ Non-food item - In the last 12 months, did you or any member of your household consume this item? [+1 conditional variant(s)]</t>
        </is>
      </c>
      <c r="D262" s="8" t="inlineStr"/>
      <c r="E262" s="8" t="inlineStr"/>
      <c r="F262" s="8" t="inlineStr">
        <is>
          <t>N. Non-food, last 12 months (Q170-Q174) - one row per item (roster ×5)</t>
        </is>
      </c>
      <c r="G262" s="8" t="inlineStr">
        <is>
          <t>numeric 1</t>
        </is>
      </c>
      <c r="H262" s="8" t="inlineStr">
        <is>
          <t>1 = Yes
2 = No</t>
        </is>
      </c>
      <c r="I262" s="8" t="inlineStr"/>
      <c r="J262" s="8" t="inlineStr"/>
    </row>
    <row r="263">
      <c r="A263" s="9" t="inlineStr">
        <is>
          <t>n_nf12m_purchased_php</t>
        </is>
      </c>
      <c r="B263" s="10" t="inlineStr">
        <is>
          <t>Non-food item - During the last 12 months, how much did your household spend to purchase this item? (PHP; enter -98 if don't know, or -99 if the respondent refuses to answer - do not read these codes aloud)</t>
        </is>
      </c>
      <c r="C263" s="10" t="inlineStr">
        <is>
          <t>~~strip(N_NF12M_ITEM)~~ Non-food item - During the last 12 months, how much did your household spend to purchase this item? (PHP; enter -98 if don't know, or -99 if the respondent refuses to answer - do not read these codes aloud)</t>
        </is>
      </c>
      <c r="D263" s="10" t="inlineStr"/>
      <c r="E263" s="10" t="inlineStr"/>
      <c r="F263" s="10" t="inlineStr">
        <is>
          <t>N. Non-food, last 12 months (Q170-Q174) - one row per item (roster ×5)</t>
        </is>
      </c>
      <c r="G263" s="10" t="inlineStr">
        <is>
          <t>numeric 8</t>
        </is>
      </c>
      <c r="H263" s="10" t="inlineStr"/>
      <c r="I263" s="10" t="inlineStr"/>
      <c r="J263" s="10" t="inlineStr"/>
    </row>
    <row r="264">
      <c r="A264" s="7" t="inlineStr">
        <is>
          <t>n_nf12m_inkind_php</t>
        </is>
      </c>
      <c r="B264" s="8" t="inlineStr">
        <is>
          <t>Non-food item - During the last 12 months, what was the total estimated value of this item that you produced, received in-kind, and/or as gift? Your best estimate is fine. (PHP; enter -98 if don't know, or -99 if the respondent refuses to answer - do...</t>
        </is>
      </c>
      <c r="C264" s="8" t="inlineStr">
        <is>
          <t>~~strip(N_NF12M_ITEM)~~ Non-food item - During the last 12 months, what was the total estimated value of this item that you produced, received in-kind, and/or as gift? Your best estimate is fine. (PHP; enter -98 if don't know, or -99 if the respondent refuses to answer - do not read these codes aloud)</t>
        </is>
      </c>
      <c r="D264" s="8" t="inlineStr"/>
      <c r="E264" s="8" t="inlineStr"/>
      <c r="F264" s="8" t="inlineStr">
        <is>
          <t>N. Non-food, last 12 months (Q170-Q174) - one row per item (roster ×5)</t>
        </is>
      </c>
      <c r="G264" s="8" t="inlineStr">
        <is>
          <t>numeric 8</t>
        </is>
      </c>
      <c r="H264" s="8" t="inlineStr"/>
      <c r="I264" s="8" t="inlineStr"/>
      <c r="J264" s="8" t="inlineStr"/>
    </row>
    <row r="265">
      <c r="A265" s="9" t="inlineStr">
        <is>
          <t>n_h12m_item</t>
        </is>
      </c>
      <c r="B265" s="10" t="inlineStr">
        <is>
          <t>Health product or service (auto - one grid row per item)</t>
        </is>
      </c>
      <c r="C265" s="10" t="inlineStr">
        <is>
          <t>Health product or service (auto - one grid row per item)</t>
        </is>
      </c>
      <c r="D265" s="10" t="inlineStr"/>
      <c r="E265" s="10" t="inlineStr"/>
      <c r="F265" s="10" t="inlineStr">
        <is>
          <t>N. Health, last 12 months (Q175-Q176) - one row per item (roster ×2)</t>
        </is>
      </c>
      <c r="G265" s="10" t="inlineStr">
        <is>
          <t>alpha 250</t>
        </is>
      </c>
      <c r="H265" s="10" t="inlineStr"/>
      <c r="I265" s="10" t="inlineStr"/>
      <c r="J265" s="10" t="inlineStr"/>
    </row>
    <row r="266">
      <c r="A266" s="7" t="inlineStr">
        <is>
          <t>n_h12m_consumed</t>
        </is>
      </c>
      <c r="B266" s="8" t="inlineStr">
        <is>
          <t>Health product or service - In the last 12 months, did you or any member of your household consume this item?</t>
        </is>
      </c>
      <c r="C266" s="8" t="inlineStr">
        <is>
          <t>We will now move on to your household’s consumption or use of health products and services in the past 12 months. ~~strip(N_H12M_ITEM)~~ Health product or service - In the last 12 months, did you or any member of your household consume this item? [+1 conditional variant(s)]</t>
        </is>
      </c>
      <c r="D266" s="8" t="inlineStr"/>
      <c r="E266" s="8" t="inlineStr"/>
      <c r="F266" s="8" t="inlineStr">
        <is>
          <t>N. Health, last 12 months (Q175-Q176) - one row per item (roster ×2)</t>
        </is>
      </c>
      <c r="G266" s="8" t="inlineStr">
        <is>
          <t>numeric 1</t>
        </is>
      </c>
      <c r="H266" s="8" t="inlineStr">
        <is>
          <t>1 = Yes
2 = No</t>
        </is>
      </c>
      <c r="I266" s="8" t="inlineStr"/>
      <c r="J266" s="8" t="inlineStr"/>
    </row>
    <row r="267">
      <c r="A267" s="9" t="inlineStr">
        <is>
          <t>n_h12m_purchased_php</t>
        </is>
      </c>
      <c r="B267" s="10" t="inlineStr">
        <is>
          <t>Health product or service - During the last 12 months, how much did your household spend to purchase this item? (PHP; enter -98 if don't know, or -99 if the respondent refuses to answer - do not read these codes aloud)</t>
        </is>
      </c>
      <c r="C267" s="10" t="inlineStr">
        <is>
          <t>~~strip(N_H12M_ITEM)~~ Health product or service - During the last 12 months, how much did your household spend to purchase this item? (PHP; enter -98 if don't know, or -99 if the respondent refuses to answer - do not read these codes aloud)</t>
        </is>
      </c>
      <c r="D267" s="10" t="inlineStr"/>
      <c r="E267" s="10" t="inlineStr"/>
      <c r="F267" s="10" t="inlineStr">
        <is>
          <t>N. Health, last 12 months (Q175-Q176) - one row per item (roster ×2)</t>
        </is>
      </c>
      <c r="G267" s="10" t="inlineStr">
        <is>
          <t>numeric 8</t>
        </is>
      </c>
      <c r="H267" s="10" t="inlineStr"/>
      <c r="I267" s="10" t="inlineStr"/>
      <c r="J267" s="10" t="inlineStr"/>
    </row>
    <row r="268">
      <c r="A268" s="7" t="inlineStr">
        <is>
          <t>n_h12m_inkind_php</t>
        </is>
      </c>
      <c r="B268" s="8" t="inlineStr">
        <is>
          <t>Health product or service - During the last 12 months, what was the total estimated value of this item that you produced, received in-kind, and/or as gift? Your best estimate is fine. (PHP; enter -98 if don't know, or -99 if the respondent refuses to...</t>
        </is>
      </c>
      <c r="C268" s="8" t="inlineStr">
        <is>
          <t>~~strip(N_H12M_ITEM)~~ Health product or service - During the last 12 months, what was the total estimated value of this item that you produced, received in-kind, and/or as gift? Your best estimate is fine. (PHP; enter -98 if don't know, or -99 if the respondent refuses to answer - do not read these codes aloud)</t>
        </is>
      </c>
      <c r="D268" s="8" t="inlineStr"/>
      <c r="E268" s="8" t="inlineStr"/>
      <c r="F268" s="8" t="inlineStr">
        <is>
          <t>N. Health, last 12 months (Q175-Q176) - one row per item (roster ×2)</t>
        </is>
      </c>
      <c r="G268" s="8" t="inlineStr">
        <is>
          <t>numeric 8</t>
        </is>
      </c>
      <c r="H268" s="8" t="inlineStr"/>
      <c r="I268" s="8" t="inlineStr"/>
      <c r="J268" s="8" t="inlineStr"/>
    </row>
    <row r="269">
      <c r="A269" s="9" t="inlineStr">
        <is>
          <t>q177_health_12m_subtotal_total_php</t>
        </is>
      </c>
      <c r="B269" s="10" t="inlineStr">
        <is>
          <t>177. Total value of 175 and 176 (health, 12-month) — Auto-computed total (PHP, [DO NOT ASK])</t>
        </is>
      </c>
      <c r="C269" s="10" t="inlineStr">
        <is>
          <t>177. Total value of 175 and 176 (health, 12-month) — Auto-computed total (PHP, [DO NOT ASK])</t>
        </is>
      </c>
      <c r="D269" s="10" t="inlineStr"/>
      <c r="E269" s="10" t="inlineStr"/>
      <c r="F269" s="10" t="inlineStr">
        <is>
          <t>N. Health 12-month subtotal (Q177)</t>
        </is>
      </c>
      <c r="G269" s="10" t="inlineStr">
        <is>
          <t>numeric 10</t>
        </is>
      </c>
      <c r="H269" s="10" t="inlineStr"/>
      <c r="I269" s="10" t="inlineStr"/>
      <c r="J269" s="10" t="inlineStr">
        <is>
          <t>[HARD (auto)] Sum of `{Q173..Q176}_PURCHASED_PHP + _INKIND_PHP`</t>
        </is>
      </c>
    </row>
    <row r="270">
      <c r="A270" s="7" t="inlineStr">
        <is>
          <t>n_h6m_item</t>
        </is>
      </c>
      <c r="B270" s="8" t="inlineStr">
        <is>
          <t>Health product or service (auto - one grid row per item)</t>
        </is>
      </c>
      <c r="C270" s="8" t="inlineStr">
        <is>
          <t>Health product or service (auto - one grid row per item)</t>
        </is>
      </c>
      <c r="D270" s="8" t="inlineStr"/>
      <c r="E270" s="8" t="inlineStr"/>
      <c r="F270" s="8" t="inlineStr">
        <is>
          <t>N. Health, last 6 months (Q178-Q181) - one row per item (roster ×4)</t>
        </is>
      </c>
      <c r="G270" s="8" t="inlineStr">
        <is>
          <t>alpha 250</t>
        </is>
      </c>
      <c r="H270" s="8" t="inlineStr"/>
      <c r="I270" s="8" t="inlineStr"/>
      <c r="J270" s="8" t="inlineStr"/>
    </row>
    <row r="271">
      <c r="A271" s="9" t="inlineStr">
        <is>
          <t>n_h6m_consumed</t>
        </is>
      </c>
      <c r="B271" s="10" t="inlineStr">
        <is>
          <t>Health product or service - In the last 6 months, did you or any member of your household consume this item?</t>
        </is>
      </c>
      <c r="C271" s="10" t="inlineStr">
        <is>
          <t>For the next health products and services, the reference period is the past 6 MONTHS. ~~strip(N_H6M_ITEM)~~ Health product or service - In the last 6 months, did you or any member of your household consume this item? [+1 conditional variant(s)]</t>
        </is>
      </c>
      <c r="D271" s="10" t="inlineStr"/>
      <c r="E271" s="10" t="inlineStr"/>
      <c r="F271" s="10" t="inlineStr">
        <is>
          <t>N. Health, last 6 months (Q178-Q181) - one row per item (roster ×4)</t>
        </is>
      </c>
      <c r="G271" s="10" t="inlineStr">
        <is>
          <t>numeric 1</t>
        </is>
      </c>
      <c r="H271" s="10" t="inlineStr">
        <is>
          <t>1 = Yes
2 = No</t>
        </is>
      </c>
      <c r="I271" s="10" t="inlineStr"/>
      <c r="J271" s="10" t="inlineStr"/>
    </row>
    <row r="272">
      <c r="A272" s="7" t="inlineStr">
        <is>
          <t>n_h6m_purchased_php</t>
        </is>
      </c>
      <c r="B272" s="8" t="inlineStr">
        <is>
          <t>Health product or service - During the last 6 months, how much did your household spend to purchase this item? (PHP; enter -98 if don't know, or -99 if the respondent refuses to answer - do not read these codes aloud)</t>
        </is>
      </c>
      <c r="C272" s="8" t="inlineStr">
        <is>
          <t>~~strip(N_H6M_ITEM)~~ Health product or service - During the last 6 months, how much did your household spend to purchase this item? (PHP; enter -98 if don't know, or -99 if the respondent refuses to answer - do not read these codes aloud)</t>
        </is>
      </c>
      <c r="D272" s="8" t="inlineStr"/>
      <c r="E272" s="8" t="inlineStr"/>
      <c r="F272" s="8" t="inlineStr">
        <is>
          <t>N. Health, last 6 months (Q178-Q181) - one row per item (roster ×4)</t>
        </is>
      </c>
      <c r="G272" s="8" t="inlineStr">
        <is>
          <t>numeric 8</t>
        </is>
      </c>
      <c r="H272" s="8" t="inlineStr"/>
      <c r="I272" s="8" t="inlineStr"/>
      <c r="J272" s="8" t="inlineStr"/>
    </row>
    <row r="273">
      <c r="A273" s="9" t="inlineStr">
        <is>
          <t>n_h6m_inkind_php</t>
        </is>
      </c>
      <c r="B273" s="10" t="inlineStr">
        <is>
          <t>Health product or service - During the last 6 months, what was the total estimated value of this item that you produced, received in-kind, and/or as gift? Your best estimate is fine. (PHP; enter -98 if don't know, or -99 if the respondent refuses to...</t>
        </is>
      </c>
      <c r="C273" s="10" t="inlineStr">
        <is>
          <t>~~strip(N_H6M_ITEM)~~ Health product or service - During the last 6 months, what was the total estimated value of this item that you produced, received in-kind, and/or as gift? Your best estimate is fine. (PHP; enter -98 if don't know, or -99 if the respondent refuses to answer - do not read these codes aloud)</t>
        </is>
      </c>
      <c r="D273" s="10" t="inlineStr"/>
      <c r="E273" s="10" t="inlineStr"/>
      <c r="F273" s="10" t="inlineStr">
        <is>
          <t>N. Health, last 6 months (Q178-Q181) - one row per item (roster ×4)</t>
        </is>
      </c>
      <c r="G273" s="10" t="inlineStr">
        <is>
          <t>numeric 8</t>
        </is>
      </c>
      <c r="H273" s="10" t="inlineStr"/>
      <c r="I273" s="10" t="inlineStr"/>
      <c r="J273" s="10" t="inlineStr"/>
    </row>
    <row r="274">
      <c r="A274" s="7" t="inlineStr">
        <is>
          <t>q182_health_6m_subtotal_total_php</t>
        </is>
      </c>
      <c r="B274" s="8" t="inlineStr">
        <is>
          <t>182. Total value of 178 to 181 (health, 6-month) — Auto-computed total (PHP, [DO NOT ASK])</t>
        </is>
      </c>
      <c r="C274" s="8" t="inlineStr">
        <is>
          <t>182. Total value of 178 to 181 (health, 6-month) — Auto-computed total (PHP, [DO NOT ASK])</t>
        </is>
      </c>
      <c r="D274" s="8" t="inlineStr"/>
      <c r="E274" s="8" t="inlineStr"/>
      <c r="F274" s="8" t="inlineStr">
        <is>
          <t>N. Health 6-month subtotal (Q182)</t>
        </is>
      </c>
      <c r="G274" s="8" t="inlineStr">
        <is>
          <t>numeric 10</t>
        </is>
      </c>
      <c r="H274" s="8" t="inlineStr"/>
      <c r="I274" s="8" t="inlineStr"/>
      <c r="J274" s="8" t="inlineStr">
        <is>
          <t>[HARD (auto)] Sum of `{Q178..Q181}_PURCHASED_PHP + _INKIND_PHP`</t>
        </is>
      </c>
    </row>
    <row r="275">
      <c r="A275" s="9" t="inlineStr">
        <is>
          <t>n_h1m_item</t>
        </is>
      </c>
      <c r="B275" s="10" t="inlineStr">
        <is>
          <t>Health product or service (auto - one grid row per item)</t>
        </is>
      </c>
      <c r="C275" s="10" t="inlineStr">
        <is>
          <t>Health product or service (auto - one grid row per item)</t>
        </is>
      </c>
      <c r="D275" s="10" t="inlineStr"/>
      <c r="E275" s="10" t="inlineStr"/>
      <c r="F275" s="10" t="inlineStr">
        <is>
          <t>N. Health, last month (Q183-Q184) - one row per item (roster ×2)</t>
        </is>
      </c>
      <c r="G275" s="10" t="inlineStr">
        <is>
          <t>alpha 250</t>
        </is>
      </c>
      <c r="H275" s="10" t="inlineStr"/>
      <c r="I275" s="10" t="inlineStr"/>
      <c r="J275" s="10" t="inlineStr"/>
    </row>
    <row r="276">
      <c r="A276" s="7" t="inlineStr">
        <is>
          <t>n_h1m_consumed</t>
        </is>
      </c>
      <c r="B276" s="8" t="inlineStr">
        <is>
          <t>Health product or service - In the last month, did you or any member of your household consume this item?</t>
        </is>
      </c>
      <c r="C276" s="8" t="inlineStr">
        <is>
          <t>For the next health products and services, the reference period is the past MONTH. ~~strip(N_H1M_ITEM)~~ Health product or service - In the last month, did you or any member of your household consume this item? [+1 conditional variant(s)]</t>
        </is>
      </c>
      <c r="D276" s="8" t="inlineStr"/>
      <c r="E276" s="8" t="inlineStr"/>
      <c r="F276" s="8" t="inlineStr">
        <is>
          <t>N. Health, last month (Q183-Q184) - one row per item (roster ×2)</t>
        </is>
      </c>
      <c r="G276" s="8" t="inlineStr">
        <is>
          <t>numeric 1</t>
        </is>
      </c>
      <c r="H276" s="8" t="inlineStr">
        <is>
          <t>1 = Yes
2 = No</t>
        </is>
      </c>
      <c r="I276" s="8" t="inlineStr"/>
      <c r="J276" s="8" t="inlineStr"/>
    </row>
    <row r="277">
      <c r="A277" s="9" t="inlineStr">
        <is>
          <t>n_h1m_purchased_php</t>
        </is>
      </c>
      <c r="B277" s="10" t="inlineStr">
        <is>
          <t>Health product or service - During the last month, how much did your household spend to purchase this item? (PHP; enter -98 if don't know, or -99 if the respondent refuses to answer - do not read these codes aloud)</t>
        </is>
      </c>
      <c r="C277" s="10" t="inlineStr">
        <is>
          <t>~~strip(N_H1M_ITEM)~~ Health product or service - During the last month, how much did your household spend to purchase this item? (PHP; enter -98 if don't know, or -99 if the respondent refuses to answer - do not read these codes aloud)</t>
        </is>
      </c>
      <c r="D277" s="10" t="inlineStr"/>
      <c r="E277" s="10" t="inlineStr"/>
      <c r="F277" s="10" t="inlineStr">
        <is>
          <t>N. Health, last month (Q183-Q184) - one row per item (roster ×2)</t>
        </is>
      </c>
      <c r="G277" s="10" t="inlineStr">
        <is>
          <t>numeric 8</t>
        </is>
      </c>
      <c r="H277" s="10" t="inlineStr"/>
      <c r="I277" s="10" t="inlineStr"/>
      <c r="J277" s="10" t="inlineStr"/>
    </row>
    <row r="278">
      <c r="A278" s="7" t="inlineStr">
        <is>
          <t>n_h1m_inkind_php</t>
        </is>
      </c>
      <c r="B278" s="8" t="inlineStr">
        <is>
          <t>Health product or service - During the last month, what was the total estimated value of this item that you produced, received in-kind, and/or as gift? Your best estimate is fine. (PHP; enter -98 if don't know, or -99 if the respondent refuses to...</t>
        </is>
      </c>
      <c r="C278" s="8" t="inlineStr">
        <is>
          <t>~~strip(N_H1M_ITEM)~~ Health product or service - During the last month, what was the total estimated value of this item that you produced, received in-kind, and/or as gift? Your best estimate is fine. (PHP; enter -98 if don't know, or -99 if the respondent refuses to answer - do not read these codes aloud)</t>
        </is>
      </c>
      <c r="D278" s="8" t="inlineStr"/>
      <c r="E278" s="8" t="inlineStr"/>
      <c r="F278" s="8" t="inlineStr">
        <is>
          <t>N. Health, last month (Q183-Q184) - one row per item (roster ×2)</t>
        </is>
      </c>
      <c r="G278" s="8" t="inlineStr">
        <is>
          <t>numeric 8</t>
        </is>
      </c>
      <c r="H278" s="8" t="inlineStr"/>
      <c r="I278" s="8" t="inlineStr"/>
      <c r="J278" s="8" t="inlineStr"/>
    </row>
    <row r="279">
      <c r="A279" s="9" t="inlineStr">
        <is>
          <t>q185_health_1m_subtotal_total_php</t>
        </is>
      </c>
      <c r="B279" s="10" t="inlineStr">
        <is>
          <t>185. Total value of 183 and 184 (health, 1-month) — Auto-computed total (PHP, [DO NOT ASK])</t>
        </is>
      </c>
      <c r="C279" s="10" t="inlineStr">
        <is>
          <t>185. Total value of 183 and 184 (health, 1-month) — Auto-computed total (PHP, [DO NOT ASK])</t>
        </is>
      </c>
      <c r="D279" s="10" t="inlineStr"/>
      <c r="E279" s="10" t="inlineStr"/>
      <c r="F279" s="10" t="inlineStr">
        <is>
          <t>N. Health 1-month subtotal (Q185)</t>
        </is>
      </c>
      <c r="G279" s="10" t="inlineStr">
        <is>
          <t>numeric 10</t>
        </is>
      </c>
      <c r="H279" s="10" t="inlineStr"/>
      <c r="I279" s="10" t="inlineStr"/>
      <c r="J279" s="10" t="inlineStr">
        <is>
          <t>[HARD (auto)] Sum of `{Q183..Q184}_PURCHASED_PHP + _INKIND_PHP`</t>
        </is>
      </c>
    </row>
    <row r="280">
      <c r="A280" s="7" t="inlineStr">
        <is>
          <t>q186_current_income</t>
        </is>
      </c>
      <c r="B280" s="8" t="inlineStr">
        <is>
          <t>186. Current income of any household members</t>
        </is>
      </c>
      <c r="C280" s="8" t="inlineStr">
        <is>
          <t>In the next section, we would like to know more about the funds that you use for health care. In the last 12 months, which of the following financial sources did your household use to pay out-of-pocket for any medical, dental service with or without overnight stay, medicines, and health products? 186. Current income of any household members</t>
        </is>
      </c>
      <c r="D280" s="8" t="inlineStr"/>
      <c r="E280" s="8" t="inlineStr"/>
      <c r="F280" s="8" t="inlineStr">
        <is>
          <t>O. Sources of Funds for Health</t>
        </is>
      </c>
      <c r="G280" s="8" t="inlineStr">
        <is>
          <t>numeric 1</t>
        </is>
      </c>
      <c r="H280" s="8" t="inlineStr">
        <is>
          <t>1 = Yes
2 = No</t>
        </is>
      </c>
      <c r="I280" s="8" t="inlineStr"/>
      <c r="J280" s="8" t="inlineStr">
        <is>
          <t>[HARD] Required, ∈ {Yes, No}</t>
        </is>
      </c>
    </row>
    <row r="281">
      <c r="A281" s="9" t="inlineStr">
        <is>
          <t>q187_savings</t>
        </is>
      </c>
      <c r="B281" s="10" t="inlineStr">
        <is>
          <t>187. Savings, pension</t>
        </is>
      </c>
      <c r="C281" s="10" t="inlineStr">
        <is>
          <t>187. Savings, pension</t>
        </is>
      </c>
      <c r="D281" s="10" t="inlineStr"/>
      <c r="E281" s="10" t="inlineStr"/>
      <c r="F281" s="10" t="inlineStr">
        <is>
          <t>O. Sources of Funds for Health</t>
        </is>
      </c>
      <c r="G281" s="10" t="inlineStr">
        <is>
          <t>numeric 1</t>
        </is>
      </c>
      <c r="H281" s="10" t="inlineStr">
        <is>
          <t>1 = Yes
2 = No</t>
        </is>
      </c>
      <c r="I281" s="10" t="inlineStr"/>
      <c r="J281" s="10" t="inlineStr">
        <is>
          <t>[HARD] Required, ∈ {Yes, No}</t>
        </is>
      </c>
    </row>
    <row r="282">
      <c r="A282" s="7" t="inlineStr">
        <is>
          <t>q188_sold_assets</t>
        </is>
      </c>
      <c r="B282" s="8" t="inlineStr">
        <is>
          <t>188. Selling of any household's assets or goods (housing, land, animals, jewelry, appliances, or machines)</t>
        </is>
      </c>
      <c r="C282" s="8" t="inlineStr">
        <is>
          <t>188. Selling of any household's assets or goods (housing, land, animals, jewelry, appliances, or machines)</t>
        </is>
      </c>
      <c r="D282" s="8" t="inlineStr"/>
      <c r="E282" s="8" t="inlineStr"/>
      <c r="F282" s="8" t="inlineStr">
        <is>
          <t>O. Sources of Funds for Health</t>
        </is>
      </c>
      <c r="G282" s="8" t="inlineStr">
        <is>
          <t>numeric 1</t>
        </is>
      </c>
      <c r="H282" s="8" t="inlineStr">
        <is>
          <t>1 = Yes
2 = No</t>
        </is>
      </c>
      <c r="I282" s="8" t="inlineStr"/>
      <c r="J282" s="8" t="inlineStr">
        <is>
          <t>[HARD] Required, ∈ {Yes, No}</t>
        </is>
      </c>
    </row>
    <row r="283">
      <c r="A283" s="9" t="inlineStr">
        <is>
          <t>q189_borrow_family</t>
        </is>
      </c>
      <c r="B283" s="10" t="inlineStr">
        <is>
          <t>189. Borrowing from friends or relatives outside the household</t>
        </is>
      </c>
      <c r="C283" s="10" t="inlineStr">
        <is>
          <t>189. Borrowing from friends or relatives outside the household</t>
        </is>
      </c>
      <c r="D283" s="10" t="inlineStr"/>
      <c r="E283" s="10" t="inlineStr"/>
      <c r="F283" s="10" t="inlineStr">
        <is>
          <t>O. Sources of Funds for Health</t>
        </is>
      </c>
      <c r="G283" s="10" t="inlineStr">
        <is>
          <t>numeric 1</t>
        </is>
      </c>
      <c r="H283" s="10" t="inlineStr">
        <is>
          <t>1 = Yes
2 = No</t>
        </is>
      </c>
      <c r="I283" s="10" t="inlineStr"/>
      <c r="J283" s="10" t="inlineStr">
        <is>
          <t>[HARD] Required, ∈ {Yes, No}</t>
        </is>
      </c>
    </row>
    <row r="284">
      <c r="A284" s="7" t="inlineStr">
        <is>
          <t>q190_borrow_inst</t>
        </is>
      </c>
      <c r="B284" s="8" t="inlineStr">
        <is>
          <t>190. Borrowing from institutions (e.g., financial, microfinance arrangements)</t>
        </is>
      </c>
      <c r="C284" s="8" t="inlineStr">
        <is>
          <t>190. Borrowing from institutions (e.g., financial, microfinance arrangements)</t>
        </is>
      </c>
      <c r="D284" s="8" t="inlineStr"/>
      <c r="E284" s="8" t="inlineStr"/>
      <c r="F284" s="8" t="inlineStr">
        <is>
          <t>O. Sources of Funds for Health</t>
        </is>
      </c>
      <c r="G284" s="8" t="inlineStr">
        <is>
          <t>numeric 1</t>
        </is>
      </c>
      <c r="H284" s="8" t="inlineStr">
        <is>
          <t>1 = Yes
2 = No</t>
        </is>
      </c>
      <c r="I284" s="8" t="inlineStr"/>
      <c r="J284" s="8" t="inlineStr">
        <is>
          <t>[HARD] Required, ∈ {Yes, No}</t>
        </is>
      </c>
    </row>
    <row r="285">
      <c r="A285" s="9" t="inlineStr">
        <is>
          <t>q191_remittance</t>
        </is>
      </c>
      <c r="B285" s="10" t="inlineStr">
        <is>
          <t>191. Remittance or money gift</t>
        </is>
      </c>
      <c r="C285" s="10" t="inlineStr">
        <is>
          <t>191. Remittance or money gift</t>
        </is>
      </c>
      <c r="D285" s="10" t="inlineStr"/>
      <c r="E285" s="10" t="inlineStr"/>
      <c r="F285" s="10" t="inlineStr">
        <is>
          <t>O. Sources of Funds for Health</t>
        </is>
      </c>
      <c r="G285" s="10" t="inlineStr">
        <is>
          <t>numeric 1</t>
        </is>
      </c>
      <c r="H285" s="10" t="inlineStr">
        <is>
          <t>1 = Yes
2 = No</t>
        </is>
      </c>
      <c r="I285" s="10" t="inlineStr"/>
      <c r="J285" s="10" t="inlineStr">
        <is>
          <t>[HARD] Required, ∈ {Yes, No}</t>
        </is>
      </c>
    </row>
    <row r="286">
      <c r="A286" s="7" t="inlineStr">
        <is>
          <t>q192_govt_assist</t>
        </is>
      </c>
      <c r="B286" s="8" t="inlineStr">
        <is>
          <t>192. Government assistance (DSWD, local, etc.)</t>
        </is>
      </c>
      <c r="C286" s="8" t="inlineStr">
        <is>
          <t>192. Government assistance (DSWD, local, etc.)</t>
        </is>
      </c>
      <c r="D286" s="8" t="inlineStr"/>
      <c r="E286" s="8" t="inlineStr"/>
      <c r="F286" s="8" t="inlineStr">
        <is>
          <t>O. Sources of Funds for Health</t>
        </is>
      </c>
      <c r="G286" s="8" t="inlineStr">
        <is>
          <t>numeric 1</t>
        </is>
      </c>
      <c r="H286" s="8" t="inlineStr">
        <is>
          <t>1 = Yes
2 = No</t>
        </is>
      </c>
      <c r="I286" s="8" t="inlineStr"/>
      <c r="J286" s="8" t="inlineStr">
        <is>
          <t>[HARD] Required, ∈ {Yes, No}</t>
        </is>
      </c>
    </row>
    <row r="287">
      <c r="A287" s="9" t="inlineStr">
        <is>
          <t>q193_lgu_donation</t>
        </is>
      </c>
      <c r="B287" s="10" t="inlineStr">
        <is>
          <t>193. Donation from LGUs</t>
        </is>
      </c>
      <c r="C287" s="10" t="inlineStr">
        <is>
          <t>193. Donation from LGUs</t>
        </is>
      </c>
      <c r="D287" s="10" t="inlineStr"/>
      <c r="E287" s="10" t="inlineStr"/>
      <c r="F287" s="10" t="inlineStr">
        <is>
          <t>O. Sources of Funds for Health</t>
        </is>
      </c>
      <c r="G287" s="10" t="inlineStr">
        <is>
          <t>numeric 1</t>
        </is>
      </c>
      <c r="H287" s="10" t="inlineStr">
        <is>
          <t>1 = Yes
2 = No</t>
        </is>
      </c>
      <c r="I287" s="10" t="inlineStr"/>
      <c r="J287" s="10" t="inlineStr">
        <is>
          <t>[HARD] Required, ∈ {Yes, No}</t>
        </is>
      </c>
    </row>
    <row r="288">
      <c r="A288" s="7" t="inlineStr">
        <is>
          <t>q194_other_source</t>
        </is>
      </c>
      <c r="B288" s="8" t="inlineStr">
        <is>
          <t>194. Other specify</t>
        </is>
      </c>
      <c r="C288" s="8" t="inlineStr">
        <is>
          <t>194. Other specify</t>
        </is>
      </c>
      <c r="D288" s="8" t="inlineStr"/>
      <c r="E288" s="8">
        <f> Yes → `Q194_OTHER_TXT` required</f>
        <v/>
      </c>
      <c r="F288" s="8" t="inlineStr">
        <is>
          <t>O. Sources of Funds for Health</t>
        </is>
      </c>
      <c r="G288" s="8" t="inlineStr">
        <is>
          <t>numeric 1</t>
        </is>
      </c>
      <c r="H288" s="8" t="inlineStr">
        <is>
          <t>1 = Yes
2 = No</t>
        </is>
      </c>
      <c r="I288" s="8" t="inlineStr"/>
      <c r="J288" s="8" t="inlineStr">
        <is>
          <t>[HARD] Required, ∈ {Yes, No}</t>
        </is>
      </c>
    </row>
    <row r="289">
      <c r="A289" s="9" t="inlineStr">
        <is>
          <t>q194_other_txt</t>
        </is>
      </c>
      <c r="B289" s="10" t="inlineStr">
        <is>
          <t>194. Other specify — text</t>
        </is>
      </c>
      <c r="C289" s="10" t="inlineStr">
        <is>
          <t>194. Other specify — text</t>
        </is>
      </c>
      <c r="D289" s="10" t="inlineStr"/>
      <c r="E289" s="10" t="inlineStr"/>
      <c r="F289" s="10" t="inlineStr">
        <is>
          <t>O. Sources of Funds for Health</t>
        </is>
      </c>
      <c r="G289" s="10" t="inlineStr">
        <is>
          <t>alpha 120</t>
        </is>
      </c>
      <c r="H289" s="10" t="inlineStr"/>
      <c r="I289" s="10" t="inlineStr"/>
      <c r="J289" s="10" t="inlineStr"/>
    </row>
    <row r="290">
      <c r="A290" s="7" t="inlineStr">
        <is>
          <t>q195_income_pct</t>
        </is>
      </c>
      <c r="B290" s="8" t="inlineStr">
        <is>
          <t>195. What portion of your household's monthly income would you be willing to set aside for health care if it reduced unexpected medical expenses?</t>
        </is>
      </c>
      <c r="C290" s="8" t="inlineStr">
        <is>
          <t>195. What portion of your household's monthly income would you be willing to set aside for health care if it reduced unexpected medical expenses?</t>
        </is>
      </c>
      <c r="D290" s="8" t="inlineStr"/>
      <c r="E290" s="8" t="inlineStr"/>
      <c r="F290" s="8" t="inlineStr">
        <is>
          <t>O. Sources of Funds for Health</t>
        </is>
      </c>
      <c r="G290" s="8" t="inlineStr">
        <is>
          <t>numeric 1</t>
        </is>
      </c>
      <c r="H290" s="8" t="inlineStr">
        <is>
          <t>1 = None
2 = Less than 1%
3 = 1-3%
4 = 4-6%
5 = More than 6%</t>
        </is>
      </c>
      <c r="I290" s="8" t="inlineStr">
        <is>
          <t>6 = Don't know</t>
        </is>
      </c>
      <c r="J290" s="8" t="inlineStr">
        <is>
          <t>[HARD] `0 ≤ pct ≤ 100` (percentage of current income spent on health)</t>
        </is>
      </c>
    </row>
    <row r="291">
      <c r="A291" s="9" t="inlineStr">
        <is>
          <t>q196_foregone</t>
        </is>
      </c>
      <c r="B291" s="10" t="inlineStr">
        <is>
          <t>196. If your household chooses not to spend on health care for financial reasons, what kind of care do you usually forego?</t>
        </is>
      </c>
      <c r="C291" s="10" t="inlineStr">
        <is>
          <t>196. If your household chooses not to spend on health care for financial reasons, what kind of care do you usually forego?</t>
        </is>
      </c>
      <c r="D291" s="10" t="inlineStr"/>
      <c r="E291" s="10" t="inlineStr"/>
      <c r="F291" s="10" t="inlineStr">
        <is>
          <t>O. Sources of Funds for Health</t>
        </is>
      </c>
      <c r="G291" s="10" t="inlineStr">
        <is>
          <t>alpha 16</t>
        </is>
      </c>
      <c r="H291" s="10" t="inlineStr">
        <is>
          <t>01 = Doctor/consultation visit
02 = Medicines or treatments
03 = Laboratory tests / diagnostics
04 = Hospital admission / inpatient care
05 = Preventive care (e.g., vaccinations, check-ups)
06 = Dental care
07 = We do not forego care
99 = Other (please specify)</t>
        </is>
      </c>
      <c r="I291" s="10" t="inlineStr"/>
      <c r="J291" s="10" t="inlineStr">
        <is>
          <t>[HARD] ≥ 1 option when foregone any; `_OTHER_TXT` on Other</t>
        </is>
      </c>
    </row>
    <row r="292">
      <c r="A292" s="7" t="inlineStr">
        <is>
          <t>q196_foregone_other_txt</t>
        </is>
      </c>
      <c r="B292" s="8" t="inlineStr">
        <is>
          <t>196. If your household chooses not to spend on health care for financial reasons, what kind of care do you usually forego? — Other (specify) text</t>
        </is>
      </c>
      <c r="C292" s="8" t="inlineStr">
        <is>
          <t>196. If your household chooses not to spend on health care for financial reasons, what kind of care do you usually forego? — Other (specify) text</t>
        </is>
      </c>
      <c r="D292" s="8" t="inlineStr"/>
      <c r="E292" s="8" t="inlineStr"/>
      <c r="F292" s="8" t="inlineStr">
        <is>
          <t>O. Sources of Funds for Health</t>
        </is>
      </c>
      <c r="G292" s="8" t="inlineStr">
        <is>
          <t>alpha 120</t>
        </is>
      </c>
      <c r="H292" s="8" t="inlineStr"/>
      <c r="I292" s="8" t="inlineStr"/>
      <c r="J292" s="8" t="inlineStr"/>
    </row>
    <row r="293">
      <c r="A293" s="9" t="inlineStr">
        <is>
          <t>q197_delayed_care</t>
        </is>
      </c>
      <c r="B293" s="10" t="inlineStr">
        <is>
          <t>197. In the last 6 months, have you or your household member delayed seeking care for financial reasons?</t>
        </is>
      </c>
      <c r="C293" s="10" t="inlineStr">
        <is>
          <t>197. In the last 6 months, have you or your household member delayed seeking care for financial reasons? For example, you felt you needed to see a medical provider, but waited until the symptoms were more serious because you were worried about the cost of the consultation or treatment, the travel to the facility, or the time off work.</t>
        </is>
      </c>
      <c r="D293" s="10" t="inlineStr"/>
      <c r="E293" s="10" t="inlineStr"/>
      <c r="F293" s="10" t="inlineStr">
        <is>
          <t>P. Financial Risk Protection: Incidence of Reduced/Delayed Care</t>
        </is>
      </c>
      <c r="G293" s="10" t="inlineStr">
        <is>
          <t>numeric 1</t>
        </is>
      </c>
      <c r="H293" s="10" t="inlineStr">
        <is>
          <t>1 = Yes
2 = No</t>
        </is>
      </c>
      <c r="I293" s="10" t="inlineStr"/>
      <c r="J293" s="10" t="inlineStr">
        <is>
          <t>[HARD] Required, ∈ value set {Yes, No, N/A}</t>
        </is>
      </c>
    </row>
    <row r="294">
      <c r="A294" s="7" t="inlineStr">
        <is>
          <t>q198_not_followed</t>
        </is>
      </c>
      <c r="B294" s="8" t="inlineStr">
        <is>
          <t>198. In the last 6 months, have you or your household member seen a doctor and not fully followed their advice (for example, to buy prescribed medicine, to go for a follow-up consultation, to get additional diagnostics) for financial reasons?</t>
        </is>
      </c>
      <c r="C294" s="8" t="inlineStr">
        <is>
          <t>198. In the last 6 months, have you or your household member seen a doctor and not fully followed their advice (for example, to buy prescribed medicine, to go for a follow-up consultation, to get additional diagnostics) for financial reasons?</t>
        </is>
      </c>
      <c r="D294" s="8" t="inlineStr"/>
      <c r="E294" s="8" t="inlineStr"/>
      <c r="F294" s="8" t="inlineStr">
        <is>
          <t>P. Financial Risk Protection: Incidence of Reduced/Delayed Care</t>
        </is>
      </c>
      <c r="G294" s="8" t="inlineStr">
        <is>
          <t>numeric 1</t>
        </is>
      </c>
      <c r="H294" s="8" t="inlineStr">
        <is>
          <t>1 = Yes
2 = No</t>
        </is>
      </c>
      <c r="I294" s="8" t="inlineStr"/>
      <c r="J294" s="8" t="inlineStr">
        <is>
          <t>[HARD] Required, ∈ value set</t>
        </is>
      </c>
    </row>
    <row r="295">
      <c r="A295" s="9" t="inlineStr">
        <is>
          <t>q199_wtp_consult</t>
        </is>
      </c>
      <c r="B295" s="10" t="inlineStr">
        <is>
          <t>199. The usual price for a consultation ranges from Php 500 to Php 2,000. What is the highest amount you are willing to pay for a consultation?</t>
        </is>
      </c>
      <c r="C295" s="10" t="inlineStr">
        <is>
          <t>199. The usual price for a consultation ranges from Php 500 to Php 2,000. What is the highest amount you are willing to pay for a consultation?</t>
        </is>
      </c>
      <c r="D295" s="10" t="inlineStr"/>
      <c r="E295" s="10" t="inlineStr"/>
      <c r="F295" s="10" t="inlineStr">
        <is>
          <t>P. Financial Risk Protection: Incidence of Reduced/Delayed Care</t>
        </is>
      </c>
      <c r="G295" s="10" t="inlineStr">
        <is>
          <t>numeric 1</t>
        </is>
      </c>
      <c r="H295" s="10" t="inlineStr">
        <is>
          <t>1 = Php 0 – Php 249
2 = Php 250 – Php 499
3 = Php 500 – Php 999
4 = Php 1,000 – Php 1249
5 = Php 1,250 – Php 1499
6 = Php 1,500 – Php 1749
7 = Php 1,750 – Php 1999
8 = Php 2,000 and above
9 = Other (Specify)</t>
        </is>
      </c>
      <c r="I295" s="10" t="inlineStr"/>
      <c r="J295" s="10" t="inlineStr">
        <is>
          <t>[HARD] `0 ≤ amt ≤ 99,999` (WTP amount in PHP)</t>
        </is>
      </c>
    </row>
    <row r="296">
      <c r="A296" s="7" t="inlineStr">
        <is>
          <t>q199_wtp_other_txt</t>
        </is>
      </c>
      <c r="B296" s="8" t="inlineStr">
        <is>
          <t>199. Other (Specify) — text</t>
        </is>
      </c>
      <c r="C296" s="8" t="inlineStr">
        <is>
          <t>199. Other (Specify) — text</t>
        </is>
      </c>
      <c r="D296" s="8" t="inlineStr"/>
      <c r="E296" s="8" t="inlineStr"/>
      <c r="F296" s="8" t="inlineStr">
        <is>
          <t>P. Financial Risk Protection: Incidence of Reduced/Delayed Care</t>
        </is>
      </c>
      <c r="G296" s="8" t="inlineStr">
        <is>
          <t>alpha 120</t>
        </is>
      </c>
      <c r="H296" s="8" t="inlineStr"/>
      <c r="I296" s="8" t="inlineStr"/>
      <c r="J296" s="8" t="inlineStr"/>
    </row>
    <row r="297">
      <c r="A297" s="9" t="inlineStr">
        <is>
          <t>q200_reduced_spend</t>
        </is>
      </c>
      <c r="B297" s="10" t="inlineStr">
        <is>
          <t>200. Have you or your household had to reduce spending on things you need (such as food, housing, or utilities) because of this health expenditure in the last 1 month?</t>
        </is>
      </c>
      <c r="C297" s="10" t="inlineStr">
        <is>
          <t>200. Have you or your household had to reduce spending on things you need (such as food, housing, or utilities) because of this health expenditure in the last 1 month?</t>
        </is>
      </c>
      <c r="D297" s="10" t="inlineStr"/>
      <c r="E297" s="10" t="inlineStr"/>
      <c r="F297" s="10" t="inlineStr">
        <is>
          <t>Q. Anxiety about Household Finances</t>
        </is>
      </c>
      <c r="G297" s="10" t="inlineStr">
        <is>
          <t>numeric 1</t>
        </is>
      </c>
      <c r="H297" s="10" t="inlineStr">
        <is>
          <t>1 = Yes
2 = No</t>
        </is>
      </c>
      <c r="I297" s="10" t="inlineStr">
        <is>
          <t>3 = Don't know
4 = Refused to answer</t>
        </is>
      </c>
      <c r="J297" s="10" t="inlineStr">
        <is>
          <t>[HARD] Required, ∈ value set</t>
        </is>
      </c>
    </row>
    <row r="298">
      <c r="A298" s="7" t="inlineStr">
        <is>
          <t>q201_worried</t>
        </is>
      </c>
      <c r="B298" s="8" t="inlineStr">
        <is>
          <t>201. How worried are you about your household's finances in the next 1 month?</t>
        </is>
      </c>
      <c r="C298" s="8" t="inlineStr">
        <is>
          <t>201. How worried are you about your household's finances in the next 1 month?</t>
        </is>
      </c>
      <c r="D298" s="8" t="inlineStr"/>
      <c r="E298" s="8" t="inlineStr"/>
      <c r="F298" s="8" t="inlineStr">
        <is>
          <t>Q. Anxiety about Household Finances</t>
        </is>
      </c>
      <c r="G298" s="8" t="inlineStr">
        <is>
          <t>numeric 1</t>
        </is>
      </c>
      <c r="H298" s="8" t="inlineStr">
        <is>
          <t>1 = Very worried
2 = Somewhat worried
3 = Not too worried
4 = Not worried at all</t>
        </is>
      </c>
      <c r="I298" s="8" t="inlineStr"/>
      <c r="J298" s="8" t="inlineStr">
        <is>
          <t>[HARD] Required, ∈ value set</t>
        </is>
      </c>
    </row>
    <row r="299">
      <c r="A299" s="9" t="inlineStr">
        <is>
          <t>q202_worry_reasons</t>
        </is>
      </c>
      <c r="B299" s="10" t="inlineStr">
        <is>
          <t>202. Do any of the following reasons describe why you are worried about your household's finances in the next 1 month?</t>
        </is>
      </c>
      <c r="C299" s="10" t="inlineStr">
        <is>
          <t>202. Do any of the following reasons describe why you are worried about your household's finances in the next 1 month?</t>
        </is>
      </c>
      <c r="D299" s="10" t="inlineStr"/>
      <c r="E299" s="10" t="inlineStr">
        <is>
          <t>select-all → End of questionnaire — set `ENUM_RESULT_FINAL_VISIT = Completed`</t>
        </is>
      </c>
      <c r="F299" s="10" t="inlineStr">
        <is>
          <t>Q. Anxiety about Household Finances</t>
        </is>
      </c>
      <c r="G299" s="10" t="inlineStr">
        <is>
          <t>alpha 8</t>
        </is>
      </c>
      <c r="H299" s="10" t="inlineStr">
        <is>
          <t>01 = Loss of income
02 = Healthcare costs related to coronavirus (COVID-19)
03 = Healthcare costs NOT related to coronavirus (COVID-19) (including to treat other diseases, illnesses, injuries, or symptoms)
99 = Other (Specify)</t>
        </is>
      </c>
      <c r="I299" s="10" t="inlineStr"/>
      <c r="J299" s="10" t="inlineStr">
        <is>
          <t>[HARD] ≥ 1 option when enabled; `_OTHER_TXT` on Other</t>
        </is>
      </c>
    </row>
    <row r="300">
      <c r="A300" s="7" t="inlineStr">
        <is>
          <t>q202_worry_reasons_other_txt</t>
        </is>
      </c>
      <c r="B300" s="8" t="inlineStr">
        <is>
          <t>202. Do any of the following reasons describe why you are worried about your household's finances in the next 1 month? — Other (specify) text</t>
        </is>
      </c>
      <c r="C300" s="8" t="inlineStr">
        <is>
          <t>202. Do any of the following reasons describe why you are worried about your household's finances in the next 1 month? — Other (specify) text</t>
        </is>
      </c>
      <c r="D300" s="8" t="inlineStr"/>
      <c r="E300" s="8" t="inlineStr"/>
      <c r="F300" s="8" t="inlineStr">
        <is>
          <t>Q. Anxiety about Household Finances</t>
        </is>
      </c>
      <c r="G300" s="8" t="inlineStr">
        <is>
          <t>alpha 120</t>
        </is>
      </c>
      <c r="H300" s="8" t="inlineStr"/>
      <c r="I300" s="8" t="inlineStr"/>
      <c r="J300"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2"/>
  <sheetViews>
    <sheetView workbookViewId="0">
      <pane ySplit="1" topLeftCell="A2" activePane="bottomLeft" state="frozen"/>
      <selection pane="bottomLeft" activeCell="A1" sqref="A1"/>
    </sheetView>
  </sheetViews>
  <sheetFormatPr baseColWidth="8" defaultRowHeight="15"/>
  <cols>
    <col width="44" customWidth="1" min="1" max="1"/>
    <col width="90" customWidth="1" min="2" max="2"/>
    <col width="20" customWidth="1" min="3" max="3"/>
  </cols>
  <sheetData>
    <row r="1">
      <c r="A1" s="11" t="inlineStr">
        <is>
          <t>Item(s)</t>
        </is>
      </c>
      <c r="B1" s="11" t="inlineStr">
        <is>
          <t>Rule</t>
        </is>
      </c>
      <c r="C1" s="11" t="inlineStr">
        <is>
          <t>Severity</t>
        </is>
      </c>
    </row>
    <row r="2">
      <c r="A2" s="9" t="inlineStr">
        <is>
          <t>Q1 IS_HH_HEAD</t>
        </is>
      </c>
      <c r="B2" s="10">
        <f> No</f>
        <v/>
      </c>
      <c r="C2" s="10" t="inlineStr">
        <is>
          <t>Continue to Q2 (SOFT warn to enumerator: "Respondent is not the HH head — confirm they are a household decision-maker per sampling protocol")</t>
        </is>
      </c>
    </row>
    <row r="3">
      <c r="A3" s="9" t="inlineStr">
        <is>
          <t>SURVEY_TEAM_LEADER_S_NAME, ENUMERATOR_S_NAME</t>
        </is>
      </c>
      <c r="B3" s="10" t="inlineStr">
        <is>
          <t>Required, non-blank</t>
        </is>
      </c>
      <c r="C3" s="10" t="inlineStr">
        <is>
          <t>HARD</t>
        </is>
      </c>
    </row>
    <row r="4">
      <c r="A4" s="9" t="inlineStr">
        <is>
          <t>DATE_FIRST_VISITED, DATE_FINAL_VISIT</t>
        </is>
      </c>
      <c r="B4" s="10" t="inlineStr">
        <is>
          <t>Required, valid date ≤ today</t>
        </is>
      </c>
      <c r="C4" s="10" t="inlineStr">
        <is>
          <t>HARD</t>
        </is>
      </c>
    </row>
    <row r="5">
      <c r="A5" s="9" t="inlineStr">
        <is>
          <t>DATE_FIRST_VISITED ≤ DATE_FINAL_VISIT</t>
        </is>
      </c>
      <c r="B5" s="10" t="inlineStr">
        <is>
          <t>Temporal ordering</t>
        </is>
      </c>
      <c r="C5" s="10" t="inlineStr">
        <is>
          <t>HARD</t>
        </is>
      </c>
    </row>
    <row r="6">
      <c r="A6" s="9" t="inlineStr">
        <is>
          <t>TOTAL_NUMBER_OF_VISITS</t>
        </is>
      </c>
      <c r="B6" s="10" t="inlineStr">
        <is>
          <t>`1 ≤ n ≤ 10` (warn if &gt; 3)</t>
        </is>
      </c>
      <c r="C6" s="10" t="inlineStr">
        <is>
          <t>HARD + SOFT</t>
        </is>
      </c>
    </row>
    <row r="7">
      <c r="A7" s="9" t="inlineStr">
        <is>
          <t>ENUM_RESULT_FIRST_VISIT, ENUM_RESULT_FINAL_VISIT</t>
        </is>
      </c>
      <c r="B7" s="10" t="inlineStr">
        <is>
          <t>Required, ∈ value set</t>
        </is>
      </c>
      <c r="C7" s="10" t="inlineStr">
        <is>
          <t>HARD</t>
        </is>
      </c>
    </row>
    <row r="8">
      <c r="A8" s="9" t="inlineStr">
        <is>
          <t>BREAKOFF</t>
        </is>
      </c>
      <c r="B8" s="10" t="inlineStr">
        <is>
          <t>Required; defaults to `1 — Continue interview`. If ≠ Continue → terminate; sets `ENUM_RESULT_FINAL_VISIT` (2 Withdrew → 4; 3 Postponed → 2; 4 Stop-other → 3 Incomplete) and `CASE_DISPOSITION = 2`</t>
        </is>
      </c>
      <c r="C8" s="10" t="inlineStr">
        <is>
          <t>HARD</t>
        </is>
      </c>
    </row>
    <row r="9">
      <c r="A9" s="9" t="inlineStr">
        <is>
          <t>CASE_DISPOSITION</t>
        </is>
      </c>
      <c r="B9" s="10" t="inlineStr">
        <is>
          <t>Auto-written by logic, never typed: 0 In progress / 1 Completed / 2 Partial / not completed</t>
        </is>
      </c>
      <c r="C9" s="10" t="inlineStr">
        <is>
          <t>—</t>
        </is>
      </c>
    </row>
    <row r="10">
      <c r="A10" s="9" t="inlineStr">
        <is>
          <t>HH_LISTING_NO</t>
        </is>
      </c>
      <c r="B10" s="10" t="inlineStr">
        <is>
          <t>Required, matches F3b listing form entry</t>
        </is>
      </c>
      <c r="C10" s="10" t="inlineStr">
        <is>
          <t>HARD</t>
        </is>
      </c>
    </row>
    <row r="11">
      <c r="A11" s="9" t="inlineStr">
        <is>
          <t>REGION → PROVINCE_HUC → CITY_MUNICIPALITY → BARANGAY</t>
        </is>
      </c>
      <c r="B11" s="10" t="inlineStr">
        <is>
          <t>PSGC cascade enforced at pick-time by `PSGC-Cascade.apc` — each child's `onfocus` filters its value set to children of the chosen parent, so an inconsistent pair is unrepresentable</t>
        </is>
      </c>
      <c r="C11" s="10" t="inlineStr">
        <is>
          <t>HARD — cascade enforces</t>
        </is>
      </c>
    </row>
    <row r="12">
      <c r="A12" s="9" t="inlineStr">
        <is>
          <t>HH_ADDRESS</t>
        </is>
      </c>
      <c r="B12" s="10" t="inlineStr">
        <is>
          <t>Required, non-blank</t>
        </is>
      </c>
      <c r="C12" s="10" t="inlineStr">
        <is>
          <t>HARD</t>
        </is>
      </c>
    </row>
    <row r="13">
      <c r="A13" s="9" t="inlineStr">
        <is>
          <t>CLASSIFICATION</t>
        </is>
      </c>
      <c r="B13" s="10" t="inlineStr">
        <is>
          <t>∈ {Urban, Rural} — matches barangay classification from PSA</t>
        </is>
      </c>
      <c r="C13" s="10" t="inlineStr">
        <is>
          <t>HARD</t>
        </is>
      </c>
    </row>
    <row r="14">
      <c r="A14" s="9" t="inlineStr">
        <is>
          <t>CAPTURE_HH_GPS</t>
        </is>
      </c>
      <c r="B14" s="10" t="inlineStr">
        <is>
          <t>Trigger; auto-resets to blank after each successful read (so the button re-arms for retry)</t>
        </is>
      </c>
      <c r="C14" s="10" t="inlineStr">
        <is>
          <t>—</t>
        </is>
      </c>
    </row>
    <row r="15">
      <c r="A15" s="9" t="inlineStr">
        <is>
          <t>LATITUDE</t>
        </is>
      </c>
      <c r="B15" s="10" t="inlineStr">
        <is>
          <t>Alpha; after capture, `tonumber()` must be in `[4.5, 21.5]` (Philippine bounding box)</t>
        </is>
      </c>
      <c r="C15" s="10" t="inlineStr">
        <is>
          <t>HARD</t>
        </is>
      </c>
    </row>
    <row r="16">
      <c r="A16" s="9" t="inlineStr">
        <is>
          <t>LONGITUDE</t>
        </is>
      </c>
      <c r="B16" s="10" t="inlineStr">
        <is>
          <t>After capture, `tonumber()` in `[116.5, 127.0]`</t>
        </is>
      </c>
      <c r="C16" s="10" t="inlineStr">
        <is>
          <t>HARD</t>
        </is>
      </c>
    </row>
    <row r="17">
      <c r="A17" s="9" t="inlineStr">
        <is>
          <t>HH_GPS_ALTITUDE</t>
        </is>
      </c>
      <c r="B17" s="10" t="inlineStr">
        <is>
          <t>Alpha, metres; parsed for sanity when present</t>
        </is>
      </c>
      <c r="C17" s="10" t="inlineStr">
        <is>
          <t>SOFT</t>
        </is>
      </c>
    </row>
    <row r="18">
      <c r="A18" s="9" t="inlineStr">
        <is>
          <t>HH_GPS_ACCURACY</t>
        </is>
      </c>
      <c r="B18" s="10" t="inlineStr">
        <is>
          <t>Numeric, metres. Warn if `&gt; 30` — re-read outdoors recommended</t>
        </is>
      </c>
      <c r="C18" s="10" t="inlineStr">
        <is>
          <t>SOFT</t>
        </is>
      </c>
    </row>
    <row r="19">
      <c r="A19" s="9" t="inlineStr">
        <is>
          <t>HH_GPS_SATELLITES</t>
        </is>
      </c>
      <c r="B19" s="10" t="inlineStr">
        <is>
          <t>Numeric. Warn if `&lt; 4` (fix is below minimum for reliable lat/lon)</t>
        </is>
      </c>
      <c r="C19" s="10" t="inlineStr">
        <is>
          <t>SOFT</t>
        </is>
      </c>
    </row>
    <row r="20">
      <c r="A20" s="9" t="inlineStr">
        <is>
          <t>HH_GPS_READTIME</t>
        </is>
      </c>
      <c r="B20" s="10" t="inlineStr">
        <is>
          <t>Alpha UTC timestamp; must parse and be within `±24 h` of `DATE_FINAL_VISIT`</t>
        </is>
      </c>
      <c r="C20" s="10" t="inlineStr">
        <is>
          <t>SOFT</t>
        </is>
      </c>
    </row>
    <row r="21">
      <c r="A21" s="9" t="inlineStr">
        <is>
          <t>LATITUDE/LONGITUDE non-blank required</t>
        </is>
      </c>
      <c r="B21" s="10" t="inlineStr">
        <is>
          <t>When `ENUM_RESULT_FINAL_VISIT = Completed*`</t>
        </is>
      </c>
      <c r="C21" s="10" t="inlineStr">
        <is>
          <t>HARD</t>
        </is>
      </c>
    </row>
    <row r="22">
      <c r="A22" s="9" t="inlineStr">
        <is>
          <t>HH vs barangay centroid</t>
        </is>
      </c>
      <c r="B22" s="10" t="inlineStr">
        <is>
          <t>Warn if captured point is `&gt; 5 km` from the PSA-barangay centroid for the selected `BARANGAY` — likely wrong-barangay mis-capture (centroid lookup is a follow-on data task)</t>
        </is>
      </c>
      <c r="C22" s="10" t="inlineStr">
        <is>
          <t>SOFT — advisory only</t>
        </is>
      </c>
    </row>
    <row r="23">
      <c r="A23" s="9" t="inlineStr">
        <is>
          <t>CAPTURE_VERIFICATION_PHOTO</t>
        </is>
      </c>
      <c r="B23" s="10" t="inlineStr">
        <is>
          <t>Trigger; auto-resets after each successful capture</t>
        </is>
      </c>
      <c r="C23" s="10" t="inlineStr">
        <is>
          <t>—</t>
        </is>
      </c>
    </row>
    <row r="24">
      <c r="A24" s="9" t="inlineStr">
        <is>
          <t>VERIFICATION_PHOTO_FILENAME</t>
        </is>
      </c>
      <c r="B24" s="10" t="inlineStr">
        <is>
          <t>Non-blank when `ENUM_RESULT_FINAL_VISIT = Completed*`; 120-char alpha populated by `TakeVerificationPhoto()`</t>
        </is>
      </c>
      <c r="C24" s="10" t="inlineStr">
        <is>
          <t>HARD</t>
        </is>
      </c>
    </row>
    <row r="25">
      <c r="A25" s="9" t="inlineStr">
        <is>
          <t>Filename pattern</t>
        </is>
      </c>
      <c r="B25" s="10" t="inlineStr">
        <is>
          <t>Matches `case-{QUESTIONNAIRE_NO}-verification.jpg` (enforced by the PROC that assigns it)</t>
        </is>
      </c>
      <c r="C25" s="10" t="inlineStr">
        <is>
          <t>HARD</t>
        </is>
      </c>
    </row>
    <row r="26">
      <c r="A26" s="9" t="inlineStr">
        <is>
          <t>Q1_IS_HH_HEAD</t>
        </is>
      </c>
      <c r="B26" s="10" t="inlineStr">
        <is>
          <t>Required, ∈ {Yes, No}; if No → SOFT warn "Confirm respondent is HH decision-maker per protocol"</t>
        </is>
      </c>
      <c r="C26" s="10" t="inlineStr">
        <is>
          <t>HARD + SOFT</t>
        </is>
      </c>
    </row>
    <row r="27">
      <c r="A27" s="9" t="inlineStr">
        <is>
          <t>RESPONDENT_NAME</t>
        </is>
      </c>
      <c r="B27" s="10" t="inlineStr">
        <is>
          <t>Required, non-blank</t>
        </is>
      </c>
      <c r="C27" s="10" t="inlineStr">
        <is>
          <t>HARD</t>
        </is>
      </c>
    </row>
    <row r="28">
      <c r="A28" s="9" t="inlineStr">
        <is>
          <t>Q2_BIRTH_MONTH</t>
        </is>
      </c>
      <c r="B28" s="10" t="inlineStr">
        <is>
          <t>`1 ≤ m ≤ 12`</t>
        </is>
      </c>
      <c r="C28" s="10" t="inlineStr">
        <is>
          <t>HARD</t>
        </is>
      </c>
    </row>
    <row r="29">
      <c r="A29" s="9" t="inlineStr">
        <is>
          <t>Q2_BIRTH_YEAR</t>
        </is>
      </c>
      <c r="B29" s="10" t="inlineStr">
        <is>
          <t>`1900 ≤ y ≤ current_year`</t>
        </is>
      </c>
      <c r="C29" s="10" t="inlineStr">
        <is>
          <t>HARD</t>
        </is>
      </c>
    </row>
    <row r="30">
      <c r="A30" s="9" t="inlineStr">
        <is>
          <t>Q2_1_AGE</t>
        </is>
      </c>
      <c r="B30" s="10" t="inlineStr">
        <is>
          <t>`0 ≤ age ≤ 120`</t>
        </is>
      </c>
      <c r="C30" s="10" t="inlineStr">
        <is>
          <t>HARD</t>
        </is>
      </c>
    </row>
    <row r="31">
      <c r="A31" s="9" t="inlineStr">
        <is>
          <t>Q2 ↔ Q2.1 consistency</t>
        </is>
      </c>
      <c r="B31" s="10" t="inlineStr">
        <is>
          <t>`abs(current_year − Q2_BIRTH_YEAR − Q2_1_AGE) ≤ 1`</t>
        </is>
      </c>
      <c r="C31" s="10" t="inlineStr">
        <is>
          <t>HARD</t>
        </is>
      </c>
    </row>
    <row r="32">
      <c r="A32" s="9" t="inlineStr">
        <is>
          <t>Q3_SEX</t>
        </is>
      </c>
      <c r="B32" s="10" t="inlineStr">
        <is>
          <t>Required, ∈ {Male, Female, Other}</t>
        </is>
      </c>
      <c r="C32" s="10" t="inlineStr">
        <is>
          <t>HARD</t>
        </is>
      </c>
    </row>
    <row r="33">
      <c r="A33" s="9" t="inlineStr">
        <is>
          <t>Q4_LGBTQIA</t>
        </is>
      </c>
      <c r="B33" s="10" t="inlineStr">
        <is>
          <t>Required, ∈ value set</t>
        </is>
      </c>
      <c r="C33" s="10" t="inlineStr">
        <is>
          <t>HARD</t>
        </is>
      </c>
    </row>
    <row r="34">
      <c r="A34" s="9" t="inlineStr">
        <is>
          <t>Q5_GROUP = Other</t>
        </is>
      </c>
      <c r="B34" s="10" t="inlineStr">
        <is>
          <t>`Q5_GROUP_OTHER_TXT` required</t>
        </is>
      </c>
      <c r="C34" s="10" t="inlineStr">
        <is>
          <t>HARD</t>
        </is>
      </c>
    </row>
    <row r="35">
      <c r="A35" s="9" t="inlineStr">
        <is>
          <t>Q6_CIVIL_STATUS</t>
        </is>
      </c>
      <c r="B35" s="10" t="inlineStr">
        <is>
          <t>Required, ∈ value set</t>
        </is>
      </c>
      <c r="C35" s="10" t="inlineStr">
        <is>
          <t>HARD</t>
        </is>
      </c>
    </row>
    <row r="36">
      <c r="A36" s="9" t="inlineStr">
        <is>
          <t>Q7_IS_PWD</t>
        </is>
      </c>
      <c r="B36" s="10" t="inlineStr">
        <is>
          <t>Required, ∈ {Yes, No}</t>
        </is>
      </c>
      <c r="C36" s="10" t="inlineStr">
        <is>
          <t>HARD</t>
        </is>
      </c>
    </row>
    <row r="37">
      <c r="A37" s="9" t="inlineStr">
        <is>
          <t>Q8–Q10 enabled</t>
        </is>
      </c>
      <c r="B37" s="10" t="inlineStr">
        <is>
          <t>`Q7_IS_PWD = Yes`</t>
        </is>
      </c>
      <c r="C37" s="10" t="inlineStr">
        <is>
          <t>GATE</t>
        </is>
      </c>
    </row>
    <row r="38">
      <c r="A38" s="9" t="inlineStr">
        <is>
          <t>Q10 enabled</t>
        </is>
      </c>
      <c r="B38" s="10" t="inlineStr">
        <is>
          <t>`Q7_IS_PWD = Yes` and `Q9_PWD_CARD = Yes`</t>
        </is>
      </c>
      <c r="C38" s="10" t="inlineStr">
        <is>
          <t>GATE</t>
        </is>
      </c>
    </row>
    <row r="39">
      <c r="A39" s="9" t="inlineStr">
        <is>
          <t>Q10_DISABILITY_TYPE = Other</t>
        </is>
      </c>
      <c r="B39" s="10" t="inlineStr">
        <is>
          <t>`Q10_DISABILITY_OTHER_TXT` required</t>
        </is>
      </c>
      <c r="C39" s="10" t="inlineStr">
        <is>
          <t>HARD</t>
        </is>
      </c>
    </row>
    <row r="40">
      <c r="A40" s="9" t="inlineStr">
        <is>
          <t>Q11_EDUCATION</t>
        </is>
      </c>
      <c r="B40" s="10" t="inlineStr">
        <is>
          <t>Required, ∈ value set</t>
        </is>
      </c>
      <c r="C40" s="10" t="inlineStr">
        <is>
          <t>HARD</t>
        </is>
      </c>
    </row>
    <row r="41">
      <c r="A41" s="9" t="inlineStr">
        <is>
          <t>Q11_EDUCATION = Other</t>
        </is>
      </c>
      <c r="B41" s="10" t="inlineStr">
        <is>
          <t>`Q11_EDUCATION_OTHER_TXT` required</t>
        </is>
      </c>
      <c r="C41" s="10" t="inlineStr">
        <is>
          <t>HARD</t>
        </is>
      </c>
    </row>
    <row r="42">
      <c r="A42" s="9" t="inlineStr">
        <is>
          <t>Q12_EMPLOYMENT</t>
        </is>
      </c>
      <c r="B42" s="10" t="inlineStr">
        <is>
          <t>Required, ∈ value set</t>
        </is>
      </c>
      <c r="C42" s="10" t="inlineStr">
        <is>
          <t>HARD</t>
        </is>
      </c>
    </row>
    <row r="43">
      <c r="A43" s="9" t="inlineStr">
        <is>
          <t>Q13_INCOME_SOURCE</t>
        </is>
      </c>
      <c r="B43" s="10" t="inlineStr">
        <is>
          <t>Required, non-blank</t>
        </is>
      </c>
      <c r="C43" s="10" t="inlineStr">
        <is>
          <t>HARD</t>
        </is>
      </c>
    </row>
    <row r="44">
      <c r="A44" s="9" t="inlineStr">
        <is>
          <t>Q14_IP_MEMBER</t>
        </is>
      </c>
      <c r="B44" s="10" t="inlineStr">
        <is>
          <t>Required, ∈ {Yes, No}</t>
        </is>
      </c>
      <c r="C44" s="10" t="inlineStr">
        <is>
          <t>HARD</t>
        </is>
      </c>
    </row>
    <row r="45">
      <c r="A45" s="9" t="inlineStr">
        <is>
          <t>Q15 enabled</t>
        </is>
      </c>
      <c r="B45" s="10" t="inlineStr">
        <is>
          <t>`Q14_IP_MEMBER = Yes`</t>
        </is>
      </c>
      <c r="C45" s="10" t="inlineStr">
        <is>
          <t>GATE</t>
        </is>
      </c>
    </row>
    <row r="46">
      <c r="A46" s="9" t="inlineStr">
        <is>
          <t>Q15_IP_GROUP</t>
        </is>
      </c>
      <c r="B46" s="10" t="inlineStr">
        <is>
          <t>Required when enabled, non-blank (pending coded list — see §5 #1)</t>
        </is>
      </c>
      <c r="C46" s="10" t="inlineStr">
        <is>
          <t>HARD</t>
        </is>
      </c>
    </row>
    <row r="47">
      <c r="A47" s="9" t="inlineStr">
        <is>
          <t>Q16_4PS</t>
        </is>
      </c>
      <c r="B47" s="10" t="inlineStr">
        <is>
          <t>Required, ∈ {Yes, No}</t>
        </is>
      </c>
      <c r="C47" s="10" t="inlineStr">
        <is>
          <t>HARD</t>
        </is>
      </c>
    </row>
    <row r="48">
      <c r="A48" s="9" t="inlineStr">
        <is>
          <t>Q17_DECISION_MAKER</t>
        </is>
      </c>
      <c r="B48" s="10" t="inlineStr">
        <is>
          <t>Required, ∈ value set</t>
        </is>
      </c>
      <c r="C48" s="10" t="inlineStr">
        <is>
          <t>HARD</t>
        </is>
      </c>
    </row>
    <row r="49">
      <c r="A49" s="9" t="inlineStr">
        <is>
          <t>Q17_DECISION_MAKER = Other</t>
        </is>
      </c>
      <c r="B49" s="10" t="inlineStr">
        <is>
          <t>`Q17_DECISION_MAKER_OTHER_TXT` required</t>
        </is>
      </c>
      <c r="C49" s="10" t="inlineStr">
        <is>
          <t>HARD</t>
        </is>
      </c>
    </row>
    <row r="50">
      <c r="A50" s="9" t="inlineStr">
        <is>
          <t>Q18_INCOME_AMOUNT</t>
        </is>
      </c>
      <c r="B50" s="10" t="inlineStr">
        <is>
          <t>`0 ≤ amt ≤ 99,999,999`</t>
        </is>
      </c>
      <c r="C50" s="10" t="inlineStr">
        <is>
          <t>HARD</t>
        </is>
      </c>
    </row>
    <row r="51">
      <c r="A51" s="9" t="inlineStr">
        <is>
          <t>Q18_INCOME_BRACKET</t>
        </is>
      </c>
      <c r="B51" s="10" t="inlineStr">
        <is>
          <t>Required, ∈ value set</t>
        </is>
      </c>
      <c r="C51" s="10" t="inlineStr">
        <is>
          <t>HARD</t>
        </is>
      </c>
    </row>
    <row r="52">
      <c r="A52" s="9" t="inlineStr">
        <is>
          <t>Q18 consistency</t>
        </is>
      </c>
      <c r="B52" s="10" t="inlineStr">
        <is>
          <t>`Q18_INCOME_AMOUNT` falls within `Q18_INCOME_BRACKET`</t>
        </is>
      </c>
      <c r="C52" s="10" t="inlineStr">
        <is>
          <t>HARD</t>
        </is>
      </c>
    </row>
    <row r="53">
      <c r="A53" s="9" t="inlineStr">
        <is>
          <t>Q19_HH_SIZE_TOTAL</t>
        </is>
      </c>
      <c r="B53" s="10" t="inlineStr">
        <is>
          <t>`1 ≤ n ≤ 20` (warn if &gt; 10)</t>
        </is>
      </c>
      <c r="C53" s="10" t="inlineStr">
        <is>
          <t>HARD + SOFT</t>
        </is>
      </c>
    </row>
    <row r="54">
      <c r="A54" s="9" t="inlineStr">
        <is>
          <t>Q20_HH_CHILDREN</t>
        </is>
      </c>
      <c r="B54" s="10" t="inlineStr">
        <is>
          <t>`0 ≤ n ≤ Q19_HH_SIZE_TOTAL`</t>
        </is>
      </c>
      <c r="C54" s="10" t="inlineStr">
        <is>
          <t>HARD</t>
        </is>
      </c>
    </row>
    <row r="55">
      <c r="A55" s="9" t="inlineStr">
        <is>
          <t>Q21_HH_SENIORS</t>
        </is>
      </c>
      <c r="B55" s="10" t="inlineStr">
        <is>
          <t>`0 ≤ n ≤ Q19_HH_SIZE_TOTAL`</t>
        </is>
      </c>
      <c r="C55" s="10" t="inlineStr">
        <is>
          <t>HARD</t>
        </is>
      </c>
    </row>
    <row r="56">
      <c r="A56" s="9" t="inlineStr">
        <is>
          <t>Q19 vs Q20+Q21</t>
        </is>
      </c>
      <c r="B56" s="10" t="inlineStr">
        <is>
          <t>`Q20 + Q21 ≤ Q19` (children + seniors ≤ total)</t>
        </is>
      </c>
      <c r="C56" s="10" t="inlineStr">
        <is>
          <t>HARD</t>
        </is>
      </c>
    </row>
    <row r="57">
      <c r="A57" s="9" t="inlineStr">
        <is>
          <t>Q22_ELECTRICITY</t>
        </is>
      </c>
      <c r="B57" s="10" t="inlineStr">
        <is>
          <t>Required, ∈ {Yes, No}</t>
        </is>
      </c>
      <c r="C57" s="10" t="inlineStr">
        <is>
          <t>HARD</t>
        </is>
      </c>
    </row>
    <row r="58">
      <c r="A58" s="9" t="inlineStr">
        <is>
          <t>Q23_WATER_SOURCE</t>
        </is>
      </c>
      <c r="B58" s="10" t="inlineStr">
        <is>
          <t>Required, ∈ value set</t>
        </is>
      </c>
      <c r="C58" s="10" t="inlineStr">
        <is>
          <t>HARD</t>
        </is>
      </c>
    </row>
    <row r="59">
      <c r="A59" s="9" t="inlineStr">
        <is>
          <t>Q23 = Other</t>
        </is>
      </c>
      <c r="B59" s="10" t="inlineStr">
        <is>
          <t>`Q23_WATER_OTHER_TXT` required</t>
        </is>
      </c>
      <c r="C59" s="10" t="inlineStr">
        <is>
          <t>HARD</t>
        </is>
      </c>
    </row>
    <row r="60">
      <c r="A60" s="9" t="inlineStr">
        <is>
          <t>Q24 enabled</t>
        </is>
      </c>
      <c r="B60" s="10" t="inlineStr">
        <is>
          <t>`Q23_WATER_SOURCE ∈ {piped, faucet}` codes</t>
        </is>
      </c>
      <c r="C60" s="10" t="inlineStr">
        <is>
          <t>GATE</t>
        </is>
      </c>
    </row>
    <row r="61">
      <c r="A61" s="9" t="inlineStr">
        <is>
          <t>Q25 enabled</t>
        </is>
      </c>
      <c r="B61" s="10" t="inlineStr">
        <is>
          <t>`Q23_WATER_SOURCE ∈ {dug well, tube, spring}` codes</t>
        </is>
      </c>
      <c r="C61" s="10" t="inlineStr">
        <is>
          <t>GATE</t>
        </is>
      </c>
    </row>
    <row r="62">
      <c r="A62" s="9" t="inlineStr">
        <is>
          <t>Q26_REFRIGERATOR, Q27_TELEVISION, Q28_WASHING_MACHINE</t>
        </is>
      </c>
      <c r="B62" s="10" t="inlineStr">
        <is>
          <t>Required, ∈ {Yes, No}</t>
        </is>
      </c>
      <c r="C62" s="10" t="inlineStr">
        <is>
          <t>HARD</t>
        </is>
      </c>
    </row>
    <row r="63">
      <c r="A63" s="9" t="inlineStr">
        <is>
          <t>Q29_SOCIOECONOMIC_CLASS</t>
        </is>
      </c>
      <c r="B63" s="10" t="inlineStr">
        <is>
          <t>Auto-classified from Q22–Q28 (enumerator confirms)</t>
        </is>
      </c>
      <c r="C63" s="10" t="inlineStr">
        <is>
          <t>SOFT</t>
        </is>
      </c>
    </row>
    <row r="64">
      <c r="A64" s="9" t="inlineStr">
        <is>
          <t>MEMBER_LINE_NO</t>
        </is>
      </c>
      <c r="B64" s="10" t="inlineStr">
        <is>
          <t>Auto-incremented; unique per iteration</t>
        </is>
      </c>
      <c r="C64" s="10" t="inlineStr">
        <is>
          <t>HARD</t>
        </is>
      </c>
    </row>
    <row r="65">
      <c r="A65" s="9" t="inlineStr">
        <is>
          <t>Q30_NAME</t>
        </is>
      </c>
      <c r="B65" s="10" t="inlineStr">
        <is>
          <t>Required, non-blank</t>
        </is>
      </c>
      <c r="C65" s="10" t="inlineStr">
        <is>
          <t>HARD</t>
        </is>
      </c>
    </row>
    <row r="66">
      <c r="A66" s="9" t="inlineStr">
        <is>
          <t>Q31_PRESENT</t>
        </is>
      </c>
      <c r="B66" s="10" t="inlineStr">
        <is>
          <t>Required, ∈ {Yes, No}</t>
        </is>
      </c>
      <c r="C66" s="10" t="inlineStr">
        <is>
          <t>HARD</t>
        </is>
      </c>
    </row>
    <row r="67">
      <c r="A67" s="9" t="inlineStr">
        <is>
          <t>Q32_AGE</t>
        </is>
      </c>
      <c r="B67" s="10" t="inlineStr">
        <is>
          <t>`0 ≤ age ≤ 120`</t>
        </is>
      </c>
      <c r="C67" s="10" t="inlineStr">
        <is>
          <t>HARD</t>
        </is>
      </c>
    </row>
    <row r="68">
      <c r="A68" s="9" t="inlineStr">
        <is>
          <t>Q33_SEX</t>
        </is>
      </c>
      <c r="B68" s="10" t="inlineStr">
        <is>
          <t>Required, ∈ value set</t>
        </is>
      </c>
      <c r="C68" s="10" t="inlineStr">
        <is>
          <t>HARD</t>
        </is>
      </c>
    </row>
    <row r="69">
      <c r="A69" s="9" t="inlineStr">
        <is>
          <t>Q34_RELATIONSHIP</t>
        </is>
      </c>
      <c r="B69" s="10" t="inlineStr">
        <is>
          <t>Required, ∈ value set; first iteration should be `Self` or `Head`</t>
        </is>
      </c>
      <c r="C69" s="10" t="inlineStr">
        <is>
          <t>HARD + SOFT</t>
        </is>
      </c>
    </row>
    <row r="70">
      <c r="A70" s="9" t="inlineStr">
        <is>
          <t>Q35_HAS_DISABILITY</t>
        </is>
      </c>
      <c r="B70" s="10" t="inlineStr">
        <is>
          <t>Required, ∈ {Yes, No}</t>
        </is>
      </c>
      <c r="C70" s="10" t="inlineStr">
        <is>
          <t>HARD</t>
        </is>
      </c>
    </row>
    <row r="71">
      <c r="A71" s="9" t="inlineStr">
        <is>
          <t>Q36–Q38 enabled</t>
        </is>
      </c>
      <c r="B71" s="10" t="inlineStr">
        <is>
          <t>`Q35_HAS_DISABILITY = Yes`</t>
        </is>
      </c>
      <c r="C71" s="10" t="inlineStr">
        <is>
          <t>GATE</t>
        </is>
      </c>
    </row>
    <row r="72">
      <c r="A72" s="9" t="inlineStr">
        <is>
          <t>Q38 enabled</t>
        </is>
      </c>
      <c r="B72" s="10" t="inlineStr">
        <is>
          <t>`Q35 = Yes` and `Q37_PWD_CARD = Yes`</t>
        </is>
      </c>
      <c r="C72" s="10" t="inlineStr">
        <is>
          <t>GATE</t>
        </is>
      </c>
    </row>
    <row r="73">
      <c r="A73" s="9" t="inlineStr">
        <is>
          <t>Q38_DISABILITY_TYPE = Other</t>
        </is>
      </c>
      <c r="B73" s="10" t="inlineStr">
        <is>
          <t>`Q38_DISABILITY_OTHER_TXT` required</t>
        </is>
      </c>
      <c r="C73" s="10" t="inlineStr">
        <is>
          <t>HARD</t>
        </is>
      </c>
    </row>
    <row r="74">
      <c r="A74" s="9" t="inlineStr">
        <is>
          <t>Q39_CIVIL_STATUS</t>
        </is>
      </c>
      <c r="B74" s="10" t="inlineStr">
        <is>
          <t>Required, ∈ value set</t>
        </is>
      </c>
      <c r="C74" s="10" t="inlineStr">
        <is>
          <t>HARD</t>
        </is>
      </c>
    </row>
    <row r="75">
      <c r="A75" s="9" t="inlineStr">
        <is>
          <t>Q39 vs Q32</t>
        </is>
      </c>
      <c r="B75" s="10" t="inlineStr">
        <is>
          <t>If `Q32_AGE &lt; 15` and `Q39 ≠ Single`, SOFT warn (plausibility)</t>
        </is>
      </c>
      <c r="C75" s="10" t="inlineStr">
        <is>
          <t>SOFT</t>
        </is>
      </c>
    </row>
    <row r="76">
      <c r="A76" s="9" t="inlineStr">
        <is>
          <t>Q40_EDUCATION</t>
        </is>
      </c>
      <c r="B76" s="10" t="inlineStr">
        <is>
          <t>Required, ∈ value set</t>
        </is>
      </c>
      <c r="C76" s="10" t="inlineStr">
        <is>
          <t>HARD</t>
        </is>
      </c>
    </row>
    <row r="77">
      <c r="A77" s="9" t="inlineStr">
        <is>
          <t>Q41_EMPLOYMENT</t>
        </is>
      </c>
      <c r="B77" s="10" t="inlineStr">
        <is>
          <t>Required, ∈ value set</t>
        </is>
      </c>
      <c r="C77" s="10" t="inlineStr">
        <is>
          <t>HARD</t>
        </is>
      </c>
    </row>
    <row r="78">
      <c r="A78" s="9" t="inlineStr">
        <is>
          <t>Q42_GSIS, Q43_SSS, Q44_PAGIBIG</t>
        </is>
      </c>
      <c r="B78" s="10" t="inlineStr">
        <is>
          <t>Required, ∈ {Yes, No, Don't know}</t>
        </is>
      </c>
      <c r="C78" s="10" t="inlineStr">
        <is>
          <t>HARD</t>
        </is>
      </c>
    </row>
    <row r="79">
      <c r="A79" s="9" t="inlineStr">
        <is>
          <t>Q45_PHILHEALTH_REG</t>
        </is>
      </c>
      <c r="B79" s="10" t="inlineStr">
        <is>
          <t>Required, ∈ value set</t>
        </is>
      </c>
      <c r="C79" s="10" t="inlineStr">
        <is>
          <t>HARD</t>
        </is>
      </c>
    </row>
    <row r="80">
      <c r="A80" s="9" t="inlineStr">
        <is>
          <t>Q45.1 enabled (Q45_1_PIN_REG_WHEN)</t>
        </is>
      </c>
      <c r="B80" s="10" t="inlineStr">
        <is>
          <t>`Q45_PHILHEALTH_REG = Yes` — ✅ built+deployed (#794); select-one 1–4 + 5 IDK[DNR] + 6 Refuse[DNR]; per-member, main-respondent-only</t>
        </is>
      </c>
      <c r="C80" s="10" t="inlineStr">
        <is>
          <t>GATE</t>
        </is>
      </c>
    </row>
    <row r="81">
      <c r="A81" s="9" t="inlineStr">
        <is>
          <t>Q45.2 enabled (Q45_2_WHY_NOT_REG)</t>
        </is>
      </c>
      <c r="B81" s="10" t="inlineStr">
        <is>
          <t>`Q45_PHILHEALTH_REG = No` — ✅ built+deployed (#795); single-select 01–08 + 88 Other→`_OTHER_TXT`; per-member, main-respondent-only</t>
        </is>
      </c>
      <c r="C81" s="10" t="inlineStr">
        <is>
          <t>GATE</t>
        </is>
      </c>
    </row>
    <row r="82">
      <c r="A82" s="9" t="inlineStr">
        <is>
          <t>Q46 enabled</t>
        </is>
      </c>
      <c r="B82" s="10" t="inlineStr">
        <is>
          <t>`Q45_PHILHEALTH_REG = Yes`</t>
        </is>
      </c>
      <c r="C82" s="10" t="inlineStr">
        <is>
          <t>GATE</t>
        </is>
      </c>
    </row>
    <row r="83">
      <c r="A83" s="9" t="inlineStr">
        <is>
          <t>Q46_MEMBER_CATEGORY = Other</t>
        </is>
      </c>
      <c r="B83" s="10" t="inlineStr">
        <is>
          <t>`Q46_MEMBER_OTHER_TXT` required</t>
        </is>
      </c>
      <c r="C83" s="10" t="inlineStr">
        <is>
          <t>HARD</t>
        </is>
      </c>
    </row>
    <row r="84">
      <c r="A84" s="9" t="inlineStr">
        <is>
          <t>Q48_NAME_FIRST</t>
        </is>
      </c>
      <c r="B84" s="10" t="inlineStr">
        <is>
          <t>Required when `Q45 = Yes`, non-blank</t>
        </is>
      </c>
      <c r="C84" s="10" t="inlineStr">
        <is>
          <t>HARD</t>
        </is>
      </c>
    </row>
    <row r="85">
      <c r="A85" s="9" t="inlineStr">
        <is>
          <t>Q49_PRIVATE_INS</t>
        </is>
      </c>
      <c r="B85" s="10" t="inlineStr">
        <is>
          <t>Required, ∈ value set</t>
        </is>
      </c>
      <c r="C85" s="10" t="inlineStr">
        <is>
          <t>HARD</t>
        </is>
      </c>
    </row>
    <row r="86">
      <c r="A86" s="9" t="inlineStr">
        <is>
          <t>Q49 = Other</t>
        </is>
      </c>
      <c r="B86" s="10" t="inlineStr">
        <is>
          <t>`Q50_PRIVATE_INS_OTHER_TXT` required</t>
        </is>
      </c>
      <c r="C86" s="10" t="inlineStr">
        <is>
          <t>HARD</t>
        </is>
      </c>
    </row>
    <row r="87">
      <c r="A87" s="9" t="inlineStr">
        <is>
          <t>Post-roster: count(C_HOUSEHOLD_ROSTER) = Q19_HH_SIZE_TOTAL</t>
        </is>
      </c>
      <c r="B87" s="10" t="inlineStr">
        <is>
          <t>Blocks save if mismatch (tunable ±1 for respondent-in-roster convention)</t>
        </is>
      </c>
      <c r="C87" s="10" t="inlineStr">
        <is>
          <t>HARD</t>
        </is>
      </c>
    </row>
    <row r="88">
      <c r="A88" s="9" t="inlineStr">
        <is>
          <t>Post-roster: Q47_HH_HAS_PRIVATE_INS</t>
        </is>
      </c>
      <c r="B88" s="10" t="inlineStr">
        <is>
          <t>Auto-set to Yes if any `Q49_PRIVATE_INS = Yes` in roster; enumerator confirms</t>
        </is>
      </c>
      <c r="C88" s="10" t="inlineStr">
        <is>
          <t>SOFT</t>
        </is>
      </c>
    </row>
    <row r="89">
      <c r="A89" s="9" t="inlineStr">
        <is>
          <t>Q51_UHC_HEARD</t>
        </is>
      </c>
      <c r="B89" s="10" t="inlineStr">
        <is>
          <t>Required, ∈ {Yes, No, Don't know}</t>
        </is>
      </c>
      <c r="C89" s="10" t="inlineStr">
        <is>
          <t>HARD</t>
        </is>
      </c>
    </row>
    <row r="90">
      <c r="A90" s="9" t="inlineStr">
        <is>
          <t>Q52, Q53 enabled</t>
        </is>
      </c>
      <c r="B90" s="10" t="inlineStr">
        <is>
          <t>`Q51_UHC_HEARD = Yes`</t>
        </is>
      </c>
      <c r="C90" s="10" t="inlineStr">
        <is>
          <t>GATE</t>
        </is>
      </c>
    </row>
    <row r="91">
      <c r="A91" s="9" t="inlineStr">
        <is>
          <t>Q52_UHC_SOURCE select-all</t>
        </is>
      </c>
      <c r="B91" s="10" t="inlineStr">
        <is>
          <t>≥ 1 option ticked when enabled</t>
        </is>
      </c>
      <c r="C91" s="10" t="inlineStr">
        <is>
          <t>HARD</t>
        </is>
      </c>
    </row>
    <row r="92">
      <c r="A92" s="9" t="inlineStr">
        <is>
          <t>Q52_UHC_SOURCE "I don't know" equivalent</t>
        </is>
      </c>
      <c r="B92" s="10" t="inlineStr">
        <is>
          <t>Cannot be combined with any other option</t>
        </is>
      </c>
      <c r="C92" s="10" t="inlineStr">
        <is>
          <t>HARD</t>
        </is>
      </c>
    </row>
    <row r="93">
      <c r="A93" s="9" t="inlineStr">
        <is>
          <t>Q52 = Other</t>
        </is>
      </c>
      <c r="B93" s="10" t="inlineStr">
        <is>
          <t>`Q52_UHC_SOURCE_OTHER_TXT` required</t>
        </is>
      </c>
      <c r="C93" s="10" t="inlineStr">
        <is>
          <t>HARD</t>
        </is>
      </c>
    </row>
    <row r="94">
      <c r="A94" s="9" t="inlineStr">
        <is>
          <t>Q53_UHC_UNDERSTAND select-all</t>
        </is>
      </c>
      <c r="B94" s="10" t="inlineStr">
        <is>
          <t>≥ 1 option ticked when enabled</t>
        </is>
      </c>
      <c r="C94" s="10" t="inlineStr">
        <is>
          <t>HARD</t>
        </is>
      </c>
    </row>
    <row r="95">
      <c r="A95" s="9" t="inlineStr">
        <is>
          <t>Q53 = Other</t>
        </is>
      </c>
      <c r="B95" s="10" t="inlineStr">
        <is>
          <t>`Q53_UHC_UNDERSTAND_OTHER_TXT` required</t>
        </is>
      </c>
      <c r="C95" s="10" t="inlineStr">
        <is>
          <t>HARD</t>
        </is>
      </c>
    </row>
    <row r="96">
      <c r="A96" s="9" t="inlineStr">
        <is>
          <t>Q54_YAKAP_HEARD</t>
        </is>
      </c>
      <c r="B96" s="10" t="inlineStr">
        <is>
          <t>Required, ∈ {Yes, No, Don't know}</t>
        </is>
      </c>
      <c r="C96" s="10" t="inlineStr">
        <is>
          <t>HARD</t>
        </is>
      </c>
    </row>
    <row r="97">
      <c r="A97" s="9" t="inlineStr">
        <is>
          <t>Q55, Q56 enabled</t>
        </is>
      </c>
      <c r="B97" s="10" t="inlineStr">
        <is>
          <t>`Q54_YAKAP_HEARD = Yes`</t>
        </is>
      </c>
      <c r="C97" s="10" t="inlineStr">
        <is>
          <t>GATE</t>
        </is>
      </c>
    </row>
    <row r="98">
      <c r="A98" s="9" t="inlineStr">
        <is>
          <t>Q55_YAKAP_SOURCE / Q56_YAKAP_UNDERSTAND select-all</t>
        </is>
      </c>
      <c r="B98" s="10" t="inlineStr">
        <is>
          <t>≥ 1 option ticked when enabled; "Don't know" mutex; `_OTHER_TXT` required on Other</t>
        </is>
      </c>
      <c r="C98" s="10" t="inlineStr">
        <is>
          <t>HARD</t>
        </is>
      </c>
    </row>
    <row r="99">
      <c r="A99" s="9" t="inlineStr">
        <is>
          <t>Q57_BUCAS_HEARD</t>
        </is>
      </c>
      <c r="B99" s="10" t="inlineStr">
        <is>
          <t>Required, ∈ {Yes, No, Don't know}</t>
        </is>
      </c>
      <c r="C99" s="10" t="inlineStr">
        <is>
          <t>HARD</t>
        </is>
      </c>
    </row>
    <row r="100">
      <c r="A100" s="9" t="inlineStr">
        <is>
          <t>Q58, Q59 enabled</t>
        </is>
      </c>
      <c r="B100" s="10" t="inlineStr">
        <is>
          <t>`Q57_BUCAS_HEARD = Yes`</t>
        </is>
      </c>
      <c r="C100" s="10" t="inlineStr">
        <is>
          <t>GATE</t>
        </is>
      </c>
    </row>
    <row r="101">
      <c r="A101" s="9" t="inlineStr">
        <is>
          <t>Q58_BUCAS_SOURCE / Q59_BUCAS_UNDERSTAND</t>
        </is>
      </c>
      <c r="B101" s="10" t="inlineStr">
        <is>
          <t>Select-all; "Don't know" mutex; `_OTHER_TXT` on Other</t>
        </is>
      </c>
      <c r="C101" s="10" t="inlineStr">
        <is>
          <t>HARD</t>
        </is>
      </c>
    </row>
    <row r="102">
      <c r="A102" s="9" t="inlineStr">
        <is>
          <t>Q60_BUCAS_ACCESSED</t>
        </is>
      </c>
      <c r="B102" s="10" t="inlineStr">
        <is>
          <t>Required when `Q57 = Yes`, ∈ {Yes, No}</t>
        </is>
      </c>
      <c r="C102" s="10" t="inlineStr">
        <is>
          <t>HARD</t>
        </is>
      </c>
    </row>
    <row r="103">
      <c r="A103" s="9" t="inlineStr">
        <is>
          <t>Q61 enabled</t>
        </is>
      </c>
      <c r="B103" s="10" t="inlineStr">
        <is>
          <t>`Q60_BUCAS_ACCESSED = Yes`</t>
        </is>
      </c>
      <c r="C103" s="10" t="inlineStr">
        <is>
          <t>GATE</t>
        </is>
      </c>
    </row>
    <row r="104">
      <c r="A104" s="9" t="inlineStr">
        <is>
          <t>Q61_BUCAS_SERVICES select-all</t>
        </is>
      </c>
      <c r="B104" s="10" t="inlineStr">
        <is>
          <t>≥ 1 option ticked when enabled</t>
        </is>
      </c>
      <c r="C104" s="10" t="inlineStr">
        <is>
          <t>HARD</t>
        </is>
      </c>
    </row>
    <row r="105">
      <c r="A105" s="9" t="inlineStr">
        <is>
          <t>Q61 = Other</t>
        </is>
      </c>
      <c r="B105" s="10" t="inlineStr">
        <is>
          <t>`Q61_BUCAS_SERVICES_OTHER_TXT` required</t>
        </is>
      </c>
      <c r="C105" s="10" t="inlineStr">
        <is>
          <t>HARD</t>
        </is>
      </c>
    </row>
    <row r="106">
      <c r="A106" s="9" t="inlineStr">
        <is>
          <t>Q62_PURCHASE_FREQ</t>
        </is>
      </c>
      <c r="B106" s="10" t="inlineStr">
        <is>
          <t>Required, ∈ {1–5}</t>
        </is>
      </c>
      <c r="C106" s="10" t="inlineStr">
        <is>
          <t>HARD</t>
        </is>
      </c>
    </row>
    <row r="107">
      <c r="A107" s="9" t="inlineStr">
        <is>
          <t>Q63–Q68 enabled</t>
        </is>
      </c>
      <c r="B107" s="10" t="inlineStr">
        <is>
          <t>`Q62_PURCHASE_FREQ ≠ 5 (Never)`</t>
        </is>
      </c>
      <c r="C107" s="10" t="inlineStr">
        <is>
          <t>GATE</t>
        </is>
      </c>
    </row>
    <row r="108">
      <c r="A108" s="9" t="inlineStr">
        <is>
          <t>Q63_PRESCRIPTION_TYPE</t>
        </is>
      </c>
      <c r="B108" s="10" t="inlineStr">
        <is>
          <t>Required when enabled, ∈ value set</t>
        </is>
      </c>
      <c r="C108" s="10" t="inlineStr">
        <is>
          <t>HARD</t>
        </is>
      </c>
    </row>
    <row r="109">
      <c r="A109" s="9" t="inlineStr">
        <is>
          <t>Q64_MEDICATIONS_LIST</t>
        </is>
      </c>
      <c r="B109" s="10" t="inlineStr">
        <is>
          <t>Required when enabled, non-blank; ≤ 240 chars (monitor per F3 note)</t>
        </is>
      </c>
      <c r="C109" s="10" t="inlineStr">
        <is>
          <t>HARD</t>
        </is>
      </c>
    </row>
    <row r="110">
      <c r="A110" s="9" t="inlineStr">
        <is>
          <t>Q65_CONDITIONS select-all</t>
        </is>
      </c>
      <c r="B110" s="10" t="inlineStr">
        <is>
          <t>≥ 1 option ticked when enabled</t>
        </is>
      </c>
      <c r="C110" s="10" t="inlineStr">
        <is>
          <t>HARD</t>
        </is>
      </c>
    </row>
    <row r="111">
      <c r="A111" s="9" t="inlineStr">
        <is>
          <t>Q65 = "No condition — regular check-up only"</t>
        </is>
      </c>
      <c r="B111" s="10" t="inlineStr">
        <is>
          <t>Cannot combine with any other option</t>
        </is>
      </c>
      <c r="C111" s="10" t="inlineStr">
        <is>
          <t>HARD</t>
        </is>
      </c>
    </row>
    <row r="112">
      <c r="A112" s="9" t="inlineStr">
        <is>
          <t>Q65 = Other</t>
        </is>
      </c>
      <c r="B112" s="10" t="inlineStr">
        <is>
          <t>`Q65_CONDITIONS_OTHER_TXT` required</t>
        </is>
      </c>
      <c r="C112" s="10" t="inlineStr">
        <is>
          <t>HARD</t>
        </is>
      </c>
    </row>
    <row r="113">
      <c r="A113" s="9" t="inlineStr">
        <is>
          <t>Q66_WHERE_BUY select-all</t>
        </is>
      </c>
      <c r="B113" s="10" t="inlineStr">
        <is>
          <t>≥ 1 option ticked when enabled</t>
        </is>
      </c>
      <c r="C113" s="10" t="inlineStr">
        <is>
          <t>HARD</t>
        </is>
      </c>
    </row>
    <row r="114">
      <c r="A114" s="9" t="inlineStr">
        <is>
          <t>Q66 = Other</t>
        </is>
      </c>
      <c r="B114" s="10" t="inlineStr">
        <is>
          <t>`Q66_WHERE_BUY_OTHER_TXT` required</t>
        </is>
      </c>
      <c r="C114" s="10" t="inlineStr">
        <is>
          <t>HARD</t>
        </is>
      </c>
    </row>
    <row r="115">
      <c r="A115" s="9" t="inlineStr">
        <is>
          <t>Q67_TIME_TO_PHARMACY</t>
        </is>
      </c>
      <c r="B115" s="10" t="inlineStr">
        <is>
          <t>`0 ≤ t ≤ 1440` minutes (24h cap)</t>
        </is>
      </c>
      <c r="C115" s="10" t="inlineStr">
        <is>
          <t>HARD</t>
        </is>
      </c>
    </row>
    <row r="116">
      <c r="A116" s="9" t="inlineStr">
        <is>
          <t>Q68_PHARMACY_ACCESS</t>
        </is>
      </c>
      <c r="B116" s="10" t="inlineStr">
        <is>
          <t>Required when enabled, ∈ value set</t>
        </is>
      </c>
      <c r="C116" s="10" t="inlineStr">
        <is>
          <t>HARD</t>
        </is>
      </c>
    </row>
    <row r="117">
      <c r="A117" s="9" t="inlineStr">
        <is>
          <t>Q69_GAMOT_HEARD</t>
        </is>
      </c>
      <c r="B117" s="10" t="inlineStr">
        <is>
          <t>Required, ∈ {Yes, No}</t>
        </is>
      </c>
      <c r="C117" s="10" t="inlineStr">
        <is>
          <t>HARD</t>
        </is>
      </c>
    </row>
    <row r="118">
      <c r="A118" s="9" t="inlineStr">
        <is>
          <t>Q70–Q74 enabled</t>
        </is>
      </c>
      <c r="B118" s="10" t="inlineStr">
        <is>
          <t>`Q69_GAMOT_HEARD = Yes`</t>
        </is>
      </c>
      <c r="C118" s="10" t="inlineStr">
        <is>
          <t>GATE</t>
        </is>
      </c>
    </row>
    <row r="119">
      <c r="A119" s="9" t="inlineStr">
        <is>
          <t>Q70_GAMOT_SOURCE / Q71_GAMOT_UNDERSTAND</t>
        </is>
      </c>
      <c r="B119" s="10" t="inlineStr">
        <is>
          <t>Select-all; "Don't know" mutex; `_OTHER_TXT` on Other</t>
        </is>
      </c>
      <c r="C119" s="10" t="inlineStr">
        <is>
          <t>HARD</t>
        </is>
      </c>
    </row>
    <row r="120">
      <c r="A120" s="9" t="inlineStr">
        <is>
          <t>Q72_GAMOT_OBTAINED</t>
        </is>
      </c>
      <c r="B120" s="10" t="inlineStr">
        <is>
          <t>Required when enabled, ∈ {Yes, No}</t>
        </is>
      </c>
      <c r="C120" s="10" t="inlineStr">
        <is>
          <t>HARD</t>
        </is>
      </c>
    </row>
    <row r="121">
      <c r="A121" s="9" t="inlineStr">
        <is>
          <t>Q73, Q74 enabled</t>
        </is>
      </c>
      <c r="B121" s="10" t="inlineStr">
        <is>
          <t>`Q72_GAMOT_OBTAINED = Yes`</t>
        </is>
      </c>
      <c r="C121" s="10" t="inlineStr">
        <is>
          <t>GATE</t>
        </is>
      </c>
    </row>
    <row r="122">
      <c r="A122" s="9" t="inlineStr">
        <is>
          <t>Q73_GAMOT_MEDS_LIST</t>
        </is>
      </c>
      <c r="B122" s="10" t="inlineStr">
        <is>
          <t>Required when enabled, non-blank; ≤ 240 chars</t>
        </is>
      </c>
      <c r="C122" s="10" t="inlineStr">
        <is>
          <t>HARD</t>
        </is>
      </c>
    </row>
    <row r="123">
      <c r="A123" s="9" t="inlineStr">
        <is>
          <t>Q74_WHERE_REST select-all</t>
        </is>
      </c>
      <c r="B123" s="10" t="inlineStr">
        <is>
          <t>≥ 1 option ticked when enabled</t>
        </is>
      </c>
      <c r="C123" s="10" t="inlineStr">
        <is>
          <t>HARD</t>
        </is>
      </c>
    </row>
    <row r="124">
      <c r="A124" s="9" t="inlineStr">
        <is>
          <t>Q74 = Other</t>
        </is>
      </c>
      <c r="B124" s="10" t="inlineStr">
        <is>
          <t>`Q74_WHERE_REST_OTHER_TXT` required</t>
        </is>
      </c>
      <c r="C124" s="10" t="inlineStr">
        <is>
          <t>HARD</t>
        </is>
      </c>
    </row>
    <row r="125">
      <c r="A125" s="9" t="inlineStr">
        <is>
          <t>Q75_BRAND_GEN_KNOWS</t>
        </is>
      </c>
      <c r="B125" s="10" t="inlineStr">
        <is>
          <t>Required, ∈ {Yes, No}</t>
        </is>
      </c>
      <c r="C125" s="10" t="inlineStr">
        <is>
          <t>HARD</t>
        </is>
      </c>
    </row>
    <row r="126">
      <c r="A126" s="9" t="inlineStr">
        <is>
          <t>Q76–Q78 enabled</t>
        </is>
      </c>
      <c r="B126" s="10" t="inlineStr">
        <is>
          <t>`Q75_BRAND_GEN_KNOWS = Yes`</t>
        </is>
      </c>
      <c r="C126" s="10" t="inlineStr">
        <is>
          <t>GATE</t>
        </is>
      </c>
    </row>
    <row r="127">
      <c r="A127" s="9" t="inlineStr">
        <is>
          <t>Q76_BRAND_OR_GEN</t>
        </is>
      </c>
      <c r="B127" s="10" t="inlineStr">
        <is>
          <t>Required when enabled, ∈ value set</t>
        </is>
      </c>
      <c r="C127" s="10" t="inlineStr">
        <is>
          <t>HARD</t>
        </is>
      </c>
    </row>
    <row r="128">
      <c r="A128" s="9" t="inlineStr">
        <is>
          <t>Q77 enabled</t>
        </is>
      </c>
      <c r="B128" s="10" t="inlineStr">
        <is>
          <t>`Q76_BRAND_OR_GEN ∈ {Generic, Both}`</t>
        </is>
      </c>
      <c r="C128" s="10" t="inlineStr">
        <is>
          <t>GATE</t>
        </is>
      </c>
    </row>
    <row r="129">
      <c r="A129" s="9" t="inlineStr">
        <is>
          <t>Q78 enabled</t>
        </is>
      </c>
      <c r="B129" s="10" t="inlineStr">
        <is>
          <t>`Q76_BRAND_OR_GEN ∈ {Branded, Both}`</t>
        </is>
      </c>
      <c r="C129" s="10" t="inlineStr">
        <is>
          <t>GATE</t>
        </is>
      </c>
    </row>
    <row r="130">
      <c r="A130" s="9" t="inlineStr">
        <is>
          <t>Q77_WHY_GENERIC / Q78_WHY_BRANDED</t>
        </is>
      </c>
      <c r="B130" s="10" t="inlineStr">
        <is>
          <t>Select-all; "Don't know" mutex; `_OTHER_TXT` on Other</t>
        </is>
      </c>
      <c r="C130" s="10" t="inlineStr">
        <is>
          <t>HARD</t>
        </is>
      </c>
    </row>
    <row r="131">
      <c r="A131" s="9" t="inlineStr">
        <is>
          <t>Section H enabled</t>
        </is>
      </c>
      <c r="B131" s="10" t="inlineStr">
        <is>
          <t>RESPONDENT (roster line 1) has `Q45_PHILHEALTH_REG = Yes` (#649)</t>
        </is>
      </c>
      <c r="C131" s="10" t="inlineStr">
        <is>
          <t>GATE</t>
        </is>
      </c>
    </row>
    <row r="132">
      <c r="A132" s="9" t="inlineStr">
        <is>
          <t>Q79_REG_SOURCE</t>
        </is>
      </c>
      <c r="B132" s="10" t="inlineStr">
        <is>
          <t>Required, ∈ value set</t>
        </is>
      </c>
      <c r="C132" s="10" t="inlineStr">
        <is>
          <t>HARD</t>
        </is>
      </c>
    </row>
    <row r="133">
      <c r="A133" s="9" t="inlineStr">
        <is>
          <t>Q79 = Other</t>
        </is>
      </c>
      <c r="B133" s="10" t="inlineStr">
        <is>
          <t>`Q79_REG_SOURCE_OTHER_TXT` required</t>
        </is>
      </c>
      <c r="C133" s="10" t="inlineStr">
        <is>
          <t>HARD</t>
        </is>
      </c>
    </row>
    <row r="134">
      <c r="A134" s="9" t="inlineStr">
        <is>
          <t>Q80_ASSIST</t>
        </is>
      </c>
      <c r="B134" s="10" t="inlineStr">
        <is>
          <t>Required, ∈ value set</t>
        </is>
      </c>
      <c r="C134" s="10" t="inlineStr">
        <is>
          <t>HARD</t>
        </is>
      </c>
    </row>
    <row r="135">
      <c r="A135" s="9" t="inlineStr">
        <is>
          <t>Q80 = Other</t>
        </is>
      </c>
      <c r="B135" s="10" t="inlineStr">
        <is>
          <t>`Q80_ASSIST_OTHER_TXT` required</t>
        </is>
      </c>
      <c r="C135" s="10" t="inlineStr">
        <is>
          <t>HARD</t>
        </is>
      </c>
    </row>
    <row r="136">
      <c r="A136" s="9" t="inlineStr">
        <is>
          <t>Q81_REG_DIFFICULTY</t>
        </is>
      </c>
      <c r="B136" s="10" t="inlineStr">
        <is>
          <t>Required, ∈ {Yes, No}</t>
        </is>
      </c>
      <c r="C136" s="10" t="inlineStr">
        <is>
          <t>HARD</t>
        </is>
      </c>
    </row>
    <row r="137">
      <c r="A137" s="9" t="inlineStr">
        <is>
          <t>Q82 enabled</t>
        </is>
      </c>
      <c r="B137" s="10" t="inlineStr">
        <is>
          <t>`Q81 = Yes`</t>
        </is>
      </c>
      <c r="C137" s="10" t="inlineStr">
        <is>
          <t>GATE</t>
        </is>
      </c>
    </row>
    <row r="138">
      <c r="A138" s="9" t="inlineStr">
        <is>
          <t>Q82_DIFFICULTY_REASONS select-all</t>
        </is>
      </c>
      <c r="B138" s="10" t="inlineStr">
        <is>
          <t>≥ 1 option when enabled</t>
        </is>
      </c>
      <c r="C138" s="10" t="inlineStr">
        <is>
          <t>HARD</t>
        </is>
      </c>
    </row>
    <row r="139">
      <c r="A139" s="9" t="inlineStr">
        <is>
          <t>Q82 = Other</t>
        </is>
      </c>
      <c r="B139" s="10" t="inlineStr">
        <is>
          <t>`Q82_DIFFICULTY_REASONS_OTHER_TXT` required</t>
        </is>
      </c>
      <c r="C139" s="10" t="inlineStr">
        <is>
          <t>HARD</t>
        </is>
      </c>
    </row>
    <row r="140">
      <c r="A140" s="9" t="inlineStr">
        <is>
          <t>Q83_KNOWS_ASSIST</t>
        </is>
      </c>
      <c r="B140" s="10" t="inlineStr">
        <is>
          <t>Required, ∈ {Yes, No}</t>
        </is>
      </c>
      <c r="C140" s="10" t="inlineStr">
        <is>
          <t>HARD</t>
        </is>
      </c>
    </row>
    <row r="141">
      <c r="A141" s="9" t="inlineStr">
        <is>
          <t>Q84 enabled</t>
        </is>
      </c>
      <c r="B141" s="10" t="inlineStr">
        <is>
          <t>`Q83 = Yes`</t>
        </is>
      </c>
      <c r="C141" s="10" t="inlineStr">
        <is>
          <t>GATE</t>
        </is>
      </c>
    </row>
    <row r="142">
      <c r="A142" s="9" t="inlineStr">
        <is>
          <t>Q84_WHERE_ASSIST</t>
        </is>
      </c>
      <c r="B142" s="10" t="inlineStr">
        <is>
          <t>Required when enabled, non-blank</t>
        </is>
      </c>
      <c r="C142" s="10" t="inlineStr">
        <is>
          <t>HARD</t>
        </is>
      </c>
    </row>
    <row r="143">
      <c r="A143" s="9" t="inlineStr">
        <is>
          <t>Q85_BENEFITS select-all</t>
        </is>
      </c>
      <c r="B143" s="10" t="inlineStr">
        <is>
          <t>≥ 1 option ticked</t>
        </is>
      </c>
      <c r="C143" s="10" t="inlineStr">
        <is>
          <t>HARD</t>
        </is>
      </c>
    </row>
    <row r="144">
      <c r="A144" s="9" t="inlineStr">
        <is>
          <t>Q85 = Other</t>
        </is>
      </c>
      <c r="B144" s="10" t="inlineStr">
        <is>
          <t>`Q85_BENEFITS_OTHER_TXT` required</t>
        </is>
      </c>
      <c r="C144" s="10" t="inlineStr">
        <is>
          <t>HARD</t>
        </is>
      </c>
    </row>
    <row r="145">
      <c r="A145" s="9" t="inlineStr">
        <is>
          <t>Q86_PREMIUM_PAY</t>
        </is>
      </c>
      <c r="B145" s="10" t="inlineStr">
        <is>
          <t>Required, ∈ {Yes, No}; `= Yes` only if roster shows a premium-paying category</t>
        </is>
      </c>
      <c r="C145" s="10" t="inlineStr">
        <is>
          <t>HARD + SOFT</t>
        </is>
      </c>
    </row>
    <row r="146">
      <c r="A146" s="9" t="inlineStr">
        <is>
          <t>Q87, Q88 enabled</t>
        </is>
      </c>
      <c r="B146" s="10" t="inlineStr">
        <is>
          <t>`Q86_PREMIUM_PAY = Yes`</t>
        </is>
      </c>
      <c r="C146" s="10" t="inlineStr">
        <is>
          <t>GATE</t>
        </is>
      </c>
    </row>
    <row r="147">
      <c r="A147" s="9" t="inlineStr">
        <is>
          <t>Q87_PREMIUM_DIFFICULT</t>
        </is>
      </c>
      <c r="B147" s="10" t="inlineStr">
        <is>
          <t>Required when enabled, ∈ {Yes, No}</t>
        </is>
      </c>
      <c r="C147" s="10" t="inlineStr">
        <is>
          <t>HARD</t>
        </is>
      </c>
    </row>
    <row r="148">
      <c r="A148" s="9" t="inlineStr">
        <is>
          <t>Q88 enabled</t>
        </is>
      </c>
      <c r="B148" s="10" t="inlineStr">
        <is>
          <t>`Q87 = Yes`</t>
        </is>
      </c>
      <c r="C148" s="10" t="inlineStr">
        <is>
          <t>GATE</t>
        </is>
      </c>
    </row>
    <row r="149">
      <c r="A149" s="9" t="inlineStr">
        <is>
          <t>Q88_DIFF_PAYING select-all</t>
        </is>
      </c>
      <c r="B149" s="10" t="inlineStr">
        <is>
          <t>≥ 1 option when enabled; `_OTHER_TXT` on Other</t>
        </is>
      </c>
      <c r="C149" s="10" t="inlineStr">
        <is>
          <t>HARD</t>
        </is>
      </c>
    </row>
    <row r="150">
      <c r="A150" s="9" t="inlineStr">
        <is>
          <t>Q89_HAS_USUAL_FACILITY</t>
        </is>
      </c>
      <c r="B150" s="10" t="inlineStr">
        <is>
          <t>Required, ∈ {Yes, No}</t>
        </is>
      </c>
      <c r="C150" s="10" t="inlineStr">
        <is>
          <t>HARD</t>
        </is>
      </c>
    </row>
    <row r="151">
      <c r="A151" s="9" t="inlineStr">
        <is>
          <t>Q89.1, Q90 enabled</t>
        </is>
      </c>
      <c r="B151" s="10" t="inlineStr">
        <is>
          <t>`Q89 = Yes`</t>
        </is>
      </c>
      <c r="C151" s="10" t="inlineStr">
        <is>
          <t>GATE</t>
        </is>
      </c>
    </row>
    <row r="152">
      <c r="A152" s="9" t="inlineStr">
        <is>
          <t>Q89_1_FACILITY_NAME</t>
        </is>
      </c>
      <c r="B152" s="10" t="inlineStr">
        <is>
          <t>Required when enabled, non-blank</t>
        </is>
      </c>
      <c r="C152" s="10" t="inlineStr">
        <is>
          <t>HARD</t>
        </is>
      </c>
    </row>
    <row r="153">
      <c r="A153" s="9" t="inlineStr">
        <is>
          <t>Q90_IS_USUAL_FOR_GENERAL</t>
        </is>
      </c>
      <c r="B153" s="10" t="inlineStr">
        <is>
          <t>Required when enabled, ∈ {Yes, No}</t>
        </is>
      </c>
      <c r="C153" s="10" t="inlineStr">
        <is>
          <t>HARD</t>
        </is>
      </c>
    </row>
    <row r="154">
      <c r="A154" s="9" t="inlineStr">
        <is>
          <t>Q91, Q92 enabled</t>
        </is>
      </c>
      <c r="B154" s="10" t="inlineStr">
        <is>
          <t>`Q89 = Yes` and `Q90 = No`</t>
        </is>
      </c>
      <c r="C154" s="10" t="inlineStr">
        <is>
          <t>GATE</t>
        </is>
      </c>
    </row>
    <row r="155">
      <c r="A155" s="9" t="inlineStr">
        <is>
          <t>Q93 enabled</t>
        </is>
      </c>
      <c r="B155" s="10" t="inlineStr">
        <is>
          <t>`Q89 = No`</t>
        </is>
      </c>
      <c r="C155" s="10" t="inlineStr">
        <is>
          <t>GATE</t>
        </is>
      </c>
    </row>
    <row r="156">
      <c r="A156" s="9" t="inlineStr">
        <is>
          <t>Q91_WHY_WENT / Q93_WHY_NOT select-all</t>
        </is>
      </c>
      <c r="B156" s="10" t="inlineStr">
        <is>
          <t>≥ 1 option; `_OTHER_TXT` on Other</t>
        </is>
      </c>
      <c r="C156" s="10" t="inlineStr">
        <is>
          <t>HARD</t>
        </is>
      </c>
    </row>
    <row r="157">
      <c r="A157" s="9" t="inlineStr">
        <is>
          <t>Q92_FACILITY_TYPE</t>
        </is>
      </c>
      <c r="B157" s="10" t="inlineStr">
        <is>
          <t>Required when enabled, ∈ value set; `Other` → `_OTHER_TXT`</t>
        </is>
      </c>
      <c r="C157" s="10" t="inlineStr">
        <is>
          <t>HARD</t>
        </is>
      </c>
    </row>
    <row r="158">
      <c r="A158" s="9" t="inlineStr">
        <is>
          <t>Q94_TRANSPORT select-all</t>
        </is>
      </c>
      <c r="B158" s="10" t="inlineStr">
        <is>
          <t>≥ 1 option; `_OTHER_TXT` on Other</t>
        </is>
      </c>
      <c r="C158" s="10" t="inlineStr">
        <is>
          <t>HARD</t>
        </is>
      </c>
    </row>
    <row r="159">
      <c r="A159" s="9" t="inlineStr">
        <is>
          <t>Q95_TRAVEL_TIME_MIN</t>
        </is>
      </c>
      <c r="B159" s="10" t="inlineStr">
        <is>
          <t>`0 ≤ t ≤ 1440` minutes</t>
        </is>
      </c>
      <c r="C159" s="10" t="inlineStr">
        <is>
          <t>HARD</t>
        </is>
      </c>
    </row>
    <row r="160">
      <c r="A160" s="9" t="inlineStr">
        <is>
          <t>Q96_TRAVEL_COST_PHP</t>
        </is>
      </c>
      <c r="B160" s="10" t="inlineStr">
        <is>
          <t>`0 ≤ amt ≤ 99,999`</t>
        </is>
      </c>
      <c r="C160" s="10" t="inlineStr">
        <is>
          <t>HARD</t>
        </is>
      </c>
    </row>
    <row r="161">
      <c r="A161" s="9" t="inlineStr">
        <is>
          <t>Q97_KNOWS_BOOKING</t>
        </is>
      </c>
      <c r="B161" s="10" t="inlineStr">
        <is>
          <t>Required, ∈ {Yes, No}</t>
        </is>
      </c>
      <c r="C161" s="10" t="inlineStr">
        <is>
          <t>HARD</t>
        </is>
      </c>
    </row>
    <row r="162">
      <c r="A162" s="9" t="inlineStr">
        <is>
          <t>Q98, Q99 enabled</t>
        </is>
      </c>
      <c r="B162" s="10" t="inlineStr">
        <is>
          <t>`Q97 = Yes`</t>
        </is>
      </c>
      <c r="C162" s="10" t="inlineStr">
        <is>
          <t>GATE</t>
        </is>
      </c>
    </row>
    <row r="163">
      <c r="A163" s="9" t="inlineStr">
        <is>
          <t>Q98_PHONE_ADVICE_OPEN, Q99_PHONE_ADVICE_CLOSED</t>
        </is>
      </c>
      <c r="B163" s="10" t="inlineStr">
        <is>
          <t>Required when enabled, ∈ value set</t>
        </is>
      </c>
      <c r="C163" s="10" t="inlineStr">
        <is>
          <t>HARD</t>
        </is>
      </c>
    </row>
    <row r="164">
      <c r="A164" s="9" t="inlineStr">
        <is>
          <t>Q100_LEAVE_WORK_SCHOOL</t>
        </is>
      </c>
      <c r="B164" s="10" t="inlineStr">
        <is>
          <t>Required, ∈ {Yes, No}</t>
        </is>
      </c>
      <c r="C164" s="10" t="inlineStr">
        <is>
          <t>HARD</t>
        </is>
      </c>
    </row>
    <row r="165">
      <c r="A165" s="9" t="inlineStr">
        <is>
          <t>Q101_CHECKUP_FREQ</t>
        </is>
      </c>
      <c r="B165" s="10" t="inlineStr">
        <is>
          <t>Required, ∈ value set</t>
        </is>
      </c>
      <c r="C165" s="10" t="inlineStr">
        <is>
          <t>HARD</t>
        </is>
      </c>
    </row>
    <row r="166">
      <c r="A166" s="9" t="inlineStr">
        <is>
          <t>Q101 = Other</t>
        </is>
      </c>
      <c r="B166" s="10" t="inlineStr">
        <is>
          <t>`Q101_CHECKUP_FREQ_OTHER_TXT` required</t>
        </is>
      </c>
      <c r="C166" s="10" t="inlineStr">
        <is>
          <t>HARD</t>
        </is>
      </c>
    </row>
    <row r="167">
      <c r="A167" s="9" t="inlineStr">
        <is>
          <t>Q102, Q103, Q104 enabled</t>
        </is>
      </c>
      <c r="B167" s="10" t="inlineStr">
        <is>
          <t>`Q101 ∉ {Never, Don't know}`</t>
        </is>
      </c>
      <c r="C167" s="10" t="inlineStr">
        <is>
          <t>GATE</t>
        </is>
      </c>
    </row>
    <row r="168">
      <c r="A168" s="9" t="inlineStr">
        <is>
          <t>Q102_VISIT_REASON select-all</t>
        </is>
      </c>
      <c r="B168" s="10" t="inlineStr">
        <is>
          <t>≥ 1 option when enabled; `_OTHER_TXT` on Other</t>
        </is>
      </c>
      <c r="C168" s="10" t="inlineStr">
        <is>
          <t>HARD</t>
        </is>
      </c>
    </row>
    <row r="169">
      <c r="A169" s="9" t="inlineStr">
        <is>
          <t>Q103_CARE_TYPE select-all</t>
        </is>
      </c>
      <c r="B169" s="10" t="inlineStr">
        <is>
          <t>≥ 1 option when enabled; `_OTHER_TXT` on Other</t>
        </is>
      </c>
      <c r="C169" s="10" t="inlineStr">
        <is>
          <t>HARD</t>
        </is>
      </c>
    </row>
    <row r="170">
      <c r="A170" s="9" t="inlineStr">
        <is>
          <t>Q104_PREVENTIVE</t>
        </is>
      </c>
      <c r="B170" s="10" t="inlineStr">
        <is>
          <t>Required when enabled, ∈ {Yes, No}</t>
        </is>
      </c>
      <c r="C170" s="10" t="inlineStr">
        <is>
          <t>HARD</t>
        </is>
      </c>
    </row>
    <row r="171">
      <c r="A171" s="9" t="inlineStr">
        <is>
          <t>Q105_FORGONE_CARE</t>
        </is>
      </c>
      <c r="B171" s="10" t="inlineStr">
        <is>
          <t>Required, ∈ {Yes, No}</t>
        </is>
      </c>
      <c r="C171" s="10" t="inlineStr">
        <is>
          <t>HARD</t>
        </is>
      </c>
    </row>
    <row r="172">
      <c r="A172" s="9" t="inlineStr">
        <is>
          <t>Q106, Q107 enabled</t>
        </is>
      </c>
      <c r="B172" s="10" t="inlineStr">
        <is>
          <t>`Q105 = Yes`</t>
        </is>
      </c>
      <c r="C172" s="10" t="inlineStr">
        <is>
          <t>GATE</t>
        </is>
      </c>
    </row>
    <row r="173">
      <c r="A173" s="9" t="inlineStr">
        <is>
          <t>Q106_FORGONE_WHY / Q107_OTHER_ACTIONS select-all</t>
        </is>
      </c>
      <c r="B173" s="10" t="inlineStr">
        <is>
          <t>≥ 1 option when enabled; `_OTHER_TXT` on Other</t>
        </is>
      </c>
      <c r="C173" s="10" t="inlineStr">
        <is>
          <t>HARD</t>
        </is>
      </c>
    </row>
    <row r="174">
      <c r="A174" s="9" t="inlineStr">
        <is>
          <t>Q108_REFERRED</t>
        </is>
      </c>
      <c r="B174" s="10" t="inlineStr">
        <is>
          <t>Required, ∈ {Yes, No}</t>
        </is>
      </c>
      <c r="C174" s="10" t="inlineStr">
        <is>
          <t>HARD</t>
        </is>
      </c>
    </row>
    <row r="175">
      <c r="A175" s="9" t="inlineStr">
        <is>
          <t>Q109–Q125 enabled</t>
        </is>
      </c>
      <c r="B175" s="10" t="inlineStr">
        <is>
          <t>`Q108 = Yes`</t>
        </is>
      </c>
      <c r="C175" s="10" t="inlineStr">
        <is>
          <t>GATE</t>
        </is>
      </c>
    </row>
    <row r="176">
      <c r="A176" s="9" t="inlineStr">
        <is>
          <t>Q109_TYPE select-all</t>
        </is>
      </c>
      <c r="B176" s="10" t="inlineStr">
        <is>
          <t>≥ 1 option when enabled; `_OTHER_TXT` on Other</t>
        </is>
      </c>
      <c r="C176" s="10" t="inlineStr">
        <is>
          <t>HARD</t>
        </is>
      </c>
    </row>
    <row r="177">
      <c r="A177" s="9" t="inlineStr">
        <is>
          <t>Q110_SPECIALIST</t>
        </is>
      </c>
      <c r="B177" s="10" t="inlineStr">
        <is>
          <t>Required when enabled, ∈ value set; `Other` → `_OTHER_TXT`</t>
        </is>
      </c>
      <c r="C177" s="10" t="inlineStr">
        <is>
          <t>HARD</t>
        </is>
      </c>
    </row>
    <row r="178">
      <c r="A178" s="9" t="inlineStr">
        <is>
          <t>Q111_METHOD</t>
        </is>
      </c>
      <c r="B178" s="10" t="inlineStr">
        <is>
          <t>Required when enabled, ∈ value set; `Other` → `_OTHER_TXT`</t>
        </is>
      </c>
      <c r="C178" s="10" t="inlineStr">
        <is>
          <t>HARD</t>
        </is>
      </c>
    </row>
    <row r="179">
      <c r="A179" s="9" t="inlineStr">
        <is>
          <t>Q112_VISITED</t>
        </is>
      </c>
      <c r="B179" s="10" t="inlineStr">
        <is>
          <t>Required when enabled, ∈ value set</t>
        </is>
      </c>
      <c r="C179" s="10" t="inlineStr">
        <is>
          <t>HARD</t>
        </is>
      </c>
    </row>
    <row r="180">
      <c r="A180" s="9" t="inlineStr">
        <is>
          <t>Q113 enabled</t>
        </is>
      </c>
      <c r="B180" s="10" t="inlineStr">
        <is>
          <t>`Q112 ∈ {Not planning, Not yet}`</t>
        </is>
      </c>
      <c r="C180" s="10" t="inlineStr">
        <is>
          <t>GATE</t>
        </is>
      </c>
    </row>
    <row r="181">
      <c r="A181" s="9" t="inlineStr">
        <is>
          <t>Q113_WHY_NOT select-all</t>
        </is>
      </c>
      <c r="B181" s="10" t="inlineStr">
        <is>
          <t>≥ 1 option when enabled; `_OTHER_TXT` on Other</t>
        </is>
      </c>
      <c r="C181" s="10" t="inlineStr">
        <is>
          <t>HARD</t>
        </is>
      </c>
    </row>
    <row r="182">
      <c r="A182" s="9" t="inlineStr">
        <is>
          <t>Q114_DISCUSSED_PLACES, Q115_HELPED_APPT, Q116_WROTE_INFO</t>
        </is>
      </c>
      <c r="B182" s="10" t="inlineStr">
        <is>
          <t>Required when enabled, ∈ {Yes, No}</t>
        </is>
      </c>
      <c r="C182" s="10" t="inlineStr">
        <is>
          <t>HARD</t>
        </is>
      </c>
    </row>
    <row r="183">
      <c r="A183" s="9" t="inlineStr">
        <is>
          <t>Q117_SPECIALIST_FOLLOWUP</t>
        </is>
      </c>
      <c r="B183" s="10" t="inlineStr">
        <is>
          <t>Required when enabled, ∈ {Yes, No}</t>
        </is>
      </c>
      <c r="C183" s="10" t="inlineStr">
        <is>
          <t>HARD</t>
        </is>
      </c>
    </row>
    <row r="184">
      <c r="A184" s="9" t="inlineStr">
        <is>
          <t>Q117 enabled</t>
        </is>
      </c>
      <c r="B184" s="10" t="inlineStr">
        <is>
          <t>`Q112 = Yes`</t>
        </is>
      </c>
      <c r="C184" s="10" t="inlineStr">
        <is>
          <t>GATE (#816)</t>
        </is>
      </c>
    </row>
    <row r="185">
      <c r="A185" s="9" t="inlineStr">
        <is>
          <t>Q118 enabled</t>
        </is>
      </c>
      <c r="B185" s="10" t="inlineStr">
        <is>
          <t>`Q117 = Yes`</t>
        </is>
      </c>
      <c r="C185" s="10" t="inlineStr">
        <is>
          <t>GATE</t>
        </is>
      </c>
    </row>
    <row r="186">
      <c r="A186" s="9" t="inlineStr">
        <is>
          <t>Q118_SAT_REFERRAL_PROCESS</t>
        </is>
      </c>
      <c r="B186" s="10" t="inlineStr">
        <is>
          <t>Required when enabled, ∈ satisfaction codes</t>
        </is>
      </c>
      <c r="C186" s="10" t="inlineStr">
        <is>
          <t>HARD</t>
        </is>
      </c>
    </row>
    <row r="187">
      <c r="A187" s="9" t="inlineStr">
        <is>
          <t>Q119_PCF_REFERRAL</t>
        </is>
      </c>
      <c r="B187" s="10" t="inlineStr">
        <is>
          <t>Required when enabled, ∈ {Yes, No}</t>
        </is>
      </c>
      <c r="C187" s="10" t="inlineStr">
        <is>
          <t>HARD</t>
        </is>
      </c>
    </row>
    <row r="188">
      <c r="A188" s="9" t="inlineStr">
        <is>
          <t>Q120, Q122, Q123, Q124 enabled</t>
        </is>
      </c>
      <c r="B188" s="10" t="inlineStr">
        <is>
          <t>`Q119 = Yes`</t>
        </is>
      </c>
      <c r="C188" s="10" t="inlineStr">
        <is>
          <t>GATE</t>
        </is>
      </c>
    </row>
    <row r="189">
      <c r="A189" s="9" t="inlineStr">
        <is>
          <t>Q121 enabled</t>
        </is>
      </c>
      <c r="B189" s="10" t="inlineStr">
        <is>
          <t>`Q119 = No`</t>
        </is>
      </c>
      <c r="C189" s="10" t="inlineStr">
        <is>
          <t>GATE</t>
        </is>
      </c>
    </row>
    <row r="190">
      <c r="A190" s="9" t="inlineStr">
        <is>
          <t>Q120_PCP_KNOWS</t>
        </is>
      </c>
      <c r="B190" s="10" t="inlineStr">
        <is>
          <t>Required when enabled, ∈ value set</t>
        </is>
      </c>
      <c r="C190" s="10" t="inlineStr">
        <is>
          <t>HARD</t>
        </is>
      </c>
    </row>
    <row r="191">
      <c r="A191" s="9" t="inlineStr">
        <is>
          <t>Q121_WHY_HOSPITAL select-all</t>
        </is>
      </c>
      <c r="B191" s="10" t="inlineStr">
        <is>
          <t>≥ 1 option when enabled; "Don't know" mutex; `_OTHER_TXT` on Other</t>
        </is>
      </c>
      <c r="C191" s="10" t="inlineStr">
        <is>
          <t>HARD</t>
        </is>
      </c>
    </row>
    <row r="192">
      <c r="A192" s="9" t="inlineStr">
        <is>
          <t>Q122_PCP_DISCUSSED_PLACES, Q123_PCP_HELPED_APPT, Q124_PCP_WROTE_INFO</t>
        </is>
      </c>
      <c r="B192" s="10" t="inlineStr">
        <is>
          <t>Required when enabled, ∈ {Yes, No}</t>
        </is>
      </c>
      <c r="C192" s="10" t="inlineStr">
        <is>
          <t>HARD</t>
        </is>
      </c>
    </row>
    <row r="193">
      <c r="A193" s="9" t="inlineStr">
        <is>
          <t>Q125_SAT_REFERRAL_EXP</t>
        </is>
      </c>
      <c r="B193" s="10" t="inlineStr">
        <is>
          <t>Required when `Q108 = Yes`, ∈ satisfaction codes</t>
        </is>
      </c>
      <c r="C193" s="10" t="inlineStr">
        <is>
          <t>HARD</t>
        </is>
      </c>
    </row>
    <row r="194">
      <c r="A194" s="9" t="inlineStr">
        <is>
          <t>Q126_NBB_HEARD</t>
        </is>
      </c>
      <c r="B194" s="10" t="inlineStr">
        <is>
          <t>Required, ∈ {Yes, No, Don't know}</t>
        </is>
      </c>
      <c r="C194" s="10" t="inlineStr">
        <is>
          <t>HARD</t>
        </is>
      </c>
    </row>
    <row r="195">
      <c r="A195" s="9" t="inlineStr">
        <is>
          <t>Q127, Q128 enabled</t>
        </is>
      </c>
      <c r="B195" s="10" t="inlineStr">
        <is>
          <t>`Q126 = Yes`</t>
        </is>
      </c>
      <c r="C195" s="10" t="inlineStr">
        <is>
          <t>GATE</t>
        </is>
      </c>
    </row>
    <row r="196">
      <c r="A196" s="9" t="inlineStr">
        <is>
          <t>Q127_NBB_SOURCE / Q128_NBB_UNDERSTAND</t>
        </is>
      </c>
      <c r="B196" s="10" t="inlineStr">
        <is>
          <t>Select-all; "Don't know" mutex; `_OTHER_TXT` on Other</t>
        </is>
      </c>
      <c r="C196" s="10" t="inlineStr">
        <is>
          <t>HARD</t>
        </is>
      </c>
    </row>
    <row r="197">
      <c r="A197" s="9" t="inlineStr">
        <is>
          <t>Q129_HH_CONFINED</t>
        </is>
      </c>
      <c r="B197" s="10" t="inlineStr">
        <is>
          <t>Required, ∈ {Yes, No}</t>
        </is>
      </c>
      <c r="C197" s="10" t="inlineStr">
        <is>
          <t>HARD</t>
        </is>
      </c>
    </row>
    <row r="198">
      <c r="A198" s="9" t="inlineStr">
        <is>
          <t>Q130, Q131 enabled</t>
        </is>
      </c>
      <c r="B198" s="10" t="inlineStr">
        <is>
          <t>`Q129 = Yes`</t>
        </is>
      </c>
      <c r="C198" s="10" t="inlineStr">
        <is>
          <t>GATE</t>
        </is>
      </c>
    </row>
    <row r="199">
      <c r="A199" s="9" t="inlineStr">
        <is>
          <t>Q130_HOSPITAL_TYPE</t>
        </is>
      </c>
      <c r="B199" s="10" t="inlineStr">
        <is>
          <t>Required when enabled, ∈ value set</t>
        </is>
      </c>
      <c r="C199" s="10" t="inlineStr">
        <is>
          <t>HARD</t>
        </is>
      </c>
    </row>
    <row r="200">
      <c r="A200" s="9" t="inlineStr">
        <is>
          <t>Q131 enabled</t>
        </is>
      </c>
      <c r="B200" s="10" t="inlineStr">
        <is>
          <t>`Q129 = Yes` and `Q130 = Public`</t>
        </is>
      </c>
      <c r="C200" s="10" t="inlineStr">
        <is>
          <t>GATE</t>
        </is>
      </c>
    </row>
    <row r="201">
      <c r="A201" s="9" t="inlineStr">
        <is>
          <t>Q131_NBB_OOP</t>
        </is>
      </c>
      <c r="B201" s="10" t="inlineStr">
        <is>
          <t>Required when enabled, ∈ value set</t>
        </is>
      </c>
      <c r="C201" s="10" t="inlineStr">
        <is>
          <t>HARD</t>
        </is>
      </c>
    </row>
    <row r="202">
      <c r="A202" s="9" t="inlineStr">
        <is>
          <t>Q132_ZBB_HEARD</t>
        </is>
      </c>
      <c r="B202" s="10" t="inlineStr">
        <is>
          <t>Required, ∈ {Yes, No, Don't know}</t>
        </is>
      </c>
      <c r="C202" s="10" t="inlineStr">
        <is>
          <t>HARD</t>
        </is>
      </c>
    </row>
    <row r="203">
      <c r="A203" s="9" t="inlineStr">
        <is>
          <t>Q133, Q134 enabled</t>
        </is>
      </c>
      <c r="B203" s="10" t="inlineStr">
        <is>
          <t>`Q132 = Yes`</t>
        </is>
      </c>
      <c r="C203" s="10" t="inlineStr">
        <is>
          <t>GATE</t>
        </is>
      </c>
    </row>
    <row r="204">
      <c r="A204" s="9" t="inlineStr">
        <is>
          <t>Q133_ZBB_SOURCE / Q134_ZBB_UNDERSTAND</t>
        </is>
      </c>
      <c r="B204" s="10" t="inlineStr">
        <is>
          <t>Select-all; "Don't know" mutex; `_OTHER_TXT` on Other</t>
        </is>
      </c>
      <c r="C204" s="10" t="inlineStr">
        <is>
          <t>HARD</t>
        </is>
      </c>
    </row>
    <row r="205">
      <c r="A205" s="9" t="inlineStr">
        <is>
          <t>Q135 enabled</t>
        </is>
      </c>
      <c r="B205" s="10" t="inlineStr">
        <is>
          <t>`Q129 = Yes` (HH had confinement) and `Q132 = Yes`</t>
        </is>
      </c>
      <c r="C205" s="10" t="inlineStr">
        <is>
          <t>GATE</t>
        </is>
      </c>
    </row>
    <row r="206">
      <c r="A206" s="9" t="inlineStr">
        <is>
          <t>Q135_ZBB_OOP</t>
        </is>
      </c>
      <c r="B206" s="10" t="inlineStr">
        <is>
          <t>Required when enabled, ∈ value set</t>
        </is>
      </c>
      <c r="C206" s="10" t="inlineStr">
        <is>
          <t>HARD</t>
        </is>
      </c>
    </row>
    <row r="207">
      <c r="A207" s="9" t="inlineStr">
        <is>
          <t>Q136_MAIFIP_HEARD</t>
        </is>
      </c>
      <c r="B207" s="10" t="inlineStr">
        <is>
          <t>Required, ∈ {Yes, No, Don't know}</t>
        </is>
      </c>
      <c r="C207" s="10" t="inlineStr">
        <is>
          <t>HARD</t>
        </is>
      </c>
    </row>
    <row r="208">
      <c r="A208" s="9" t="inlineStr">
        <is>
          <t>Q137 enabled</t>
        </is>
      </c>
      <c r="B208" s="10" t="inlineStr">
        <is>
          <t>`Q136 = Yes`</t>
        </is>
      </c>
      <c r="C208" s="10" t="inlineStr">
        <is>
          <t>GATE</t>
        </is>
      </c>
    </row>
    <row r="209">
      <c r="A209" s="9" t="inlineStr">
        <is>
          <t>Q137_MAIFIP_SOURCE</t>
        </is>
      </c>
      <c r="B209" s="10" t="inlineStr">
        <is>
          <t>Select-all; "Don't know" mutex; `_OTHER_TXT` on Other</t>
        </is>
      </c>
      <c r="C209" s="10" t="inlineStr">
        <is>
          <t>HARD</t>
        </is>
      </c>
    </row>
    <row r="210">
      <c r="A210" s="9" t="inlineStr">
        <is>
          <t>Bill-recall chain (Q138–Q143) — all enabled only when Q129_HH_CONFINED = Yes</t>
        </is>
      </c>
      <c r="B210" s="10" t="inlineStr"/>
      <c r="C210" s="10" t="inlineStr">
        <is>
          <t>GATE</t>
        </is>
      </c>
    </row>
    <row r="211">
      <c r="A211" s="9" t="inlineStr">
        <is>
          <t>Q138_MOST_EXPENSIVE</t>
        </is>
      </c>
      <c r="B211" s="10" t="inlineStr">
        <is>
          <t>Required when enabled, non-blank (free-text description of most expensive confinement)</t>
        </is>
      </c>
      <c r="C211" s="10" t="inlineStr">
        <is>
          <t>HARD</t>
        </is>
      </c>
    </row>
    <row r="212">
      <c r="A212" s="9" t="inlineStr">
        <is>
          <t>Q139_FINAL_AMOUNT_PHP</t>
        </is>
      </c>
      <c r="B212" s="10" t="inlineStr">
        <is>
          <t>`0 ≤ amt ≤ 999,999,999` when enabled</t>
        </is>
      </c>
      <c r="C212" s="10" t="inlineStr">
        <is>
          <t>HARD</t>
        </is>
      </c>
    </row>
    <row r="213">
      <c r="A213" s="9" t="inlineStr">
        <is>
          <t>Q140_RECALL_BREAKDOWN</t>
        </is>
      </c>
      <c r="B213" s="10" t="inlineStr">
        <is>
          <t>Required when enabled, ∈ {Yes, No}</t>
        </is>
      </c>
      <c r="C213" s="10" t="inlineStr">
        <is>
          <t>HARD</t>
        </is>
      </c>
    </row>
    <row r="214">
      <c r="A214" s="9" t="inlineStr">
        <is>
          <t>Q141, Q141.1 enabled</t>
        </is>
      </c>
      <c r="B214" s="10" t="inlineStr">
        <is>
          <t>`Q140 = Yes`</t>
        </is>
      </c>
      <c r="C214" s="10" t="inlineStr">
        <is>
          <t>GATE</t>
        </is>
      </c>
    </row>
    <row r="215">
      <c r="A215" s="9" t="inlineStr">
        <is>
          <t>Q141_BILL_ITEMS select-all</t>
        </is>
      </c>
      <c r="B215" s="10" t="inlineStr">
        <is>
          <t>≥ 1 option when enabled; `_OTHER_TXT` on Other</t>
        </is>
      </c>
      <c r="C215" s="10" t="inlineStr">
        <is>
          <t>HARD</t>
        </is>
      </c>
    </row>
    <row r="216">
      <c r="A216" s="9" t="inlineStr">
        <is>
          <t>Q141.1 enabled</t>
        </is>
      </c>
      <c r="B216" s="10" t="inlineStr">
        <is>
          <t>`Q141_BILL_ITEMS` includes "no receipt" row</t>
        </is>
      </c>
      <c r="C216" s="10" t="inlineStr">
        <is>
          <t>GATE</t>
        </is>
      </c>
    </row>
    <row r="217">
      <c r="A217" s="9" t="inlineStr">
        <is>
          <t>Q141_1_NO_RECEIPT_AMT_PHP</t>
        </is>
      </c>
      <c r="B217" s="10" t="inlineStr">
        <is>
          <t>`0 ≤ amt ≤ Q139_FINAL_AMOUNT_PHP` when enabled</t>
        </is>
      </c>
      <c r="C217" s="10" t="inlineStr">
        <is>
          <t>HARD</t>
        </is>
      </c>
    </row>
    <row r="218">
      <c r="A218" s="9" t="inlineStr">
        <is>
          <t>Q142_RECALL_PAYMENT</t>
        </is>
      </c>
      <c r="B218" s="10" t="inlineStr">
        <is>
          <t>Required when `Q129 = Yes`, ∈ {Yes, No}</t>
        </is>
      </c>
      <c r="C218" s="10" t="inlineStr">
        <is>
          <t>HARD</t>
        </is>
      </c>
    </row>
    <row r="219">
      <c r="A219" s="9" t="inlineStr">
        <is>
          <t>Q143 enabled</t>
        </is>
      </c>
      <c r="B219" s="10" t="inlineStr">
        <is>
          <t>`Q142 = Yes`</t>
        </is>
      </c>
      <c r="C219" s="10" t="inlineStr">
        <is>
          <t>GATE</t>
        </is>
      </c>
    </row>
    <row r="220">
      <c r="A220" s="9" t="inlineStr">
        <is>
          <t>Q143_HOW_PAID select-all</t>
        </is>
      </c>
      <c r="B220" s="10" t="inlineStr">
        <is>
          <t>≥ 1 option when enabled; `_OTHER_TXT` on Other</t>
        </is>
      </c>
      <c r="C220" s="10" t="inlineStr">
        <is>
          <t>HARD</t>
        </is>
      </c>
    </row>
    <row r="221">
      <c r="A221" s="9" t="inlineStr">
        <is>
          <t>{Q}_CONSUMED</t>
        </is>
      </c>
      <c r="B221" s="10" t="inlineStr">
        <is>
          <t>Required, ∈ {Yes, No}</t>
        </is>
      </c>
      <c r="C221" s="10" t="inlineStr">
        <is>
          <t>HARD</t>
        </is>
      </c>
    </row>
    <row r="222">
      <c r="A222" s="9" t="inlineStr">
        <is>
          <t>{Q}_PURCHASED_PHP, {Q}_INKIND_PHP</t>
        </is>
      </c>
      <c r="B222" s="10" t="inlineStr">
        <is>
          <t>Required when `_CONSUMED = Yes`, `≥ 0`; MUST be 0 or blank when `_CONSUMED = No`</t>
        </is>
      </c>
      <c r="C222" s="10" t="inlineStr">
        <is>
          <t>HARD</t>
        </is>
      </c>
    </row>
    <row r="223">
      <c r="A223" s="9" t="inlineStr">
        <is>
          <t>{Q}_PURCHASED_PHP + {Q}_INKIND_PHP &gt; 0</t>
        </is>
      </c>
      <c r="B223" s="10" t="inlineStr">
        <is>
          <t>When `_CONSUMED = Yes`, at least one amount &gt; 0</t>
        </is>
      </c>
      <c r="C223" s="10" t="inlineStr">
        <is>
          <t>HARD</t>
        </is>
      </c>
    </row>
    <row r="224">
      <c r="A224" s="9" t="inlineStr">
        <is>
          <t>Q157_FOOD_SUBTOTAL_TOTAL_PHP</t>
        </is>
      </c>
      <c r="B224" s="10" t="inlineStr">
        <is>
          <t>Sum of `{Q144..Q156}_PURCHASED_PHP + {Q144..Q156}_INKIND_PHP`</t>
        </is>
      </c>
      <c r="C224" s="10" t="inlineStr">
        <is>
          <t>HARD (auto; no edit)</t>
        </is>
      </c>
    </row>
    <row r="225">
      <c r="A225" s="9" t="inlineStr">
        <is>
          <t>Q177_HEALTH_12M_SUBTOTAL_TOTAL_PHP</t>
        </is>
      </c>
      <c r="B225" s="10" t="inlineStr">
        <is>
          <t>Sum of `{Q173..Q176}_PURCHASED_PHP + _INKIND_PHP`</t>
        </is>
      </c>
      <c r="C225" s="10" t="inlineStr">
        <is>
          <t>HARD (auto)</t>
        </is>
      </c>
    </row>
    <row r="226">
      <c r="A226" s="9" t="inlineStr">
        <is>
          <t>Q182_HEALTH_6M_SUBTOTAL_TOTAL_PHP</t>
        </is>
      </c>
      <c r="B226" s="10" t="inlineStr">
        <is>
          <t>Sum of `{Q178..Q181}_PURCHASED_PHP + _INKIND_PHP`</t>
        </is>
      </c>
      <c r="C226" s="10" t="inlineStr">
        <is>
          <t>HARD (auto)</t>
        </is>
      </c>
    </row>
    <row r="227">
      <c r="A227" s="9" t="inlineStr">
        <is>
          <t>Q185_HEALTH_1M_SUBTOTAL_TOTAL_PHP</t>
        </is>
      </c>
      <c r="B227" s="10" t="inlineStr">
        <is>
          <t>Sum of `{Q183..Q184}_PURCHASED_PHP + _INKIND_PHP`</t>
        </is>
      </c>
      <c r="C227" s="10" t="inlineStr">
        <is>
          <t>HARD (auto)</t>
        </is>
      </c>
    </row>
    <row r="228">
      <c r="A228" s="9" t="inlineStr">
        <is>
          <t>Q186_CURRENT_INCOME, Q187_SAVINGS, Q188_SOLD_ASSETS, Q189_BORROW_FAMILY, Q190_BORROW_INST, Q191_REMITTANCE, Q192_GOVT_ASSIST, Q193_LGU_DONATION, Q194_OTHER_SOURCE</t>
        </is>
      </c>
      <c r="B228" s="10" t="inlineStr">
        <is>
          <t>Required, ∈ {Yes, No}</t>
        </is>
      </c>
      <c r="C228" s="10" t="inlineStr">
        <is>
          <t>HARD</t>
        </is>
      </c>
    </row>
    <row r="229">
      <c r="A229" s="9" t="inlineStr">
        <is>
          <t>Q194 = Yes</t>
        </is>
      </c>
      <c r="B229" s="10" t="inlineStr">
        <is>
          <t>`Q194_OTHER_TXT` required</t>
        </is>
      </c>
      <c r="C229" s="10" t="inlineStr">
        <is>
          <t>HARD</t>
        </is>
      </c>
    </row>
    <row r="230">
      <c r="A230" s="9" t="inlineStr">
        <is>
          <t>Q195_INCOME_PCT</t>
        </is>
      </c>
      <c r="B230" s="10" t="inlineStr">
        <is>
          <t>`0 ≤ pct ≤ 100` (percentage of current income spent on health)</t>
        </is>
      </c>
      <c r="C230" s="10" t="inlineStr">
        <is>
          <t>HARD</t>
        </is>
      </c>
    </row>
    <row r="231">
      <c r="A231" s="9" t="inlineStr">
        <is>
          <t>Q196_FOREGONE select-all</t>
        </is>
      </c>
      <c r="B231" s="10" t="inlineStr">
        <is>
          <t>≥ 1 option when foregone any; `_OTHER_TXT` on Other</t>
        </is>
      </c>
      <c r="C231" s="10" t="inlineStr">
        <is>
          <t>HARD</t>
        </is>
      </c>
    </row>
    <row r="232">
      <c r="A232" s="9" t="inlineStr">
        <is>
          <t>Source-of-funds vs. Q195 sanity</t>
        </is>
      </c>
      <c r="B232" s="10" t="inlineStr">
        <is>
          <t>If all Q186–Q194 = No but `Q195_INCOME_PCT &gt; 0`, SOFT warn</t>
        </is>
      </c>
      <c r="C232" s="10" t="inlineStr">
        <is>
          <t>SOFT</t>
        </is>
      </c>
    </row>
    <row r="233">
      <c r="A233" s="9" t="inlineStr">
        <is>
          <t>Q197_DELAYED_CARE</t>
        </is>
      </c>
      <c r="B233" s="10" t="inlineStr">
        <is>
          <t>Required, ∈ value set {Yes, No, N/A}</t>
        </is>
      </c>
      <c r="C233" s="10" t="inlineStr">
        <is>
          <t>HARD</t>
        </is>
      </c>
    </row>
    <row r="234">
      <c r="A234" s="9" t="inlineStr">
        <is>
          <t>Q198_NOT_FOLLOWED</t>
        </is>
      </c>
      <c r="B234" s="10" t="inlineStr">
        <is>
          <t>Required, ∈ value set</t>
        </is>
      </c>
      <c r="C234" s="10" t="inlineStr">
        <is>
          <t>HARD</t>
        </is>
      </c>
    </row>
    <row r="235">
      <c r="A235" s="9" t="inlineStr">
        <is>
          <t>Q199_WTP_CONSULT</t>
        </is>
      </c>
      <c r="B235" s="10" t="inlineStr">
        <is>
          <t>`0 ≤ amt ≤ 99,999` (WTP amount in PHP)</t>
        </is>
      </c>
      <c r="C235" s="10" t="inlineStr">
        <is>
          <t>HARD</t>
        </is>
      </c>
    </row>
    <row r="236">
      <c r="A236" s="9" t="inlineStr">
        <is>
          <t>Q199 "Other" ticked</t>
        </is>
      </c>
      <c r="B236" s="10" t="inlineStr">
        <is>
          <t>`Q199_WTP_OTHER_TXT` required</t>
        </is>
      </c>
      <c r="C236" s="10" t="inlineStr">
        <is>
          <t>HARD</t>
        </is>
      </c>
    </row>
    <row r="237">
      <c r="A237" s="9" t="inlineStr">
        <is>
          <t>Q199 vs Q18 sanity</t>
        </is>
      </c>
      <c r="B237" s="10" t="inlineStr">
        <is>
          <t>If `Q199 &gt; 0.5 × Q18_INCOME_AMOUNT`, SOFT warn</t>
        </is>
      </c>
      <c r="C237" s="10" t="inlineStr">
        <is>
          <t>SOFT</t>
        </is>
      </c>
    </row>
    <row r="238">
      <c r="A238" s="9" t="inlineStr">
        <is>
          <t>Q200_REDUCED_SPEND</t>
        </is>
      </c>
      <c r="B238" s="10" t="inlineStr">
        <is>
          <t>Required, ∈ value set</t>
        </is>
      </c>
      <c r="C238" s="10" t="inlineStr">
        <is>
          <t>HARD</t>
        </is>
      </c>
    </row>
    <row r="239">
      <c r="A239" s="9" t="inlineStr">
        <is>
          <t>Q201_WORRIED</t>
        </is>
      </c>
      <c r="B239" s="10" t="inlineStr">
        <is>
          <t>Required, ∈ value set</t>
        </is>
      </c>
      <c r="C239" s="10" t="inlineStr">
        <is>
          <t>HARD</t>
        </is>
      </c>
    </row>
    <row r="240">
      <c r="A240" s="9" t="inlineStr">
        <is>
          <t>Q202 enabled</t>
        </is>
      </c>
      <c r="B240" s="10" t="inlineStr">
        <is>
          <t>`Q201 ∈ {Yes, Sometimes}`</t>
        </is>
      </c>
      <c r="C240" s="10" t="inlineStr">
        <is>
          <t>GATE</t>
        </is>
      </c>
    </row>
    <row r="241">
      <c r="A241" s="9" t="inlineStr">
        <is>
          <t>Q202_WORRY_REASONS select-all</t>
        </is>
      </c>
      <c r="B241" s="10" t="inlineStr">
        <is>
          <t>≥ 1 option when enabled; `_OTHER_TXT` on Other</t>
        </is>
      </c>
      <c r="C241" s="10" t="inlineStr">
        <is>
          <t>HARD</t>
        </is>
      </c>
    </row>
    <row r="242">
      <c r="A242" s="9" t="inlineStr">
        <is>
          <t>Q202 completion</t>
        </is>
      </c>
      <c r="B242" s="10" t="inlineStr">
        <is>
          <t>Set `ENUM_RESULT_FINAL_VISIT = Completed`</t>
        </is>
      </c>
      <c r="C242" s="10" t="inlineStr">
        <is>
          <t>HARD (PROC)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2026-07-22T01:19:53Z</dcterms:created>
  <dcterms:modified xmlns:dcterms="http://purl.org/dc/terms/" xmlns:xsi="http://www.w3.org/2001/XMLSchema-instance" xsi:type="dcterms:W3CDTF">2026-07-22T01:19:54Z</dcterms:modified>
</cp:coreProperties>
</file>