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ly\Documents\analytiflow\1_Projects\ASPSI-DOH-CAPI-CSPro-Development\deliverables\UAT\"/>
    </mc:Choice>
  </mc:AlternateContent>
  <xr:revisionPtr revIDLastSave="0" documentId="13_ncr:1_{58D729BA-52BE-42B0-941D-2AB2BFD1A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Summary by Round" sheetId="2" r:id="rId2"/>
    <sheet name="UAT Tickets" sheetId="3" r:id="rId3"/>
    <sheet name="All Issues" sheetId="4" r:id="rId4"/>
  </sheets>
  <definedNames>
    <definedName name="_xlnm._FilterDatabase" localSheetId="3" hidden="1">'All Issues'!$A$3:$N$739</definedName>
    <definedName name="_xlnm._FilterDatabase" localSheetId="2" hidden="1">'UAT Tickets'!$A$3:$N$384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9" i="2" l="1"/>
  <c r="L9" i="2"/>
  <c r="K9" i="2"/>
  <c r="J9" i="2"/>
  <c r="I9" i="2"/>
  <c r="H9" i="2"/>
  <c r="G9" i="2"/>
  <c r="F9" i="2"/>
  <c r="E9" i="2"/>
  <c r="D9" i="2"/>
  <c r="M8" i="2"/>
  <c r="L8" i="2"/>
  <c r="K8" i="2"/>
  <c r="J8" i="2"/>
  <c r="I8" i="2"/>
  <c r="H8" i="2"/>
  <c r="G8" i="2"/>
  <c r="F8" i="2"/>
  <c r="E8" i="2"/>
  <c r="D8" i="2"/>
  <c r="M7" i="2"/>
  <c r="L7" i="2"/>
  <c r="K7" i="2"/>
  <c r="J7" i="2"/>
  <c r="I7" i="2"/>
  <c r="H7" i="2"/>
  <c r="G7" i="2"/>
  <c r="F7" i="2"/>
  <c r="E7" i="2"/>
  <c r="D7" i="2"/>
  <c r="M6" i="2"/>
  <c r="L6" i="2"/>
  <c r="K6" i="2"/>
  <c r="J6" i="2"/>
  <c r="I6" i="2"/>
  <c r="H6" i="2"/>
  <c r="G6" i="2"/>
  <c r="F6" i="2"/>
  <c r="E6" i="2"/>
  <c r="D6" i="2"/>
  <c r="M5" i="2"/>
  <c r="L5" i="2"/>
  <c r="L10" i="2" s="1"/>
  <c r="K5" i="2"/>
  <c r="J5" i="2"/>
  <c r="I5" i="2"/>
  <c r="I10" i="2" s="1"/>
  <c r="H5" i="2"/>
  <c r="G5" i="2"/>
  <c r="G10" i="2" s="1"/>
  <c r="F5" i="2"/>
  <c r="F10" i="2" s="1"/>
  <c r="E5" i="2"/>
  <c r="E10" i="2" s="1"/>
  <c r="D5" i="2"/>
  <c r="M10" i="2" l="1"/>
  <c r="D10" i="2"/>
  <c r="H10" i="2"/>
  <c r="J10" i="2"/>
  <c r="K10" i="2"/>
</calcChain>
</file>

<file path=xl/sharedStrings.xml><?xml version="1.0" encoding="utf-8"?>
<sst xmlns="http://schemas.openxmlformats.org/spreadsheetml/2006/main" count="9377" uniqueCount="1547">
  <si>
    <t>ASPSI–DOH UHC CAPI — UAT Ticket Register</t>
  </si>
  <si>
    <t>GitHub issue export by UAT round, instrument, and resolution</t>
  </si>
  <si>
    <t>Prepared for</t>
  </si>
  <si>
    <t>Prepared by</t>
  </si>
  <si>
    <t>Carl Patrick L. Reyes — Data Programmer</t>
  </si>
  <si>
    <t>Generated</t>
  </si>
  <si>
    <t>2026-06-29</t>
  </si>
  <si>
    <t>Source</t>
  </si>
  <si>
    <t>GitHub — cplreyes/ASPSI-DOH-UHC-CAPI-Development (Issues)</t>
  </si>
  <si>
    <t>Total issues in repo</t>
  </si>
  <si>
    <t>UAT-round tickets</t>
  </si>
  <si>
    <t>Non-round (dev/backlog)</t>
  </si>
  <si>
    <t>Current open issues</t>
  </si>
  <si>
    <t>UAT round legend</t>
  </si>
  <si>
    <t>R1 / R2 / R3</t>
  </si>
  <si>
    <t>F2 PWA (Healthcare-Worker self-administered) — labels round:1 / round:2(+from-uat-round-2) / round:3(+from-uat-round-3)</t>
  </si>
  <si>
    <t>R4</t>
  </si>
  <si>
    <t>CAPI F1/F3/F4 (interviewer-administered) — label from-uat-round-4-capi-2026-06</t>
  </si>
  <si>
    <t>R5</t>
  </si>
  <si>
    <t>CAPI F1/F3/F4 — label from-uat-round-5-2026-06</t>
  </si>
  <si>
    <t>Status legend</t>
  </si>
  <si>
    <t>Fixed</t>
  </si>
  <si>
    <t>Issue resolved / fix built + deployed (GitHub: closed as completed).</t>
  </si>
  <si>
    <t>Deferred</t>
  </si>
  <si>
    <t>Closed as not-planned: duplicate, cosmetic, design decision, or parked for ASPSI input.</t>
  </si>
  <si>
    <t>Reported via = UAT form</t>
  </si>
  <si>
    <t>Filed through the GitHub UAT feedback template (label uat-feedback). 'Direct' = logged during triage. NOTE: the form label was applied mainly in R4, so this flag UNDERCOUNTS tester findings in R1-R3 / R5 — every round-tagged ticket is a UAT-round finding regardless of this flag.</t>
  </si>
  <si>
    <t>Notes</t>
  </si>
  <si>
    <t>• All issues are currently closed (0 open). Lifecycle: Raised (created date) -&gt; Triaged + fixed -&gt; Closed (closed date).</t>
  </si>
  <si>
    <t>• 'Deferred' tickets do not indicate failure — most are cosmetic, duplicate, or ASPSI-owned (translations / spec decisions) tracked separately.</t>
  </si>
  <si>
    <t>• A closed ticket can reopen on a stale-build desk-test failure (remove + re-add the CSEntry app to refresh).</t>
  </si>
  <si>
    <t>• Authoritative per-round narrative: see deliverables/CSPro/CAPI-UAT-Round-5-Closeout-2026-06-29.md and the scrum sprint records.</t>
  </si>
  <si>
    <t>UAT Summary — tickets by round</t>
  </si>
  <si>
    <t>Counts are live formulas over the 'UAT Tickets' sheet (COUNTIF / COUNTIFS).</t>
  </si>
  <si>
    <t>Round</t>
  </si>
  <si>
    <t>Phase</t>
  </si>
  <si>
    <t>Window (raised → closed)</t>
  </si>
  <si>
    <t>Tickets raised</t>
  </si>
  <si>
    <t>Via UAT form</t>
  </si>
  <si>
    <t>F1</t>
  </si>
  <si>
    <t>F3</t>
  </si>
  <si>
    <t>F4</t>
  </si>
  <si>
    <t>F2 PWA</t>
  </si>
  <si>
    <t>F2 Admin</t>
  </si>
  <si>
    <t>CSWeb</t>
  </si>
  <si>
    <t>R1</t>
  </si>
  <si>
    <t>F2 PWA (HCW self-admin)</t>
  </si>
  <si>
    <t>2026-04-23 -&gt; 2026-04-25</t>
  </si>
  <si>
    <t>R2</t>
  </si>
  <si>
    <t>2026-04-25 -&gt; 2026-05-09</t>
  </si>
  <si>
    <t>R3</t>
  </si>
  <si>
    <t>2026-04-25 -&gt; 2026-06-05</t>
  </si>
  <si>
    <t>CAPI (F1/F3/F4 interviewer)</t>
  </si>
  <si>
    <t>2026-06-12 -&gt; 2026-06-21</t>
  </si>
  <si>
    <t>2026-06-21 -&gt; 2026-06-27</t>
  </si>
  <si>
    <t>TOTAL</t>
  </si>
  <si>
    <t>all UAT rounds</t>
  </si>
  <si>
    <t>UAT Tickets — raised, triaged, fixed (by round)</t>
  </si>
  <si>
    <t>Instrument</t>
  </si>
  <si>
    <t>Issue #</t>
  </si>
  <si>
    <t>Title</t>
  </si>
  <si>
    <t>Type</t>
  </si>
  <si>
    <t>Sub-type</t>
  </si>
  <si>
    <t>Severity</t>
  </si>
  <si>
    <t>Reported via</t>
  </si>
  <si>
    <t>Raised</t>
  </si>
  <si>
    <t>Closed</t>
  </si>
  <si>
    <t>Resolution</t>
  </si>
  <si>
    <t>Disposition / note</t>
  </si>
  <si>
    <t>Link</t>
  </si>
  <si>
    <t>F2 — HCW (PWA)</t>
  </si>
  <si>
    <t>How old are you as of your last birthday (in years)?</t>
  </si>
  <si>
    <t>Other</t>
  </si>
  <si>
    <t>validation</t>
  </si>
  <si>
    <t>Medium</t>
  </si>
  <si>
    <t>Direct</t>
  </si>
  <si>
    <t>Fixed (was pending tester verify at close)</t>
  </si>
  <si>
    <t>https://github.com/cplreyes/ASPSI-DOH-UHC-CAPI-Development/issues/1</t>
  </si>
  <si>
    <t>What is your role at this health facility?</t>
  </si>
  <si>
    <t>ux</t>
  </si>
  <si>
    <t>https://github.com/cplreyes/ASPSI-DOH-UHC-CAPI-Development/issues/2</t>
  </si>
  <si>
    <t>In your current position, how many (months/years) have you worked at this health facility?</t>
  </si>
  <si>
    <t>https://github.com/cplreyes/ASPSI-DOH-UHC-CAPI-Development/issues/3</t>
  </si>
  <si>
    <t>https://github.com/cplreyes/ASPSI-DOH-UHC-CAPI-Development/issues/4</t>
  </si>
  <si>
    <t>https://github.com/cplreyes/ASPSI-DOH-UHC-CAPI-Development/issues/5</t>
  </si>
  <si>
    <t>Q12.Have you heard about Universal Health Care (UHC) prior to this survey?</t>
  </si>
  <si>
    <t>skip-logic</t>
  </si>
  <si>
    <t>High</t>
  </si>
  <si>
    <t>https://github.com/cplreyes/ASPSI-DOH-UHC-CAPI-Development/issues/6</t>
  </si>
  <si>
    <t>Q25 – Conditional Logic Restriction Issue</t>
  </si>
  <si>
    <t>https://github.com/cplreyes/ASPSI-DOH-UHC-CAPI-Development/issues/8</t>
  </si>
  <si>
    <t>Auto-Advance Issue on Required Questions</t>
  </si>
  <si>
    <t>Bug</t>
  </si>
  <si>
    <t>Critical</t>
  </si>
  <si>
    <t>https://github.com/cplreyes/ASPSI-DOH-UHC-CAPI-Development/issues/10</t>
  </si>
  <si>
    <t>Section Applicability Issue (Section G)</t>
  </si>
  <si>
    <t>https://github.com/cplreyes/ASPSI-DOH-UHC-CAPI-Development/issues/11</t>
  </si>
  <si>
    <t>Test Scenario Observations</t>
  </si>
  <si>
    <t>sync</t>
  </si>
  <si>
    <t>https://github.com/cplreyes/ASPSI-DOH-UHC-CAPI-Development/issues/12</t>
  </si>
  <si>
    <t>Mid-section skip logic — conditional jumps not enforced (Q34/Q38/Q39/Q44/Q48/Q53/Q69/Q70/Q87/Q88)</t>
  </si>
  <si>
    <t>https://github.com/cplreyes/ASPSI-DOH-UHC-CAPI-Development/issues/13</t>
  </si>
  <si>
    <t>Q9 Month(s) field should be optional, not required</t>
  </si>
  <si>
    <t>https://github.com/cplreyes/ASPSI-DOH-UHC-CAPI-Development/issues/14</t>
  </si>
  <si>
    <t>Cannot proceed when gating question answered No (Q12, Q31, similar)</t>
  </si>
  <si>
    <t>https://github.com/cplreyes/ASPSI-DOH-UHC-CAPI-Development/issues/15</t>
  </si>
  <si>
    <t>I don't know option should be exclusive in multi-select questions</t>
  </si>
  <si>
    <t>https://github.com/cplreyes/ASPSI-DOH-UHC-CAPI-Development/issues/16</t>
  </si>
  <si>
    <t>All of the above should auto-select all other options</t>
  </si>
  <si>
    <t>https://github.com/cplreyes/ASPSI-DOH-UHC-CAPI-Development/issues/17</t>
  </si>
  <si>
    <t>Render scale-style questions as a 2-way matrix instead of one-by-one</t>
  </si>
  <si>
    <t>Enhancement</t>
  </si>
  <si>
    <t>Low</t>
  </si>
  <si>
    <t>https://github.com/cplreyes/ASPSI-DOH-UHC-CAPI-Development/issues/18</t>
  </si>
  <si>
    <t>(A.1.E2) 5.1 Token-paste enrollment</t>
  </si>
  <si>
    <t>https://github.com/cplreyes/ASPSI-DOH-UHC-CAPI-Development/issues/108</t>
  </si>
  <si>
    <t>(A.1.E3) 5.1 Token-paste enrollment</t>
  </si>
  <si>
    <t>https://github.com/cplreyes/ASPSI-DOH-UHC-CAPI-Development/issues/109</t>
  </si>
  <si>
    <t>(A.2.E8) Q9 - 5.2 Section A — Healthcare Worker Profile (Q1–Q11)</t>
  </si>
  <si>
    <t>https://github.com/cplreyes/ASPSI-DOH-UHC-CAPI-Development/issues/110</t>
  </si>
  <si>
    <t>(B.E1) 5.3 Section B — UHC Awareness (Q25)</t>
  </si>
  <si>
    <t>https://github.com/cplreyes/ASPSI-DOH-UHC-CAPI-Development/issues/111</t>
  </si>
  <si>
    <t>5.	(B.E2) 5.3 Section B — UHC Awareness (Q25)</t>
  </si>
  <si>
    <t>https://github.com/cplreyes/ASPSI-DOH-UHC-CAPI-Development/issues/112</t>
  </si>
  <si>
    <t>(C.E1) 5.4 Section C — YAKAP/Konsulta (Q31–Q40, role-gated)</t>
  </si>
  <si>
    <t>https://github.com/cplreyes/ASPSI-DOH-UHC-CAPI-Development/issues/114</t>
  </si>
  <si>
    <t>(C.E2) 5.4 Section C — YAKAP/Konsulta (Q31–Q40, role-gated)</t>
  </si>
  <si>
    <t>https://github.com/cplreyes/ASPSI-DOH-UHC-CAPI-Development/issues/115</t>
  </si>
  <si>
    <t>(Q44) 5.5 Section D — NBB/ZBB Awareness (Q41–Q47, role-gated)</t>
  </si>
  <si>
    <t>https://github.com/cplreyes/ASPSI-DOH-UHC-CAPI-Development/issues/116</t>
  </si>
  <si>
    <t>Section E1 and E2</t>
  </si>
  <si>
    <t>https://github.com/cplreyes/ASPSI-DOH-UHC-CAPI-Development/issues/117</t>
  </si>
  <si>
    <t>Section G — back-nav loses answers at Q87/Q88 + X icon despite ✓ + redirect to F (KAP on Professional Setting, Charging, And Reimbursement)</t>
  </si>
  <si>
    <t>https://github.com/cplreyes/ASPSI-DOH-UHC-CAPI-Development/issues/118</t>
  </si>
  <si>
    <t>5.12 Section J — Job Satisfaction (Q98–Q125, two matrix grids + terminal branch)</t>
  </si>
  <si>
    <t>https://github.com/cplreyes/ASPSI-DOH-UHC-CAPI-Development/issues/119</t>
  </si>
  <si>
    <t>5.13 Submission + Sync</t>
  </si>
  <si>
    <t>https://github.com/cplreyes/ASPSI-DOH-UHC-CAPI-Development/issues/120</t>
  </si>
  <si>
    <t>Sync/Submission</t>
  </si>
  <si>
    <t>https://github.com/cplreyes/ASPSI-DOH-UHC-CAPI-Development/issues/121</t>
  </si>
  <si>
    <t>Sync + Submission</t>
  </si>
  <si>
    <t>https://github.com/cplreyes/ASPSI-DOH-UHC-CAPI-Development/issues/122</t>
  </si>
  <si>
    <t>F2 Admin Portal</t>
  </si>
  <si>
    <t>#4 – Reference: Admin Portal Layout</t>
  </si>
  <si>
    <t>https://github.com/cplreyes/ASPSI-DOH-UHC-CAPI-Development/issues/68</t>
  </si>
  <si>
    <t>5.1 Login + session</t>
  </si>
  <si>
    <t>https://github.com/cplreyes/ASPSI-DOH-UHC-CAPI-Development/issues/69</t>
  </si>
  <si>
    <t>Login + session</t>
  </si>
  <si>
    <t>https://github.com/cplreyes/ASPSI-DOH-UHC-CAPI-Development/issues/70</t>
  </si>
  <si>
    <t>https://github.com/cplreyes/ASPSI-DOH-UHC-CAPI-Development/issues/71</t>
  </si>
  <si>
    <t>https://github.com/cplreyes/ASPSI-DOH-UHC-CAPI-Development/issues/72</t>
  </si>
  <si>
    <t>Data dashboard — Responses sub-tab - Other Observation</t>
  </si>
  <si>
    <t>https://github.com/cplreyes/ASPSI-DOH-UHC-CAPI-Development/issues/78</t>
  </si>
  <si>
    <t>5.3 Data dashboard — Audit sub-tab</t>
  </si>
  <si>
    <t>https://github.com/cplreyes/ASPSI-DOH-UHC-CAPI-Development/issues/79</t>
  </si>
  <si>
    <t>Data dashboard — Audit sub-tab</t>
  </si>
  <si>
    <t>https://github.com/cplreyes/ASPSI-DOH-UHC-CAPI-Development/issues/80</t>
  </si>
  <si>
    <t>Data dashboard — Audit sub-tab - Other Observations</t>
  </si>
  <si>
    <t>https://github.com/cplreyes/ASPSI-DOH-UHC-CAPI-Development/issues/82</t>
  </si>
  <si>
    <t>Data dashboard — DLQ sub-tab</t>
  </si>
  <si>
    <t>https://github.com/cplreyes/ASPSI-DOH-UHC-CAPI-Development/issues/83</t>
  </si>
  <si>
    <t>https://github.com/cplreyes/ASPSI-DOH-UHC-CAPI-Development/issues/84</t>
  </si>
  <si>
    <t>5.5 Data dashboard — HCWs sub-tab + Reissue Token flow</t>
  </si>
  <si>
    <t>https://github.com/cplreyes/ASPSI-DOH-UHC-CAPI-Development/issues/85</t>
  </si>
  <si>
    <t>Data dashboard — HCWs sub-tab + Reissue Token flow</t>
  </si>
  <si>
    <t>https://github.com/cplreyes/ASPSI-DOH-UHC-CAPI-Development/issues/86</t>
  </si>
  <si>
    <t>https://github.com/cplreyes/ASPSI-DOH-UHC-CAPI-Development/issues/87</t>
  </si>
  <si>
    <t>https://github.com/cplreyes/ASPSI-DOH-UHC-CAPI-Development/issues/88</t>
  </si>
  <si>
    <t>5.7 Reports — Map Report sub-tab</t>
  </si>
  <si>
    <t>https://github.com/cplreyes/ASPSI-DOH-UHC-CAPI-Development/issues/89</t>
  </si>
  <si>
    <t>Reports — Map Report sub-tab</t>
  </si>
  <si>
    <t>https://github.com/cplreyes/ASPSI-DOH-UHC-CAPI-Development/issues/90</t>
  </si>
  <si>
    <t>5.9 Apps &amp; Settings — Files sub-tab</t>
  </si>
  <si>
    <t>https://github.com/cplreyes/ASPSI-DOH-UHC-CAPI-Development/issues/91</t>
  </si>
  <si>
    <t>Apps &amp; Settings — Files sub-tab</t>
  </si>
  <si>
    <t>https://github.com/cplreyes/ASPSI-DOH-UHC-CAPI-Development/issues/92</t>
  </si>
  <si>
    <t>i18n</t>
  </si>
  <si>
    <t>https://github.com/cplreyes/ASPSI-DOH-UHC-CAPI-Development/issues/93</t>
  </si>
  <si>
    <t>5.10 Apps &amp; Settings — Data Settings sub-tab</t>
  </si>
  <si>
    <t>https://github.com/cplreyes/ASPSI-DOH-UHC-CAPI-Development/issues/94</t>
  </si>
  <si>
    <t>Apps &amp; Settings — Data Settings sub-tab</t>
  </si>
  <si>
    <t>https://github.com/cplreyes/ASPSI-DOH-UHC-CAPI-Development/issues/95</t>
  </si>
  <si>
    <t>https://github.com/cplreyes/ASPSI-DOH-UHC-CAPI-Development/issues/96</t>
  </si>
  <si>
    <t>5.11 Apps &amp; Settings — Apps Script Quota sub-tab</t>
  </si>
  <si>
    <t>https://github.com/cplreyes/ASPSI-DOH-UHC-CAPI-Development/issues/97</t>
  </si>
  <si>
    <t>5.12 Users dashboard</t>
  </si>
  <si>
    <t>https://github.com/cplreyes/ASPSI-DOH-UHC-CAPI-Development/issues/98</t>
  </si>
  <si>
    <t>Users dashboard</t>
  </si>
  <si>
    <t>https://github.com/cplreyes/ASPSI-DOH-UHC-CAPI-Development/issues/99</t>
  </si>
  <si>
    <t>https://github.com/cplreyes/ASPSI-DOH-UHC-CAPI-Development/issues/100</t>
  </si>
  <si>
    <t>5.14 RBAC + persona switching (the spec story)</t>
  </si>
  <si>
    <t>security</t>
  </si>
  <si>
    <t>https://github.com/cplreyes/ASPSI-DOH-UHC-CAPI-Development/issues/102</t>
  </si>
  <si>
    <t>RBAC + persona switching (the spec story)</t>
  </si>
  <si>
    <t>https://github.com/cplreyes/ASPSI-DOH-UHC-CAPI-Development/issues/103</t>
  </si>
  <si>
    <t>RB.E2 RBAC + persona switching (the spec story)</t>
  </si>
  <si>
    <t>https://github.com/cplreyes/ASPSI-DOH-UHC-CAPI-Development/issues/104</t>
  </si>
  <si>
    <t>5.16 Sub-tab pattern + sidebar (N.H2)</t>
  </si>
  <si>
    <t>https://github.com/cplreyes/ASPSI-DOH-UHC-CAPI-Development/issues/105</t>
  </si>
  <si>
    <t>5.17 Encode dashboard (paper-encoded path) (EH.1)</t>
  </si>
  <si>
    <t>Not actioned / deferred</t>
  </si>
  <si>
    <t>https://github.com/cplreyes/ASPSI-DOH-UHC-CAPI-Development/issues/106</t>
  </si>
  <si>
    <t>5.17 Encode dashboard (paper-encoded path)</t>
  </si>
  <si>
    <t>https://github.com/cplreyes/ASPSI-DOH-UHC-CAPI-Development/issues/107</t>
  </si>
  <si>
    <t>Q4/Q9/Q10/Q11 — raw Zod error 'Expected number, received nan' leaks to UI</t>
  </si>
  <si>
    <t>https://github.com/cplreyes/ASPSI-DOH-UHC-CAPI-Development/issues/19</t>
  </si>
  <si>
    <t>Inverted heading hierarchy — page H1 (18px) smaller than section H2 (24px)</t>
  </si>
  <si>
    <t>visual</t>
  </si>
  <si>
    <t>https://github.com/cplreyes/ASPSI-DOH-UHC-CAPI-Development/issues/20</t>
  </si>
  <si>
    <t>Form layout pushed off-center on viewports ≥1600px</t>
  </si>
  <si>
    <t>https://github.com/cplreyes/ASPSI-DOH-UHC-CAPI-Development/issues/21</t>
  </si>
  <si>
    <t>Disabled buttons fail WCAG AA contrast (opacity:0.5 on teal → ~2:1)</t>
  </si>
  <si>
    <t>https://github.com/cplreyes/ASPSI-DOH-UHC-CAPI-Development/issues/22</t>
  </si>
  <si>
    <t>Default button height 32px below 44px tablet touch-target minimum</t>
  </si>
  <si>
    <t>https://github.com/cplreyes/ASPSI-DOH-UHC-CAPI-Development/issues/23</t>
  </si>
  <si>
    <t>No visible focus ring on keyboard Tab navigation</t>
  </si>
  <si>
    <t>a11y</t>
  </si>
  <si>
    <t>https://github.com/cplreyes/ASPSI-DOH-UHC-CAPI-Development/issues/24</t>
  </si>
  <si>
    <t>Q1_3 Middle Initial should be optional (apply same fix pattern as #14)</t>
  </si>
  <si>
    <t>https://github.com/cplreyes/ASPSI-DOH-UHC-CAPI-Development/issues/25</t>
  </si>
  <si>
    <t>Inconsistent Other label casing Q2 comma form vs Q5 parens form</t>
  </si>
  <si>
    <t>https://github.com/cplreyes/ASPSI-DOH-UHC-CAPI-Development/issues/26</t>
  </si>
  <si>
    <t>Locked sidebar sections appear as enabled buttons in a11y tree</t>
  </si>
  <si>
    <t>https://github.com/cplreyes/ASPSI-DOH-UHC-CAPI-Development/issues/27</t>
  </si>
  <si>
    <t>Test Facility present in seed/cached facility list (also on staging)</t>
  </si>
  <si>
    <t>https://github.com/cplreyes/ASPSI-DOH-UHC-CAPI-Development/issues/28</t>
  </si>
  <si>
    <t>Right-edge floating arrow indicator clips off-screen at 375px viewport</t>
  </si>
  <si>
    <t>https://github.com/cplreyes/ASPSI-DOH-UHC-CAPI-Development/issues/29</t>
  </si>
  <si>
    <t>Header subtitle low contrast uses --muted instead of --muted-foreground</t>
  </si>
  <si>
    <t>https://github.com/cplreyes/ASPSI-DOH-UHC-CAPI-Development/issues/30</t>
  </si>
  <si>
    <t>Section F/G multi-select state pollution: selections unchecked when answering other questions</t>
  </si>
  <si>
    <t>https://github.com/cplreyes/ASPSI-DOH-UHC-CAPI-Development/issues/33</t>
  </si>
  <si>
    <t>Cloudflare Pages auto-deploy on staging push is not firing</t>
  </si>
  <si>
    <t>https://github.com/cplreyes/ASPSI-DOH-UHC-CAPI-Development/issues/34</t>
  </si>
  <si>
    <t>Worker PBKDF2 hash defaults (600k iters) exceed Cloudflare Workers runtime cap (100k)</t>
  </si>
  <si>
    <t>https://github.com/cplreyes/ASPSI-DOH-UHC-CAPI-Development/issues/35</t>
  </si>
  <si>
    <t>F2 PWA `.env.local` stale — missing `VITE_F2_PROXY_URL` silently breaks staging build</t>
  </si>
  <si>
    <t>https://github.com/cplreyes/ASPSI-DOH-UHC-CAPI-Development/issues/45</t>
  </si>
  <si>
    <t>F2 PWA enrollment: Enroll button no-ops on real-browser staging (verified token, no IDB write, no error)</t>
  </si>
  <si>
    <t>https://github.com/cplreyes/ASPSI-DOH-UHC-CAPI-Development/issues/46</t>
  </si>
  <si>
    <t>EnrollmentScreen: Refresh button uses pre-enrollment deviceToken (empty) instead of verified token</t>
  </si>
  <si>
    <t>https://github.com/cplreyes/ASPSI-DOH-UHC-CAPI-Development/issues/52</t>
  </si>
  <si>
    <t>[E6-PWA-007] UAT Round 3 — R2 + v2.0.1 regression + new-scenarios bundle (HCW survey + Admin Portal, on prod v2.0.0+v2.0.1)</t>
  </si>
  <si>
    <t>https://github.com/cplreyes/ASPSI-DOH-UHC-CAPI-Development/issues/271</t>
  </si>
  <si>
    <t>[P0][E4-PWA-014] AS deploy gap blocks v2.0.1 admin features (admin_users_change_password, bulk_import, etc.)</t>
  </si>
  <si>
    <t>https://github.com/cplreyes/ASPSI-DOH-UHC-CAPI-Development/issues/294</t>
  </si>
  <si>
    <t>5.A2 - Round 3 (R2 + v2.0.1 Fix Regression)</t>
  </si>
  <si>
    <t>https://github.com/cplreyes/ASPSI-DOH-UHC-CAPI-Development/issues/296</t>
  </si>
  <si>
    <t>Section E1/E2 issues (BUCAS / GAMOT awareness)</t>
  </si>
  <si>
    <t>https://github.com/cplreyes/ASPSI-DOH-UHC-CAPI-Development/issues/298</t>
  </si>
  <si>
    <t>[F2 PWA UAT R3] Section B Q13 to Q24: can proceed to next section even if no specification of "reasons"</t>
  </si>
  <si>
    <t>https://github.com/cplreyes/ASPSI-DOH-UHC-CAPI-Development/issues/302</t>
  </si>
  <si>
    <t>Section A Q11 - answer with decimal</t>
  </si>
  <si>
    <t>Design decision</t>
  </si>
  <si>
    <t>Resolved as design decision</t>
  </si>
  <si>
    <t>https://github.com/cplreyes/ASPSI-DOH-UHC-CAPI-Development/issues/303</t>
  </si>
  <si>
    <t>Section E Q52 - option 'No significant impact'</t>
  </si>
  <si>
    <t>https://github.com/cplreyes/ASPSI-DOH-UHC-CAPI-Development/issues/304</t>
  </si>
  <si>
    <t>Section A Q9 - constraints in answers for 'Year' and 'Months'</t>
  </si>
  <si>
    <t>https://github.com/cplreyes/ASPSI-DOH-UHC-CAPI-Development/issues/305</t>
  </si>
  <si>
    <t>Section C Q35 - code for 'Don't Know' or 'Can't recall'</t>
  </si>
  <si>
    <t>https://github.com/cplreyes/ASPSI-DOH-UHC-CAPI-Development/issues/306</t>
  </si>
  <si>
    <t>Section C Q36 - allows only one answer</t>
  </si>
  <si>
    <t>https://github.com/cplreyes/ASPSI-DOH-UHC-CAPI-Development/issues/307</t>
  </si>
  <si>
    <t>Section C Q38 in relation to Q34</t>
  </si>
  <si>
    <t>https://github.com/cplreyes/ASPSI-DOH-UHC-CAPI-Development/issues/308</t>
  </si>
  <si>
    <t>Section C Q39 option “Not a physician/dentist”</t>
  </si>
  <si>
    <t>Design decision — ASPSI</t>
  </si>
  <si>
    <t>https://github.com/cplreyes/ASPSI-DOH-UHC-CAPI-Development/issues/309</t>
  </si>
  <si>
    <t>Section D Q47 - option for "None"</t>
  </si>
  <si>
    <t>https://github.com/cplreyes/ASPSI-DOH-UHC-CAPI-Development/issues/310</t>
  </si>
  <si>
    <t>Section J Q110 - option for "None"</t>
  </si>
  <si>
    <t>https://github.com/cplreyes/ASPSI-DOH-UHC-CAPI-Development/issues/311</t>
  </si>
  <si>
    <t>Section J Q125 - allowing multiple responses</t>
  </si>
  <si>
    <t>https://github.com/cplreyes/ASPSI-DOH-UHC-CAPI-Development/issues/312</t>
  </si>
  <si>
    <t>Putting note for the respondents: "Multiple response allowed"</t>
  </si>
  <si>
    <t>https://github.com/cplreyes/ASPSI-DOH-UHC-CAPI-Development/issues/313</t>
  </si>
  <si>
    <t>Cannot see the responses in matrix (Job Satisfaction) when editing</t>
  </si>
  <si>
    <t>https://github.com/cplreyes/ASPSI-DOH-UHC-CAPI-Development/issues/314</t>
  </si>
  <si>
    <t>F1 — Facility Head</t>
  </si>
  <si>
    <t>[UAT R4][F1] Tracking — Facility Head Survey findings</t>
  </si>
  <si>
    <t>https://github.com/cplreyes/ASPSI-DOH-UHC-CAPI-Development/issues/368</t>
  </si>
  <si>
    <t>F1_AWSP_Section C</t>
  </si>
  <si>
    <t>https://github.com/cplreyes/ASPSI-DOH-UHC-CAPI-Development/issues/371</t>
  </si>
  <si>
    <t>https://github.com/cplreyes/ASPSI-DOH-UHC-CAPI-Development/issues/372</t>
  </si>
  <si>
    <t>F1_Section C</t>
  </si>
  <si>
    <t>https://github.com/cplreyes/ASPSI-DOH-UHC-CAPI-Development/issues/373</t>
  </si>
  <si>
    <t>https://github.com/cplreyes/ASPSI-DOH-UHC-CAPI-Development/issues/374</t>
  </si>
  <si>
    <t>https://github.com/cplreyes/ASPSI-DOH-UHC-CAPI-Development/issues/375</t>
  </si>
  <si>
    <t>[UAT R4][F1, Section C Q14, Q17, Q19, Q21, Q23, Q25, Q27, Q29, Q31]</t>
  </si>
  <si>
    <t>UAT form</t>
  </si>
  <si>
    <t>https://github.com/cplreyes/ASPSI-DOH-UHC-CAPI-Development/issues/376</t>
  </si>
  <si>
    <t>F1_Section C, Q49 to Q50; Q50 to Q51</t>
  </si>
  <si>
    <t>https://github.com/cplreyes/ASPSI-DOH-UHC-CAPI-Development/issues/377</t>
  </si>
  <si>
    <t>F1_Section D, Q53, Q54</t>
  </si>
  <si>
    <t>https://github.com/cplreyes/ASPSI-DOH-UHC-CAPI-Development/issues/378</t>
  </si>
  <si>
    <t>F1_Section D, Q58, Q59</t>
  </si>
  <si>
    <t>https://github.com/cplreyes/ASPSI-DOH-UHC-CAPI-Development/issues/379</t>
  </si>
  <si>
    <t>F1_Section D, Q80</t>
  </si>
  <si>
    <t>https://github.com/cplreyes/ASPSI-DOH-UHC-CAPI-Development/issues/380</t>
  </si>
  <si>
    <t>F1_Section D, Q90</t>
  </si>
  <si>
    <t>https://github.com/cplreyes/ASPSI-DOH-UHC-CAPI-Development/issues/381</t>
  </si>
  <si>
    <t>F1_Section D, Non-YAKAP Facilities</t>
  </si>
  <si>
    <t>https://github.com/cplreyes/ASPSI-DOH-UHC-CAPI-Development/issues/383</t>
  </si>
  <si>
    <t>F1_Section E, Q116</t>
  </si>
  <si>
    <t>https://github.com/cplreyes/ASPSI-DOH-UHC-CAPI-Development/issues/384</t>
  </si>
  <si>
    <t>F1, Section F, Q121</t>
  </si>
  <si>
    <t>https://github.com/cplreyes/ASPSI-DOH-UHC-CAPI-Development/issues/385</t>
  </si>
  <si>
    <t>F1_Section G, Q152</t>
  </si>
  <si>
    <t>https://github.com/cplreyes/ASPSI-DOH-UHC-CAPI-Development/issues/386</t>
  </si>
  <si>
    <t>F1_Section G, Q158</t>
  </si>
  <si>
    <t>https://github.com/cplreyes/ASPSI-DOH-UHC-CAPI-Development/issues/387</t>
  </si>
  <si>
    <t>[UAT R4][F1_Section H, Q166</t>
  </si>
  <si>
    <t>https://github.com/cplreyes/ASPSI-DOH-UHC-CAPI-Development/issues/388</t>
  </si>
  <si>
    <t>F1 - Response Selection (Q53)</t>
  </si>
  <si>
    <t>https://github.com/cplreyes/ASPSI-DOH-UHC-CAPI-Development/issues/526</t>
  </si>
  <si>
    <t>F1 - Q63</t>
  </si>
  <si>
    <t>https://github.com/cplreyes/ASPSI-DOH-UHC-CAPI-Development/issues/527</t>
  </si>
  <si>
    <t>F1 - Response Layout (Q64)</t>
  </si>
  <si>
    <t>https://github.com/cplreyes/ASPSI-DOH-UHC-CAPI-Development/issues/529</t>
  </si>
  <si>
    <t>F1 - Response Layout (Q65 to Q76; Q78, Q79)</t>
  </si>
  <si>
    <t>https://github.com/cplreyes/ASPSI-DOH-UHC-CAPI-Development/issues/531</t>
  </si>
  <si>
    <t>F1 - Section D (Q100)</t>
  </si>
  <si>
    <t>https://github.com/cplreyes/ASPSI-DOH-UHC-CAPI-Development/issues/541</t>
  </si>
  <si>
    <t>F1 - Response Layout | Section F (Q121-Q134)</t>
  </si>
  <si>
    <t>https://github.com/cplreyes/ASPSI-DOH-UHC-CAPI-Development/issues/567</t>
  </si>
  <si>
    <t>[PRIORITY] F1 - Q15</t>
  </si>
  <si>
    <t>https://github.com/cplreyes/ASPSI-DOH-UHC-CAPI-Development/issues/629</t>
  </si>
  <si>
    <t>[URGENT] F1_Section C (Q15 and Q18)</t>
  </si>
  <si>
    <t>Urgent</t>
  </si>
  <si>
    <t>https://github.com/cplreyes/ASPSI-DOH-UHC-CAPI-Development/issues/630</t>
  </si>
  <si>
    <t>[URGENT] F1 (Q20, Q22, Q24, Q26, Q28, Q30, Q31-Q34)</t>
  </si>
  <si>
    <t>https://github.com/cplreyes/ASPSI-DOH-UHC-CAPI-Development/issues/632</t>
  </si>
  <si>
    <t>[URGENT] F1 - Q34</t>
  </si>
  <si>
    <t>https://github.com/cplreyes/ASPSI-DOH-UHC-CAPI-Development/issues/636</t>
  </si>
  <si>
    <t>F3 — Patient</t>
  </si>
  <si>
    <t>[UAT R4][F3] Tracking — Patient Survey findings</t>
  </si>
  <si>
    <t>https://github.com/cplreyes/ASPSI-DOH-UHC-CAPI-Development/issues/369</t>
  </si>
  <si>
    <t>F3_FC Facility GPS</t>
  </si>
  <si>
    <t>https://github.com/cplreyes/ASPSI-DOH-UHC-CAPI-Development/issues/382</t>
  </si>
  <si>
    <t>F3_Section E, Q82</t>
  </si>
  <si>
    <t>https://github.com/cplreyes/ASPSI-DOH-UHC-CAPI-Development/issues/389</t>
  </si>
  <si>
    <t>https://github.com/cplreyes/ASPSI-DOH-UHC-CAPI-Development/issues/390</t>
  </si>
  <si>
    <t>[UAT R4][F3] ‘Not Applicable’ option for Q17</t>
  </si>
  <si>
    <t>https://github.com/cplreyes/ASPSI-DOH-UHC-CAPI-Development/issues/545</t>
  </si>
  <si>
    <t>[UAT R4][F3] Placement of script and note for Section C</t>
  </si>
  <si>
    <t>https://github.com/cplreyes/ASPSI-DOH-UHC-CAPI-Development/issues/546</t>
  </si>
  <si>
    <t>[UAT R4][F3] Placement of script and note for Section D</t>
  </si>
  <si>
    <t>https://github.com/cplreyes/ASPSI-DOH-UHC-CAPI-Development/issues/548</t>
  </si>
  <si>
    <t>[UAT R4][F3] Placement of script for Section E</t>
  </si>
  <si>
    <t>https://github.com/cplreyes/ASPSI-DOH-UHC-CAPI-Development/issues/549</t>
  </si>
  <si>
    <t>[UAT R4][F3] Piping of facility name - partially resolved</t>
  </si>
  <si>
    <t>https://github.com/cplreyes/ASPSI-DOH-UHC-CAPI-Development/issues/550</t>
  </si>
  <si>
    <t>[UAT R4][F3] Placement of script and/or note (other not yet resolved)</t>
  </si>
  <si>
    <t>https://github.com/cplreyes/ASPSI-DOH-UHC-CAPI-Development/issues/551</t>
  </si>
  <si>
    <t>[UAT R4][F3] Correction to "warning message"</t>
  </si>
  <si>
    <t>https://github.com/cplreyes/ASPSI-DOH-UHC-CAPI-Development/issues/553</t>
  </si>
  <si>
    <t>[UAT R4][F3] Section H - Q106</t>
  </si>
  <si>
    <t>https://github.com/cplreyes/ASPSI-DOH-UHC-CAPI-Development/issues/554</t>
  </si>
  <si>
    <t>[UAT R4][F3] "Don't know the difference" option in Q159</t>
  </si>
  <si>
    <t>https://github.com/cplreyes/ASPSI-DOH-UHC-CAPI-Development/issues/618</t>
  </si>
  <si>
    <t>[URGENT] F3 - Updated Range of Income Category</t>
  </si>
  <si>
    <t>https://github.com/cplreyes/ASPSI-DOH-UHC-CAPI-Development/issues/631</t>
  </si>
  <si>
    <t>[URGENT] F3 - Question Formatting_Q42</t>
  </si>
  <si>
    <t>https://github.com/cplreyes/ASPSI-DOH-UHC-CAPI-Development/issues/635</t>
  </si>
  <si>
    <t>[URGENT] F3 - Question Formatting_Q50</t>
  </si>
  <si>
    <t>https://github.com/cplreyes/ASPSI-DOH-UHC-CAPI-Development/issues/639</t>
  </si>
  <si>
    <t>[URGENT] F3 - Question Formatting_Q52</t>
  </si>
  <si>
    <t>https://github.com/cplreyes/ASPSI-DOH-UHC-CAPI-Development/issues/640</t>
  </si>
  <si>
    <t>[URGENT] F3 - Question Formatting_Q59, Q61, Q70, and Q73</t>
  </si>
  <si>
    <t>https://github.com/cplreyes/ASPSI-DOH-UHC-CAPI-Development/issues/669</t>
  </si>
  <si>
    <t>[URGENT] F3 - Question Formatting_Q75, Q82, Q85, Q86, &amp; Q87</t>
  </si>
  <si>
    <t>https://github.com/cplreyes/ASPSI-DOH-UHC-CAPI-Development/issues/670</t>
  </si>
  <si>
    <t>[URGENT] F3 - Question Formatting_Q90</t>
  </si>
  <si>
    <t>https://github.com/cplreyes/ASPSI-DOH-UHC-CAPI-Development/issues/671</t>
  </si>
  <si>
    <t>[URGENT] F3 - Question Formatting_Q92 + Separate it in Q91</t>
  </si>
  <si>
    <t>https://github.com/cplreyes/ASPSI-DOH-UHC-CAPI-Development/issues/672</t>
  </si>
  <si>
    <t>[URGENT] F3 - Question Formatting_Q93</t>
  </si>
  <si>
    <t>https://github.com/cplreyes/ASPSI-DOH-UHC-CAPI-Development/issues/673</t>
  </si>
  <si>
    <t>[URGENT] F3 - Question Formatting_Q94</t>
  </si>
  <si>
    <t>https://github.com/cplreyes/ASPSI-DOH-UHC-CAPI-Development/issues/674</t>
  </si>
  <si>
    <t>[URGENT] F3 - Question Formatting_Q96</t>
  </si>
  <si>
    <t>https://github.com/cplreyes/ASPSI-DOH-UHC-CAPI-Development/issues/675</t>
  </si>
  <si>
    <t>[URGENT] F3 - Lesser Page for each Item (Q97.1, Q97.2, and Q98)</t>
  </si>
  <si>
    <t>https://github.com/cplreyes/ASPSI-DOH-UHC-CAPI-Development/issues/689</t>
  </si>
  <si>
    <t>[URGENT] [PRIORITY] F3 - Question Formatting_Q100 and Q103</t>
  </si>
  <si>
    <t>https://github.com/cplreyes/ASPSI-DOH-UHC-CAPI-Development/issues/690</t>
  </si>
  <si>
    <t>[URGENT] F3 - Question Formatting_Q107 + Separate it in Q106; and Question Formatting_Q111 + Separate it in Q112</t>
  </si>
  <si>
    <t>https://github.com/cplreyes/ASPSI-DOH-UHC-CAPI-Development/issues/691</t>
  </si>
  <si>
    <t>[URGENT] F3 - Lesser Page for each Item (Q109)</t>
  </si>
  <si>
    <t>https://github.com/cplreyes/ASPSI-DOH-UHC-CAPI-Development/issues/692</t>
  </si>
  <si>
    <t>[URGENT] F3 - Lesser Page for each Item (Q112, Q113, and Q115)</t>
  </si>
  <si>
    <t>https://github.com/cplreyes/ASPSI-DOH-UHC-CAPI-Development/issues/693</t>
  </si>
  <si>
    <t>Section H _Q114</t>
  </si>
  <si>
    <t>https://github.com/cplreyes/ASPSI-DOH-UHC-CAPI-Development/issues/694</t>
  </si>
  <si>
    <t>(Urgent) F3_Section I_Q122&amp;123</t>
  </si>
  <si>
    <t>https://github.com/cplreyes/ASPSI-DOH-UHC-CAPI-Development/issues/695</t>
  </si>
  <si>
    <t>(Urgent) F3_Section G,H,K,L</t>
  </si>
  <si>
    <t>https://github.com/cplreyes/ASPSI-DOH-UHC-CAPI-Development/issues/696</t>
  </si>
  <si>
    <t>[URGENT] [PRIORITY] F3 - Question Formatting_Q128 and Q129</t>
  </si>
  <si>
    <t>https://github.com/cplreyes/ASPSI-DOH-UHC-CAPI-Development/issues/700</t>
  </si>
  <si>
    <t>F3 - 5B.4</t>
  </si>
  <si>
    <t>Blocked — ASPSI input needed</t>
  </si>
  <si>
    <t>https://github.com/cplreyes/ASPSI-DOH-UHC-CAPI-Development/issues/712</t>
  </si>
  <si>
    <t>F3 - 5C.5	Photo at the end</t>
  </si>
  <si>
    <t>https://github.com/cplreyes/ASPSI-DOH-UHC-CAPI-Development/issues/713</t>
  </si>
  <si>
    <t>F3 - Automatic Insertion of Facility Name in Subsequent Questions After Q66</t>
  </si>
  <si>
    <t>https://github.com/cplreyes/ASPSI-DOH-UHC-CAPI-Development/issues/714</t>
  </si>
  <si>
    <t>F3 - Respondent's Answer</t>
  </si>
  <si>
    <t>https://github.com/cplreyes/ASPSI-DOH-UHC-CAPI-Development/issues/715</t>
  </si>
  <si>
    <t>[UAT R4][F3] Display/form layout for Q92</t>
  </si>
  <si>
    <t>https://github.com/cplreyes/ASPSI-DOH-UHC-CAPI-Development/issues/716</t>
  </si>
  <si>
    <t>F4 — Household</t>
  </si>
  <si>
    <t>[UAT R4][F4] Tracking — Household Survey findings</t>
  </si>
  <si>
    <t>roster</t>
  </si>
  <si>
    <t>https://github.com/cplreyes/ASPSI-DOH-UHC-CAPI-Development/issues/370</t>
  </si>
  <si>
    <t>F4_Section B_Q4</t>
  </si>
  <si>
    <t>https://github.com/cplreyes/ASPSI-DOH-UHC-CAPI-Development/issues/518</t>
  </si>
  <si>
    <t>F4 - Skip Logic (Q1)</t>
  </si>
  <si>
    <t>https://github.com/cplreyes/ASPSI-DOH-UHC-CAPI-Development/issues/520</t>
  </si>
  <si>
    <t>F4 - Skip logic (Q4)</t>
  </si>
  <si>
    <t>https://github.com/cplreyes/ASPSI-DOH-UHC-CAPI-Development/issues/521</t>
  </si>
  <si>
    <t>F4_Section C_Q47</t>
  </si>
  <si>
    <t>https://github.com/cplreyes/ASPSI-DOH-UHC-CAPI-Development/issues/522</t>
  </si>
  <si>
    <t>F4 - Skip Logic (Q7-Q10)</t>
  </si>
  <si>
    <t>https://github.com/cplreyes/ASPSI-DOH-UHC-CAPI-Development/issues/523</t>
  </si>
  <si>
    <t>F4_Section C_Q48</t>
  </si>
  <si>
    <t>https://github.com/cplreyes/ASPSI-DOH-UHC-CAPI-Development/issues/525</t>
  </si>
  <si>
    <t>F4_Section J_Q105</t>
  </si>
  <si>
    <t>https://github.com/cplreyes/ASPSI-DOH-UHC-CAPI-Development/issues/544</t>
  </si>
  <si>
    <t>F4_Section G_Q72</t>
  </si>
  <si>
    <t>https://github.com/cplreyes/ASPSI-DOH-UHC-CAPI-Development/issues/575</t>
  </si>
  <si>
    <t>F4_Section K_Q112</t>
  </si>
  <si>
    <t>https://github.com/cplreyes/ASPSI-DOH-UHC-CAPI-Development/issues/592</t>
  </si>
  <si>
    <t>https://github.com/cplreyes/ASPSI-DOH-UHC-CAPI-Development/issues/593</t>
  </si>
  <si>
    <t>F4_Section K_Q119</t>
  </si>
  <si>
    <t>https://github.com/cplreyes/ASPSI-DOH-UHC-CAPI-Development/issues/594</t>
  </si>
  <si>
    <t>F4_Section K_Q120</t>
  </si>
  <si>
    <t>https://github.com/cplreyes/ASPSI-DOH-UHC-CAPI-Development/issues/595</t>
  </si>
  <si>
    <t>F4_Section L_Q126</t>
  </si>
  <si>
    <t>https://github.com/cplreyes/ASPSI-DOH-UHC-CAPI-Development/issues/596</t>
  </si>
  <si>
    <t>F4 - Skipping of Q8</t>
  </si>
  <si>
    <t>https://github.com/cplreyes/ASPSI-DOH-UHC-CAPI-Development/issues/598</t>
  </si>
  <si>
    <t>[UAT R4][F4] Q30 line number 1</t>
  </si>
  <si>
    <t>https://github.com/cplreyes/ASPSI-DOH-UHC-CAPI-Development/issues/601</t>
  </si>
  <si>
    <t>[UAT R4][F4] Options of Q34</t>
  </si>
  <si>
    <t>https://github.com/cplreyes/ASPSI-DOH-UHC-CAPI-Development/issues/602</t>
  </si>
  <si>
    <t>[UAT R4][F4] Line number 1 for Q35 to Q38</t>
  </si>
  <si>
    <t>https://github.com/cplreyes/ASPSI-DOH-UHC-CAPI-Development/issues/603</t>
  </si>
  <si>
    <t>F4 - Skipping for Q36</t>
  </si>
  <si>
    <t>https://github.com/cplreyes/ASPSI-DOH-UHC-CAPI-Development/issues/604</t>
  </si>
  <si>
    <t>F4 - Skipping for Q37</t>
  </si>
  <si>
    <t>https://github.com/cplreyes/ASPSI-DOH-UHC-CAPI-Development/issues/605</t>
  </si>
  <si>
    <t>[UAT R4][F4] Connection between Q11 and Q39</t>
  </si>
  <si>
    <t>https://github.com/cplreyes/ASPSI-DOH-UHC-CAPI-Development/issues/606</t>
  </si>
  <si>
    <t>[UAT R4][F4] Connection between Q11 and Q40</t>
  </si>
  <si>
    <t>https://github.com/cplreyes/ASPSI-DOH-UHC-CAPI-Development/issues/607</t>
  </si>
  <si>
    <t>[UAT R4][F4] General inquiry on options of Q40</t>
  </si>
  <si>
    <t>https://github.com/cplreyes/ASPSI-DOH-UHC-CAPI-Development/issues/608</t>
  </si>
  <si>
    <t>[UAT R4][F4] Connection between Q12 and Q40</t>
  </si>
  <si>
    <t>https://github.com/cplreyes/ASPSI-DOH-UHC-CAPI-Development/issues/609</t>
  </si>
  <si>
    <t>[UAT R4][F4] Piping of names to Q42-Q44</t>
  </si>
  <si>
    <t>https://github.com/cplreyes/ASPSI-DOH-UHC-CAPI-Development/issues/610</t>
  </si>
  <si>
    <t>[UAT R4][F4] Removal of note to Q46</t>
  </si>
  <si>
    <t>https://github.com/cplreyes/ASPSI-DOH-UHC-CAPI-Development/issues/611</t>
  </si>
  <si>
    <t>[UAT R4][F4] Position of Q47</t>
  </si>
  <si>
    <t>https://github.com/cplreyes/ASPSI-DOH-UHC-CAPI-Development/issues/612</t>
  </si>
  <si>
    <t>[UAT R4][F4] Inquiry on Q48 and Q49</t>
  </si>
  <si>
    <t>https://github.com/cplreyes/ASPSI-DOH-UHC-CAPI-Development/issues/613</t>
  </si>
  <si>
    <t>[UAT R4][F4] HH Member Line number</t>
  </si>
  <si>
    <t>https://github.com/cplreyes/ASPSI-DOH-UHC-CAPI-Development/issues/614</t>
  </si>
  <si>
    <t>(Urgent) F4_Section N_Q157</t>
  </si>
  <si>
    <t>https://github.com/cplreyes/ASPSI-DOH-UHC-CAPI-Development/issues/617</t>
  </si>
  <si>
    <t>F4_Section N_Q157</t>
  </si>
  <si>
    <t>https://github.com/cplreyes/ASPSI-DOH-UHC-CAPI-Development/issues/619</t>
  </si>
  <si>
    <t>F4_Section N_Q177</t>
  </si>
  <si>
    <t>https://github.com/cplreyes/ASPSI-DOH-UHC-CAPI-Development/issues/620</t>
  </si>
  <si>
    <t>F4_Section I_Q89</t>
  </si>
  <si>
    <t>https://github.com/cplreyes/ASPSI-DOH-UHC-CAPI-Development/issues/624</t>
  </si>
  <si>
    <t>F4_Section L_Q129</t>
  </si>
  <si>
    <t>https://github.com/cplreyes/ASPSI-DOH-UHC-CAPI-Development/issues/625</t>
  </si>
  <si>
    <t>https://github.com/cplreyes/ASPSI-DOH-UHC-CAPI-Development/issues/626</t>
  </si>
  <si>
    <t>F4_Section M_Q132</t>
  </si>
  <si>
    <t>https://github.com/cplreyes/ASPSI-DOH-UHC-CAPI-Development/issues/627</t>
  </si>
  <si>
    <t>F4_Section M_Q136</t>
  </si>
  <si>
    <t>https://github.com/cplreyes/ASPSI-DOH-UHC-CAPI-Development/issues/628</t>
  </si>
  <si>
    <t>https://github.com/cplreyes/ASPSI-DOH-UHC-CAPI-Development/issues/633</t>
  </si>
  <si>
    <t>(urgent) F4_Section O</t>
  </si>
  <si>
    <t>https://github.com/cplreyes/ASPSI-DOH-UHC-CAPI-Development/issues/634</t>
  </si>
  <si>
    <t>(urgent) F4_Section O_Q196</t>
  </si>
  <si>
    <t>https://github.com/cplreyes/ASPSI-DOH-UHC-CAPI-Development/issues/637</t>
  </si>
  <si>
    <t>https://github.com/cplreyes/ASPSI-DOH-UHC-CAPI-Development/issues/638</t>
  </si>
  <si>
    <t>[UAT R4][F4] Q57 to Q61</t>
  </si>
  <si>
    <t>https://github.com/cplreyes/ASPSI-DOH-UHC-CAPI-Development/issues/641</t>
  </si>
  <si>
    <t>[UAT R4][F4] Section G - Q65</t>
  </si>
  <si>
    <t>https://github.com/cplreyes/ASPSI-DOH-UHC-CAPI-Development/issues/642</t>
  </si>
  <si>
    <t>[UAT R4][F4] Section G - Q69-Q74 and Q76</t>
  </si>
  <si>
    <t>https://github.com/cplreyes/ASPSI-DOH-UHC-CAPI-Development/issues/643</t>
  </si>
  <si>
    <t>[UAT R4][F4] Section G - Q73</t>
  </si>
  <si>
    <t>https://github.com/cplreyes/ASPSI-DOH-UHC-CAPI-Development/issues/644</t>
  </si>
  <si>
    <t>[UAT R4][F4] Section G - Q74</t>
  </si>
  <si>
    <t>https://github.com/cplreyes/ASPSI-DOH-UHC-CAPI-Development/issues/645</t>
  </si>
  <si>
    <t>[UAT R4][F4] Section G - Q76</t>
  </si>
  <si>
    <t>https://github.com/cplreyes/ASPSI-DOH-UHC-CAPI-Development/issues/646</t>
  </si>
  <si>
    <t>[UAT R4][F4] Section G - Q77</t>
  </si>
  <si>
    <t>https://github.com/cplreyes/ASPSI-DOH-UHC-CAPI-Development/issues/647</t>
  </si>
  <si>
    <t>[UAT R4][F4] Section G- Q78</t>
  </si>
  <si>
    <t>https://github.com/cplreyes/ASPSI-DOH-UHC-CAPI-Development/issues/648</t>
  </si>
  <si>
    <t>F4 - Section H, Q79 to Q88</t>
  </si>
  <si>
    <t>https://github.com/cplreyes/ASPSI-DOH-UHC-CAPI-Development/issues/649</t>
  </si>
  <si>
    <t>[UAT R4][F4] Section I - Q89</t>
  </si>
  <si>
    <t>https://github.com/cplreyes/ASPSI-DOH-UHC-CAPI-Development/issues/650</t>
  </si>
  <si>
    <t>[UAT R4][F4] Section I - Q89.1</t>
  </si>
  <si>
    <t>https://github.com/cplreyes/ASPSI-DOH-UHC-CAPI-Development/issues/651</t>
  </si>
  <si>
    <t>F4 - Section I - Q90</t>
  </si>
  <si>
    <t>https://github.com/cplreyes/ASPSI-DOH-UHC-CAPI-Development/issues/652</t>
  </si>
  <si>
    <t>F4 - Section I - Q93</t>
  </si>
  <si>
    <t>https://github.com/cplreyes/ASPSI-DOH-UHC-CAPI-Development/issues/653</t>
  </si>
  <si>
    <t>F4 - Section I - Q97</t>
  </si>
  <si>
    <t>https://github.com/cplreyes/ASPSI-DOH-UHC-CAPI-Development/issues/654</t>
  </si>
  <si>
    <t>[UAT R4][F4] Section J - Q107</t>
  </si>
  <si>
    <t>https://github.com/cplreyes/ASPSI-DOH-UHC-CAPI-Development/issues/655</t>
  </si>
  <si>
    <t>[UAT R4][F4] Section K - Q113</t>
  </si>
  <si>
    <t>https://github.com/cplreyes/ASPSI-DOH-UHC-CAPI-Development/issues/656</t>
  </si>
  <si>
    <t>[UAT R4][F4] Q117 and Q118</t>
  </si>
  <si>
    <t>https://github.com/cplreyes/ASPSI-DOH-UHC-CAPI-Development/issues/657</t>
  </si>
  <si>
    <t>[UAT R4][F4] Question on satisfaction rating for referral process</t>
  </si>
  <si>
    <t>https://github.com/cplreyes/ASPSI-DOH-UHC-CAPI-Development/issues/658</t>
  </si>
  <si>
    <t>F4 - Section L - Q128</t>
  </si>
  <si>
    <t>https://github.com/cplreyes/ASPSI-DOH-UHC-CAPI-Development/issues/659</t>
  </si>
  <si>
    <t>F4 - Skipping for Q129</t>
  </si>
  <si>
    <t>https://github.com/cplreyes/ASPSI-DOH-UHC-CAPI-Development/issues/660</t>
  </si>
  <si>
    <t>F4 - Skipping for Q130</t>
  </si>
  <si>
    <t>https://github.com/cplreyes/ASPSI-DOH-UHC-CAPI-Development/issues/661</t>
  </si>
  <si>
    <t>F4 - Skipping for Q132</t>
  </si>
  <si>
    <t>https://github.com/cplreyes/ASPSI-DOH-UHC-CAPI-Development/issues/662</t>
  </si>
  <si>
    <t>[UAT R4][F4] Arrangement of options in Q134</t>
  </si>
  <si>
    <t>https://github.com/cplreyes/ASPSI-DOH-UHC-CAPI-Development/issues/663</t>
  </si>
  <si>
    <t>F4 - Appearance of Q135</t>
  </si>
  <si>
    <t>https://github.com/cplreyes/ASPSI-DOH-UHC-CAPI-Development/issues/664</t>
  </si>
  <si>
    <t>F4 - Skipping for Q136</t>
  </si>
  <si>
    <t>https://github.com/cplreyes/ASPSI-DOH-UHC-CAPI-Development/issues/665</t>
  </si>
  <si>
    <t>[UAT R4][F4] "Other (specify)" for Q138</t>
  </si>
  <si>
    <t>https://github.com/cplreyes/ASPSI-DOH-UHC-CAPI-Development/issues/666</t>
  </si>
  <si>
    <t>[UAT R4][F4] Q141.1</t>
  </si>
  <si>
    <t>https://github.com/cplreyes/ASPSI-DOH-UHC-CAPI-Development/issues/667</t>
  </si>
  <si>
    <t>(Urgent) F4_Section Q_Q202</t>
  </si>
  <si>
    <t>https://github.com/cplreyes/ASPSI-DOH-UHC-CAPI-Development/issues/668</t>
  </si>
  <si>
    <t>[UAT R4][F4] Wordings of questions related to consumption</t>
  </si>
  <si>
    <t>https://github.com/cplreyes/ASPSI-DOH-UHC-CAPI-Development/issues/676</t>
  </si>
  <si>
    <t>F4 - Skipping in household expenditure</t>
  </si>
  <si>
    <t>https://github.com/cplreyes/ASPSI-DOH-UHC-CAPI-Development/issues/677</t>
  </si>
  <si>
    <t>[UAT R4][F4] Note to enumerator for “Smoking” item</t>
  </si>
  <si>
    <t>https://github.com/cplreyes/ASPSI-DOH-UHC-CAPI-Development/issues/678</t>
  </si>
  <si>
    <t>[UAT R4][F4] Q165 and Q168</t>
  </si>
  <si>
    <t>https://github.com/cplreyes/ASPSI-DOH-UHC-CAPI-Development/issues/679</t>
  </si>
  <si>
    <t>[UAT R4][F4] Q167</t>
  </si>
  <si>
    <t>https://github.com/cplreyes/ASPSI-DOH-UHC-CAPI-Development/issues/680</t>
  </si>
  <si>
    <t>[UAT R4][F4] Placement of script</t>
  </si>
  <si>
    <t>https://github.com/cplreyes/ASPSI-DOH-UHC-CAPI-Development/issues/681</t>
  </si>
  <si>
    <t>[UAT R4][F4] Script before Q178</t>
  </si>
  <si>
    <t>https://github.com/cplreyes/ASPSI-DOH-UHC-CAPI-Development/issues/682</t>
  </si>
  <si>
    <t>[UAT R4][F4] Script before Q183</t>
  </si>
  <si>
    <t>https://github.com/cplreyes/ASPSI-DOH-UHC-CAPI-Development/issues/683</t>
  </si>
  <si>
    <t>[UAT R4][F4] Q186-Q194</t>
  </si>
  <si>
    <t>https://github.com/cplreyes/ASPSI-DOH-UHC-CAPI-Development/issues/684</t>
  </si>
  <si>
    <t>F4 - Section Q: Q200 and Q201</t>
  </si>
  <si>
    <t>https://github.com/cplreyes/ASPSI-DOH-UHC-CAPI-Development/issues/685</t>
  </si>
  <si>
    <t>[UAT R4][F4] Q202</t>
  </si>
  <si>
    <t>https://github.com/cplreyes/ASPSI-DOH-UHC-CAPI-Development/issues/686</t>
  </si>
  <si>
    <t>[UAT R4][F4] Other scripts that need attention re: placement</t>
  </si>
  <si>
    <t>https://github.com/cplreyes/ASPSI-DOH-UHC-CAPI-Development/issues/687</t>
  </si>
  <si>
    <t>F3 - Skipping for Q89</t>
  </si>
  <si>
    <t>https://github.com/cplreyes/ASPSI-DOH-UHC-CAPI-Development/issues/688</t>
  </si>
  <si>
    <t>F4_Section A_Q1</t>
  </si>
  <si>
    <t>https://github.com/cplreyes/ASPSI-DOH-UHC-CAPI-Development/issues/697</t>
  </si>
  <si>
    <t>F4_Section B_Q9</t>
  </si>
  <si>
    <t>https://github.com/cplreyes/ASPSI-DOH-UHC-CAPI-Development/issues/698</t>
  </si>
  <si>
    <t>https://github.com/cplreyes/ASPSI-DOH-UHC-CAPI-Development/issues/699</t>
  </si>
  <si>
    <t>F4_Section M_Q137</t>
  </si>
  <si>
    <t>https://github.com/cplreyes/ASPSI-DOH-UHC-CAPI-Development/issues/701</t>
  </si>
  <si>
    <t>F4_Section Q_Q200</t>
  </si>
  <si>
    <t>https://github.com/cplreyes/ASPSI-DOH-UHC-CAPI-Development/issues/702</t>
  </si>
  <si>
    <t>F4_Section Q_Q201</t>
  </si>
  <si>
    <t>https://github.com/cplreyes/ASPSI-DOH-UHC-CAPI-Development/issues/703</t>
  </si>
  <si>
    <t>F4_Tagalog Translation _Section A_Q1</t>
  </si>
  <si>
    <t>https://github.com/cplreyes/ASPSI-DOH-UHC-CAPI-Development/issues/705</t>
  </si>
  <si>
    <t>F4_Tagalog_Section B_Q2</t>
  </si>
  <si>
    <t>https://github.com/cplreyes/ASPSI-DOH-UHC-CAPI-Development/issues/706</t>
  </si>
  <si>
    <t>F4_Tagalog_Section B_Q13&amp;Q14</t>
  </si>
  <si>
    <t>https://github.com/cplreyes/ASPSI-DOH-UHC-CAPI-Development/issues/707</t>
  </si>
  <si>
    <t>F4_Section N_Q144-Q156</t>
  </si>
  <si>
    <t>https://github.com/cplreyes/ASPSI-DOH-UHC-CAPI-Development/issues/708</t>
  </si>
  <si>
    <t>F4_Section N_Q158-176, Q178-Q184</t>
  </si>
  <si>
    <t>https://github.com/cplreyes/ASPSI-DOH-UHC-CAPI-Development/issues/709</t>
  </si>
  <si>
    <t>General / Dev</t>
  </si>
  <si>
    <t>[UAT R4][F3] 5B.4 (force-quit)</t>
  </si>
  <si>
    <t>https://github.com/cplreyes/ASPSI-DOH-UHC-CAPI-Development/issues/391</t>
  </si>
  <si>
    <t>[UAT R4][F3] Placement of english version of Q8</t>
  </si>
  <si>
    <t>https://github.com/cplreyes/ASPSI-DOH-UHC-CAPI-Development/issues/394</t>
  </si>
  <si>
    <t>[UAT R4][F3] Tagalog translation of the options of Q16</t>
  </si>
  <si>
    <t>https://github.com/cplreyes/ASPSI-DOH-UHC-CAPI-Development/issues/395</t>
  </si>
  <si>
    <t>[UAT R4][F3] Tagalog translation of Q18</t>
  </si>
  <si>
    <t>https://github.com/cplreyes/ASPSI-DOH-UHC-CAPI-Development/issues/396</t>
  </si>
  <si>
    <t>[UAT R4][F3] Correction of options for Income Category (under Q18)</t>
  </si>
  <si>
    <t>https://github.com/cplreyes/ASPSI-DOH-UHC-CAPI-Development/issues/397</t>
  </si>
  <si>
    <t>[UAT R4][F3] Code for 'Don't Know' for income estimation in Q18</t>
  </si>
  <si>
    <t>https://github.com/cplreyes/ASPSI-DOH-UHC-CAPI-Development/issues/398</t>
  </si>
  <si>
    <t>[UAT R4][F3] "Specify" box for all questions with 'Other (Specify)'</t>
  </si>
  <si>
    <t>https://github.com/cplreyes/ASPSI-DOH-UHC-CAPI-Development/issues/399</t>
  </si>
  <si>
    <t>[UAT R4][F3] "specify" box for Q40</t>
  </si>
  <si>
    <t>https://github.com/cplreyes/ASPSI-DOH-UHC-CAPI-Development/issues/400</t>
  </si>
  <si>
    <t>[UAT R4][F3] Options for Q54</t>
  </si>
  <si>
    <t>https://github.com/cplreyes/ASPSI-DOH-UHC-CAPI-Development/issues/412</t>
  </si>
  <si>
    <t>[UAT R4][F3] Script before Q74</t>
  </si>
  <si>
    <t>https://github.com/cplreyes/ASPSI-DOH-UHC-CAPI-Development/issues/427</t>
  </si>
  <si>
    <t>[UAT R4][F3] Option "I've never heard of it" in Q77</t>
  </si>
  <si>
    <t>https://github.com/cplreyes/ASPSI-DOH-UHC-CAPI-Development/issues/430</t>
  </si>
  <si>
    <t>[UAT R4][F3] Translation and placement of script for Section F</t>
  </si>
  <si>
    <t>https://github.com/cplreyes/ASPSI-DOH-UHC-CAPI-Development/issues/433</t>
  </si>
  <si>
    <t>[UAT R4][F3] Q85 - Selecting "No condition - Regular check-up only" together with other med condition</t>
  </si>
  <si>
    <t>https://github.com/cplreyes/ASPSI-DOH-UHC-CAPI-Development/issues/435</t>
  </si>
  <si>
    <t>[UAT R4][F3] 'Specify' box for Q85</t>
  </si>
  <si>
    <t>https://github.com/cplreyes/ASPSI-DOH-UHC-CAPI-Development/issues/436</t>
  </si>
  <si>
    <t>[UAT R4][F3] General observation on the options for Q86</t>
  </si>
  <si>
    <t>https://github.com/cplreyes/ASPSI-DOH-UHC-CAPI-Development/issues/438</t>
  </si>
  <si>
    <t>[UAT R4][F3] 'Specify' box for Q87</t>
  </si>
  <si>
    <t>https://github.com/cplreyes/ASPSI-DOH-UHC-CAPI-Development/issues/440</t>
  </si>
  <si>
    <t>[UAT R4][F3] Section H was skipped even if type of patient is INPATIENT</t>
  </si>
  <si>
    <t>https://github.com/cplreyes/ASPSI-DOH-UHC-CAPI-Development/issues/441</t>
  </si>
  <si>
    <t>[UAT R4][F3] Tagalog translation and placement of script for Section G</t>
  </si>
  <si>
    <t>https://github.com/cplreyes/ASPSI-DOH-UHC-CAPI-Development/issues/442</t>
  </si>
  <si>
    <t>[UAT R4][F3] Piped name of facility in Q88</t>
  </si>
  <si>
    <t>https://github.com/cplreyes/ASPSI-DOH-UHC-CAPI-Development/issues/443</t>
  </si>
  <si>
    <t>[UAT R4][F3] "None" can be selected with other options in Q93</t>
  </si>
  <si>
    <t>https://github.com/cplreyes/ASPSI-DOH-UHC-CAPI-Development/issues/448</t>
  </si>
  <si>
    <t>[UAT R4][F3] 'Specify' box for Q93</t>
  </si>
  <si>
    <t>https://github.com/cplreyes/ASPSI-DOH-UHC-CAPI-Development/issues/449</t>
  </si>
  <si>
    <t>[UAT R4][F3] Note to enumerator in Q97</t>
  </si>
  <si>
    <t>https://github.com/cplreyes/ASPSI-DOH-UHC-CAPI-Development/issues/455</t>
  </si>
  <si>
    <t>[UAT R4][F3] Translation and placement of script before Q98</t>
  </si>
  <si>
    <t>https://github.com/cplreyes/ASPSI-DOH-UHC-CAPI-Development/issues/461</t>
  </si>
  <si>
    <t>[UAT R4][F3] Concern for skipping of Q99-Q103</t>
  </si>
  <si>
    <t>https://github.com/cplreyes/ASPSI-DOH-UHC-CAPI-Development/issues/464</t>
  </si>
  <si>
    <t>[UAT R4][F3] Placement of script before Q116</t>
  </si>
  <si>
    <t>https://github.com/cplreyes/ASPSI-DOH-UHC-CAPI-Development/issues/470</t>
  </si>
  <si>
    <t>[UAT R4][F3] Q122-Q123 appears for outpatient</t>
  </si>
  <si>
    <t>https://github.com/cplreyes/ASPSI-DOH-UHC-CAPI-Development/issues/476</t>
  </si>
  <si>
    <t>[UAT R4][F3] Skip note for Q124</t>
  </si>
  <si>
    <t>https://github.com/cplreyes/ASPSI-DOH-UHC-CAPI-Development/issues/477</t>
  </si>
  <si>
    <t>[UAT R4][F3] Q126-Q130 appear for outpatient</t>
  </si>
  <si>
    <t>https://github.com/cplreyes/ASPSI-DOH-UHC-CAPI-Development/issues/479</t>
  </si>
  <si>
    <t>[UAT R4][F3] Additional codes for Q128</t>
  </si>
  <si>
    <t>https://github.com/cplreyes/ASPSI-DOH-UHC-CAPI-Development/issues/481</t>
  </si>
  <si>
    <t>[UAT R4][F3] Translation, piping, and placement of script for Section J</t>
  </si>
  <si>
    <t>https://github.com/cplreyes/ASPSI-DOH-UHC-CAPI-Development/issues/485</t>
  </si>
  <si>
    <t>[UAT R4][F3] Piping of facility name to Q143 and Q144</t>
  </si>
  <si>
    <t>https://github.com/cplreyes/ASPSI-DOH-UHC-CAPI-Development/issues/488</t>
  </si>
  <si>
    <t>[UAT R4][F3] Translation and placement of script for Section K</t>
  </si>
  <si>
    <t>https://github.com/cplreyes/ASPSI-DOH-UHC-CAPI-Development/issues/489</t>
  </si>
  <si>
    <t>[UAT R4][F3] Extra question (not numbered but almost similar to Q147)</t>
  </si>
  <si>
    <t>https://github.com/cplreyes/ASPSI-DOH-UHC-CAPI-Development/issues/491</t>
  </si>
  <si>
    <t>[UAT R4][F3] Correction in the script before Q152</t>
  </si>
  <si>
    <t>https://github.com/cplreyes/ASPSI-DOH-UHC-CAPI-Development/issues/494</t>
  </si>
  <si>
    <t>[UAT R4][F3] Concern in answering Q157</t>
  </si>
  <si>
    <t>https://github.com/cplreyes/ASPSI-DOH-UHC-CAPI-Development/issues/500</t>
  </si>
  <si>
    <t>[UAT R4][F3] Translation and placement of script for Section L</t>
  </si>
  <si>
    <t>https://github.com/cplreyes/ASPSI-DOH-UHC-CAPI-Development/issues/505</t>
  </si>
  <si>
    <t>[UAT R4][F3] 'Specify' box for Q163</t>
  </si>
  <si>
    <t>https://github.com/cplreyes/ASPSI-DOH-UHC-CAPI-Development/issues/507</t>
  </si>
  <si>
    <t>[UAT R4][F3] Piping of facility name to Q172</t>
  </si>
  <si>
    <t>https://github.com/cplreyes/ASPSI-DOH-UHC-CAPI-Development/issues/510</t>
  </si>
  <si>
    <t>[UAT R4][F3] 'Specify' box for Q177</t>
  </si>
  <si>
    <t>https://github.com/cplreyes/ASPSI-DOH-UHC-CAPI-Development/issues/513</t>
  </si>
  <si>
    <t>[UAT R4][F3] "Not applicable" option in Q178</t>
  </si>
  <si>
    <t>https://github.com/cplreyes/ASPSI-DOH-UHC-CAPI-Development/issues/514</t>
  </si>
  <si>
    <t>[UAT R4][F3] General concern on respondent's withdrawal in the middle of the interview</t>
  </si>
  <si>
    <t>https://github.com/cplreyes/ASPSI-DOH-UHC-CAPI-Development/issues/515</t>
  </si>
  <si>
    <t>[UAT R4][F3] Deletion of enumerator note in Q114</t>
  </si>
  <si>
    <t>https://github.com/cplreyes/ASPSI-DOH-UHC-CAPI-Development/issues/559</t>
  </si>
  <si>
    <t>[UAT R4][F3] General observation for display/form layout of multiple-select questions</t>
  </si>
  <si>
    <t>https://github.com/cplreyes/ASPSI-DOH-UHC-CAPI-Development/issues/560</t>
  </si>
  <si>
    <t>[UAT R4][F3] General observation on syncing of cases</t>
  </si>
  <si>
    <t>https://github.com/cplreyes/ASPSI-DOH-UHC-CAPI-Development/issues/561</t>
  </si>
  <si>
    <t>[UAT R4][PRIORITY] F1, F3, F4 - FIELD CONTROL (VISIT DATE, COUNT AND RESULT)</t>
  </si>
  <si>
    <t>https://github.com/cplreyes/ASPSI-DOH-UHC-CAPI-Development/issues/622</t>
  </si>
  <si>
    <t>F1-F4 | Geographic Identification</t>
  </si>
  <si>
    <t>https://github.com/cplreyes/ASPSI-DOH-UHC-CAPI-Development/issues/728</t>
  </si>
  <si>
    <t>F1 | Wrong response type</t>
  </si>
  <si>
    <t>https://github.com/cplreyes/ASPSI-DOH-UHC-CAPI-Development/issues/734</t>
  </si>
  <si>
    <t>F1 | Incomplete response option</t>
  </si>
  <si>
    <t>https://github.com/cplreyes/ASPSI-DOH-UHC-CAPI-Development/issues/737</t>
  </si>
  <si>
    <t>[URGENT] F1 | Interview Status Tab</t>
  </si>
  <si>
    <t>https://github.com/cplreyes/ASPSI-DOH-UHC-CAPI-Development/issues/744</t>
  </si>
  <si>
    <t>[URGENT] F1 | Partial Save Issue</t>
  </si>
  <si>
    <t>https://github.com/cplreyes/ASPSI-DOH-UHC-CAPI-Development/issues/802</t>
  </si>
  <si>
    <t>F3_Section E_Q54</t>
  </si>
  <si>
    <t>https://github.com/cplreyes/ASPSI-DOH-UHC-CAPI-Development/issues/729</t>
  </si>
  <si>
    <t>F3 - Automatic Insertion of Facility Name in Subsequent Questions (Placeholder)</t>
  </si>
  <si>
    <t>https://github.com/cplreyes/ASPSI-DOH-UHC-CAPI-Development/issues/730</t>
  </si>
  <si>
    <t>F3 -Wrong routing</t>
  </si>
  <si>
    <t>https://github.com/cplreyes/ASPSI-DOH-UHC-CAPI-Development/issues/731</t>
  </si>
  <si>
    <t>F3 - Incomplete Option</t>
  </si>
  <si>
    <t>https://github.com/cplreyes/ASPSI-DOH-UHC-CAPI-Development/issues/732</t>
  </si>
  <si>
    <t>F3 - Facility Placeholder</t>
  </si>
  <si>
    <t>https://github.com/cplreyes/ASPSI-DOH-UHC-CAPI-Development/issues/748</t>
  </si>
  <si>
    <t>F3 - Amount field accepts 0 value</t>
  </si>
  <si>
    <t>https://github.com/cplreyes/ASPSI-DOH-UHC-CAPI-Development/issues/749</t>
  </si>
  <si>
    <t>F3 - Amount fields do not indicate which payment source they correspond to</t>
  </si>
  <si>
    <t>https://github.com/cplreyes/ASPSI-DOH-UHC-CAPI-Development/issues/750</t>
  </si>
  <si>
    <t>F3 - Incorrect Question Numbering Displayed for Payment Rows</t>
  </si>
  <si>
    <t>https://github.com/cplreyes/ASPSI-DOH-UHC-CAPI-Development/issues/751</t>
  </si>
  <si>
    <t>[URGENT] F3 | Q16 and Q17</t>
  </si>
  <si>
    <t>https://github.com/cplreyes/ASPSI-DOH-UHC-CAPI-Development/issues/760</t>
  </si>
  <si>
    <t>[URGENT] F3 | Q18</t>
  </si>
  <si>
    <t>https://github.com/cplreyes/ASPSI-DOH-UHC-CAPI-Development/issues/761</t>
  </si>
  <si>
    <t>[URGENT] F3 | Q29</t>
  </si>
  <si>
    <t>https://github.com/cplreyes/ASPSI-DOH-UHC-CAPI-Development/issues/762</t>
  </si>
  <si>
    <t>[URGENT] F3 | Q30 and Q31</t>
  </si>
  <si>
    <t>https://github.com/cplreyes/ASPSI-DOH-UHC-CAPI-Development/issues/763</t>
  </si>
  <si>
    <t>[URGENT] F3 | Q38, Q38.1, Q38.2</t>
  </si>
  <si>
    <t>https://github.com/cplreyes/ASPSI-DOH-UHC-CAPI-Development/issues/764</t>
  </si>
  <si>
    <t>[URGENT] F3 | Q43, Q44</t>
  </si>
  <si>
    <t>https://github.com/cplreyes/ASPSI-DOH-UHC-CAPI-Development/issues/765</t>
  </si>
  <si>
    <t>[URGENT] F3 | Q58</t>
  </si>
  <si>
    <t>https://github.com/cplreyes/ASPSI-DOH-UHC-CAPI-Development/issues/766</t>
  </si>
  <si>
    <t>[URGENT] F3 | Q59-Q62</t>
  </si>
  <si>
    <t>https://github.com/cplreyes/ASPSI-DOH-UHC-CAPI-Development/issues/767</t>
  </si>
  <si>
    <t>[URGENT] F3 | Q66, Q69</t>
  </si>
  <si>
    <t>https://github.com/cplreyes/ASPSI-DOH-UHC-CAPI-Development/issues/769</t>
  </si>
  <si>
    <t>[URGENT] F3 | Missing response option</t>
  </si>
  <si>
    <t>https://github.com/cplreyes/ASPSI-DOH-UHC-CAPI-Development/issues/770</t>
  </si>
  <si>
    <t>F3_Section E_Q79</t>
  </si>
  <si>
    <t>https://github.com/cplreyes/ASPSI-DOH-UHC-CAPI-Development/issues/771</t>
  </si>
  <si>
    <t>[URGENT] F3_Section G_Q88</t>
  </si>
  <si>
    <t>https://github.com/cplreyes/ASPSI-DOH-UHC-CAPI-Development/issues/772</t>
  </si>
  <si>
    <t>[URGENT] F3_Section G_Q92</t>
  </si>
  <si>
    <t>https://github.com/cplreyes/ASPSI-DOH-UHC-CAPI-Development/issues/773</t>
  </si>
  <si>
    <t>[URGENT] F3_Section G_Q89-Q91</t>
  </si>
  <si>
    <t>https://github.com/cplreyes/ASPSI-DOH-UHC-CAPI-Development/issues/775</t>
  </si>
  <si>
    <t>[URGENT] F3_Section E_Q66</t>
  </si>
  <si>
    <t>https://github.com/cplreyes/ASPSI-DOH-UHC-CAPI-Development/issues/776</t>
  </si>
  <si>
    <t>[URGENT] F3_Section G_Q94</t>
  </si>
  <si>
    <t>https://github.com/cplreyes/ASPSI-DOH-UHC-CAPI-Development/issues/777</t>
  </si>
  <si>
    <t>[URGENT] F3_Section G_Q93-Q94</t>
  </si>
  <si>
    <t>https://github.com/cplreyes/ASPSI-DOH-UHC-CAPI-Development/issues/778</t>
  </si>
  <si>
    <t>[URGENT] F3_Q96</t>
  </si>
  <si>
    <t>https://github.com/cplreyes/ASPSI-DOH-UHC-CAPI-Development/issues/779</t>
  </si>
  <si>
    <t>[URGENT] F3_Section H_Q107</t>
  </si>
  <si>
    <t>https://github.com/cplreyes/ASPSI-DOH-UHC-CAPI-Development/issues/780</t>
  </si>
  <si>
    <t>[URGENT] F3_ Q92, Q107, Q109</t>
  </si>
  <si>
    <t>https://github.com/cplreyes/ASPSI-DOH-UHC-CAPI-Development/issues/781</t>
  </si>
  <si>
    <t>[URGENT] F3_Q97 &amp; Q115</t>
  </si>
  <si>
    <t>https://github.com/cplreyes/ASPSI-DOH-UHC-CAPI-Development/issues/782</t>
  </si>
  <si>
    <t>[URGENT] F3_Q129</t>
  </si>
  <si>
    <t>https://github.com/cplreyes/ASPSI-DOH-UHC-CAPI-Development/issues/783</t>
  </si>
  <si>
    <t>[URGENT] F3_Facility Address</t>
  </si>
  <si>
    <t>https://github.com/cplreyes/ASPSI-DOH-UHC-CAPI-Development/issues/784</t>
  </si>
  <si>
    <t>[URGENT] F3_Facility Name</t>
  </si>
  <si>
    <t>https://github.com/cplreyes/ASPSI-DOH-UHC-CAPI-Development/issues/785</t>
  </si>
  <si>
    <t>[UAT R5][F3] [URGENT] _Facility Address</t>
  </si>
  <si>
    <t>https://github.com/cplreyes/ASPSI-DOH-UHC-CAPI-Development/issues/786</t>
  </si>
  <si>
    <t>[URGENT] F3_Q54</t>
  </si>
  <si>
    <t>https://github.com/cplreyes/ASPSI-DOH-UHC-CAPI-Development/issues/787</t>
  </si>
  <si>
    <t>[URGENT] [UAT R5][F3]_For Rescheduling of Postponed Interview</t>
  </si>
  <si>
    <t>https://github.com/cplreyes/ASPSI-DOH-UHC-CAPI-Development/issues/788</t>
  </si>
  <si>
    <t>[URGENT] F3_Q103</t>
  </si>
  <si>
    <t>https://github.com/cplreyes/ASPSI-DOH-UHC-CAPI-Development/issues/789</t>
  </si>
  <si>
    <t>F3_Section L_Q169</t>
  </si>
  <si>
    <t>https://github.com/cplreyes/ASPSI-DOH-UHC-CAPI-Development/issues/799</t>
  </si>
  <si>
    <t>[URGENT] [PRIORITY] F3 - Q94 Missing indication for each laboratory test in the following questions</t>
  </si>
  <si>
    <t>https://github.com/cplreyes/ASPSI-DOH-UHC-CAPI-Development/issues/801</t>
  </si>
  <si>
    <t>https://github.com/cplreyes/ASPSI-DOH-UHC-CAPI-Development/issues/806</t>
  </si>
  <si>
    <t>F4_Section H_Q86</t>
  </si>
  <si>
    <t>https://github.com/cplreyes/ASPSI-DOH-UHC-CAPI-Development/issues/726</t>
  </si>
  <si>
    <t>F4_Case Verification Photo</t>
  </si>
  <si>
    <t>https://github.com/cplreyes/ASPSI-DOH-UHC-CAPI-Development/issues/727</t>
  </si>
  <si>
    <t>F4_Section C</t>
  </si>
  <si>
    <t>https://github.com/cplreyes/ASPSI-DOH-UHC-CAPI-Development/issues/733</t>
  </si>
  <si>
    <t>F4_whole survey</t>
  </si>
  <si>
    <t>https://github.com/cplreyes/ASPSI-DOH-UHC-CAPI-Development/issues/735</t>
  </si>
  <si>
    <t>https://github.com/cplreyes/ASPSI-DOH-UHC-CAPI-Development/issues/736</t>
  </si>
  <si>
    <t>F4_Section N_Q183</t>
  </si>
  <si>
    <t>https://github.com/cplreyes/ASPSI-DOH-UHC-CAPI-Development/issues/738</t>
  </si>
  <si>
    <t>F4_Section N_Q168-169</t>
  </si>
  <si>
    <t>https://github.com/cplreyes/ASPSI-DOH-UHC-CAPI-Development/issues/739</t>
  </si>
  <si>
    <t>F4_Section N_Q170-Q176</t>
  </si>
  <si>
    <t>https://github.com/cplreyes/ASPSI-DOH-UHC-CAPI-Development/issues/740</t>
  </si>
  <si>
    <t>F4_Section N_Q178</t>
  </si>
  <si>
    <t>https://github.com/cplreyes/ASPSI-DOH-UHC-CAPI-Development/issues/741</t>
  </si>
  <si>
    <t>F4_Section N_Q179</t>
  </si>
  <si>
    <t>https://github.com/cplreyes/ASPSI-DOH-UHC-CAPI-Development/issues/742</t>
  </si>
  <si>
    <t>[UAT R5][__] (Urgent)_F4_Section N</t>
  </si>
  <si>
    <t>https://github.com/cplreyes/ASPSI-DOH-UHC-CAPI-Development/issues/743</t>
  </si>
  <si>
    <t>F4_Section N_Q152, Q159, Q162, Q163, Q164, Q168, Q169, Q171, Q180, Q181, Q183, Q184</t>
  </si>
  <si>
    <t>https://github.com/cplreyes/ASPSI-DOH-UHC-CAPI-Development/issues/745</t>
  </si>
  <si>
    <t>F4_Section N_Q178-Q182</t>
  </si>
  <si>
    <t>https://github.com/cplreyes/ASPSI-DOH-UHC-CAPI-Development/issues/746</t>
  </si>
  <si>
    <t>F4_Section N_Q183-Q184</t>
  </si>
  <si>
    <t>https://github.com/cplreyes/ASPSI-DOH-UHC-CAPI-Development/issues/747</t>
  </si>
  <si>
    <t>[UAT R5][F4]_Section N</t>
  </si>
  <si>
    <t>https://github.com/cplreyes/ASPSI-DOH-UHC-CAPI-Development/issues/755</t>
  </si>
  <si>
    <t>[URGENT] F4_Parent F3 Patient Case Sequence</t>
  </si>
  <si>
    <t>https://github.com/cplreyes/ASPSI-DOH-UHC-CAPI-Development/issues/790</t>
  </si>
  <si>
    <t>[URGENT]</t>
  </si>
  <si>
    <t>https://github.com/cplreyes/ASPSI-DOH-UHC-CAPI-Development/issues/791</t>
  </si>
  <si>
    <t>[URGENT] F4_Q29</t>
  </si>
  <si>
    <t>https://github.com/cplreyes/ASPSI-DOH-UHC-CAPI-Development/issues/792</t>
  </si>
  <si>
    <t>https://github.com/cplreyes/ASPSI-DOH-UHC-CAPI-Development/issues/793</t>
  </si>
  <si>
    <t>[URGENT] F4_Q45.1</t>
  </si>
  <si>
    <t>https://github.com/cplreyes/ASPSI-DOH-UHC-CAPI-Development/issues/794</t>
  </si>
  <si>
    <t>[URGENT] F4_Q45.2</t>
  </si>
  <si>
    <t>https://github.com/cplreyes/ASPSI-DOH-UHC-CAPI-Development/issues/795</t>
  </si>
  <si>
    <t>F4_Section F_BUCAS</t>
  </si>
  <si>
    <t>https://github.com/cplreyes/ASPSI-DOH-UHC-CAPI-Development/issues/796</t>
  </si>
  <si>
    <t>F4_Section G_GAMOT</t>
  </si>
  <si>
    <t>https://github.com/cplreyes/ASPSI-DOH-UHC-CAPI-Development/issues/797</t>
  </si>
  <si>
    <t>[URGENT] F4_Section H_Q85</t>
  </si>
  <si>
    <t>https://github.com/cplreyes/ASPSI-DOH-UHC-CAPI-Development/issues/798</t>
  </si>
  <si>
    <t>F4_Section  J_Q103</t>
  </si>
  <si>
    <t>https://github.com/cplreyes/ASPSI-DOH-UHC-CAPI-Development/issues/800</t>
  </si>
  <si>
    <t>[F4] Household Characteristic Target Interface — member-name header on all Section C questions</t>
  </si>
  <si>
    <t>https://github.com/cplreyes/ASPSI-DOH-UHC-CAPI-Development/issues/803</t>
  </si>
  <si>
    <t>[URGENT] F4_Section N</t>
  </si>
  <si>
    <t>https://github.com/cplreyes/ASPSI-DOH-UHC-CAPI-Development/issues/805</t>
  </si>
  <si>
    <t>F2 - Production Environment_Missing Translations</t>
  </si>
  <si>
    <t>https://github.com/cplreyes/ASPSI-DOH-UHC-CAPI-Development/issues/768</t>
  </si>
  <si>
    <t>F2 - Re-opening Issue #621 (Translations)</t>
  </si>
  <si>
    <t>https://github.com/cplreyes/ASPSI-DOH-UHC-CAPI-Development/issues/774</t>
  </si>
  <si>
    <t>[R5] F1 Facility Head Survey — UAT Round 5 tracking</t>
  </si>
  <si>
    <t>https://github.com/cplreyes/ASPSI-DOH-UHC-CAPI-Development/issues/719</t>
  </si>
  <si>
    <t>[R5] F3 Patient Survey — UAT Round 5 tracking</t>
  </si>
  <si>
    <t>https://github.com/cplreyes/ASPSI-DOH-UHC-CAPI-Development/issues/720</t>
  </si>
  <si>
    <t>[R5] F4 Household Survey — UAT Round 5 tracking</t>
  </si>
  <si>
    <t>https://github.com/cplreyes/ASPSI-DOH-UHC-CAPI-Development/issues/721</t>
  </si>
  <si>
    <t>[R5] F2 HCW Survey (PWA) — UAT Round 5 tracking</t>
  </si>
  <si>
    <t>https://github.com/cplreyes/ASPSI-DOH-UHC-CAPI-Development/issues/722</t>
  </si>
  <si>
    <t>[R5] F2 Admin Portal — UAT Round 5 tracking</t>
  </si>
  <si>
    <t>https://github.com/cplreyes/ASPSI-DOH-UHC-CAPI-Development/issues/723</t>
  </si>
  <si>
    <t>[R5] CSWeb Monitoring — UAT Round 5 tracking</t>
  </si>
  <si>
    <t>https://github.com/cplreyes/ASPSI-DOH-UHC-CAPI-Development/issues/724</t>
  </si>
  <si>
    <t>All GitHub issues (full register, incl. non-UAT dev/backlog)</t>
  </si>
  <si>
    <t>(none)</t>
  </si>
  <si>
    <t>Q9 – Months Input Validation</t>
  </si>
  <si>
    <t>Duplicate</t>
  </si>
  <si>
    <t>https://github.com/cplreyes/ASPSI-DOH-UHC-CAPI-Development/issues/7</t>
  </si>
  <si>
    <t>Skip Logic / Navigation Issues</t>
  </si>
  <si>
    <t>https://github.com/cplreyes/ASPSI-DOH-UHC-CAPI-Development/issues/9</t>
  </si>
  <si>
    <t>F2 PWA QA delta — 2026-05-04</t>
  </si>
  <si>
    <t>https://github.com/cplreyes/ASPSI-DOH-UHC-CAPI-Development/issues/55</t>
  </si>
  <si>
    <t>[E4-APRT-044] RBAC role-version cache stale-entry — revoked permissions persist up to 60 min</t>
  </si>
  <si>
    <t>https://github.com/cplreyes/ASPSI-DOH-UHC-CAPI-Development/issues/56</t>
  </si>
  <si>
    <t>[E4-APRT-045] JWT password_must_change enforced only client-side; bypassable via direct API</t>
  </si>
  <si>
    <t>https://github.com/cplreyes/ASPSI-DOH-UHC-CAPI-Development/issues/57</t>
  </si>
  <si>
    <t>[E4-APRT-041] Create-HCW UI in Admin Portal — first-class Create form</t>
  </si>
  <si>
    <t>https://github.com/cplreyes/ASPSI-DOH-UHC-CAPI-Development/issues/58</t>
  </si>
  <si>
    <t>[E4-APRT-049a] Replace raw &lt;button&gt; with &lt;Button&gt; primitive — restore focus-visible ring</t>
  </si>
  <si>
    <t>https://github.com/cplreyes/ASPSI-DOH-UHC-CAPI-Development/issues/59</t>
  </si>
  <si>
    <t>[E4-APRT-049b] Form inputs missing focus-visible ring — border-bottom-only affordance fix</t>
  </si>
  <si>
    <t>https://github.com/cplreyes/ASPSI-DOH-UHC-CAPI-Development/issues/60</t>
  </si>
  <si>
    <t>[E4-APRT-049c] Drop rounded-full from filter pills + status badges + sidebar avatar</t>
  </si>
  <si>
    <t>https://github.com/cplreyes/ASPSI-DOH-UHC-CAPI-Development/issues/61</t>
  </si>
  <si>
    <t>[E4-APRT-049d] QuotaWidget uses --error for 80% Apps Script quota warning — switch to --warning</t>
  </si>
  <si>
    <t>https://github.com/cplreyes/ASPSI-DOH-UHC-CAPI-Development/issues/62</t>
  </si>
  <si>
    <t>[E4-APRT-037] Concurrency tests — two-admin reissue race / bulk import + role edit / cron + PWA submit</t>
  </si>
  <si>
    <t>https://github.com/cplreyes/ASPSI-DOH-UHC-CAPI-Development/issues/63</t>
  </si>
  <si>
    <t>[E4-APRT-042] Per-tester admin user accounts on prod — separate Shan/Kidd from carl_admin</t>
  </si>
  <si>
    <t>https://github.com/cplreyes/ASPSI-DOH-UHC-CAPI-Development/issues/64</t>
  </si>
  <si>
    <t>[E4-APRT-043] Production ADMIN_PASSWORD_HASH deletion (M10 sunset, prod side)</t>
  </si>
  <si>
    <t>https://github.com/cplreyes/ASPSI-DOH-UHC-CAPI-Development/issues/65</t>
  </si>
  <si>
    <t>[E4-APRT-048] Users — last_login_at write path on successful login (half-built bug)</t>
  </si>
  <si>
    <t>https://github.com/cplreyes/ASPSI-DOH-UHC-CAPI-Development/issues/66</t>
  </si>
  <si>
    <t>[E4-APRT-049e] ReissueTokenModal doesn't dismiss on Escape key — fix per DESIGN.md</t>
  </si>
  <si>
    <t>https://github.com/cplreyes/ASPSI-DOH-UHC-CAPI-Development/issues/67</t>
  </si>
  <si>
    <t>https://github.com/cplreyes/ASPSI-DOH-UHC-CAPI-Development/issues/73</t>
  </si>
  <si>
    <t>https://github.com/cplreyes/ASPSI-DOH-UHC-CAPI-Development/issues/74</t>
  </si>
  <si>
    <t>https://github.com/cplreyes/ASPSI-DOH-UHC-CAPI-Development/issues/75</t>
  </si>
  <si>
    <t>5.2 Data dashboard — Responses sub-tab</t>
  </si>
  <si>
    <t>https://github.com/cplreyes/ASPSI-DOH-UHC-CAPI-Development/issues/76</t>
  </si>
  <si>
    <t>Data dashboard — Responses sub-tab</t>
  </si>
  <si>
    <t>https://github.com/cplreyes/ASPSI-DOH-UHC-CAPI-Development/issues/77</t>
  </si>
  <si>
    <t>https://github.com/cplreyes/ASPSI-DOH-UHC-CAPI-Development/issues/81</t>
  </si>
  <si>
    <t>5.1	Login + Session</t>
  </si>
  <si>
    <t>https://github.com/cplreyes/ASPSI-DOH-UHC-CAPI-Development/issues/101</t>
  </si>
  <si>
    <t>[E3-F1-080] Phase 1 — Python generator pipeline (canonical CSPro 8.0 source emitters)</t>
  </si>
  <si>
    <t>https://github.com/cplreyes/ASPSI-DOH-UHC-CAPI-Development/issues/123</t>
  </si>
  <si>
    <t>[E3-F1-081] Phase 1 — build_all.py orchestrator + env splice (urls.yaml → .ent)</t>
  </si>
  <si>
    <t>https://github.com/cplreyes/ASPSI-DOH-UHC-CAPI-Development/issues/124</t>
  </si>
  <si>
    <t>[E3-F1-082] Phase 1 — login_app (101_login) chain entry point</t>
  </si>
  <si>
    <t>https://github.com/cplreyes/ASPSI-DOH-UHC-CAPI-Development/issues/125</t>
  </si>
  <si>
    <t>[E3-F1-083] Phase 1 — menu_app (106_menu) enumerator-only menu</t>
  </si>
  <si>
    <t>https://github.com/cplreyes/ASPSI-DOH-UHC-CAPI-Development/issues/126</t>
  </si>
  <si>
    <t>[E3-F1-084] Phase 1 — F1 full generator chain (671 items / 12 records, all artifacts)</t>
  </si>
  <si>
    <t>https://github.com/cplreyes/ASPSI-DOH-UHC-CAPI-Development/issues/127</t>
  </si>
  <si>
    <t>[E3-F1-085] Phase 1 — local CSWeb deploy proven (F7 → Deploy Application wizard → CSWeb)</t>
  </si>
  <si>
    <t>https://github.com/cplreyes/ASPSI-DOH-UHC-CAPI-Development/issues/128</t>
  </si>
  <si>
    <t>[E3-F1-086] Phase 1 — CSEntry tablet sync chain proven (login → menu → F1, partialSave)</t>
  </si>
  <si>
    <t>https://github.com/cplreyes/ASPSI-DOH-UHC-CAPI-Development/issues/129</t>
  </si>
  <si>
    <t>[E3-F1-087] Phase 1 — CSPro 8.0 syntax gotchas catalog (Phase 2 / F3 / F4 reference)</t>
  </si>
  <si>
    <t>https://github.com/cplreyes/ASPSI-DOH-UHC-CAPI-Development/issues/130</t>
  </si>
  <si>
    <t>[E3-F1-088] Phase 1 sync mechanic resolution — syncdata external-dict + CSDB binding</t>
  </si>
  <si>
    <t>https://github.com/cplreyes/ASPSI-DOH-UHC-CAPI-Development/issues/131</t>
  </si>
  <si>
    <t>[E4-APRT-049] Design-review 5-fix sweep (focus rings + rounded-full + QuotaWidget + modal escape)</t>
  </si>
  <si>
    <t>https://github.com/cplreyes/ASPSI-DOH-UHC-CAPI-Development/issues/132</t>
  </si>
  <si>
    <t>[E4-APRT-050] Orphan-admin guard + self-delete guard on adminUsersDelete</t>
  </si>
  <si>
    <t>https://github.com/cplreyes/ASPSI-DOH-UHC-CAPI-Development/issues/133</t>
  </si>
  <si>
    <t>[E4-APRT-051] Change-password UI replacing /admin/me/change-password placeholder</t>
  </si>
  <si>
    <t>https://github.com/cplreyes/ASPSI-DOH-UHC-CAPI-Development/issues/134</t>
  </si>
  <si>
    <t>[E3-F1-PHASE2-PLAN] Phase 2 plan + scope confirmation (PLF + F3 + F4_listing + F4 + supervisor menu + EA fence + daily audit Slack)</t>
  </si>
  <si>
    <t>https://github.com/cplreyes/ASPSI-DOH-UHC-CAPI-Development/issues/135</t>
  </si>
  <si>
    <t>PLF</t>
  </si>
  <si>
    <t>[E2-PLF-003] Implementation decision: lightweight CAPI vs paper-only</t>
  </si>
  <si>
    <t>https://github.com/cplreyes/ASPSI-DOH-UHC-CAPI-Development/issues/137</t>
  </si>
  <si>
    <t>[E2-PLF-004] If CAPI: `generate_dcf.py` + DCF v1 (minimal, single-record)</t>
  </si>
  <si>
    <t>https://github.com/cplreyes/ASPSI-DOH-UHC-CAPI-Development/issues/138</t>
  </si>
  <si>
    <t>[E2-PLF-005] If CAPI: minimal skip logic + validation rules</t>
  </si>
  <si>
    <t>https://github.com/cplreyes/ASPSI-DOH-UHC-CAPI-Development/issues/139</t>
  </si>
  <si>
    <t>[E2-PLF-006] If CAPI: Designer validation + sign-off</t>
  </si>
  <si>
    <t>https://github.com/cplreyes/ASPSI-DOH-UHC-CAPI-Development/issues/140</t>
  </si>
  <si>
    <t>[E3-F1-002] Lay out Sections B–H with grouped screens matching interviewer flow</t>
  </si>
  <si>
    <t>https://github.com/cplreyes/ASPSI-DOH-UHC-CAPI-Development/issues/141</t>
  </si>
  <si>
    <t>[E3-F1-003] Assign capture types per field (radio, drop-down, number pad, date picker) to optimize tablet entry speed</t>
  </si>
  <si>
    <t>https://github.com/cplreyes/ASPSI-DOH-UHC-CAPI-Development/issues/142</t>
  </si>
  <si>
    <t>[E3-F1-010] Populate English question text from questionnaire; use `~~item~~` fills for personalized text (facility name, respondent...</t>
  </si>
  <si>
    <t>https://github.com/cplreyes/ASPSI-DOH-UHC-CAPI-Development/issues/143</t>
  </si>
  <si>
    <t>[E3-F1-011] Add Filipino translations for all question labels and option text</t>
  </si>
  <si>
    <t>https://github.com/cplreyes/ASPSI-DOH-UHC-CAPI-Development/issues/144</t>
  </si>
  <si>
    <t>[E3-F1-012] Set up multi-language switching (`setlanguage`, language-select on cover page)</t>
  </si>
  <si>
    <t>https://github.com/cplreyes/ASPSI-DOH-UHC-CAPI-Development/issues/145</t>
  </si>
  <si>
    <t>[E3-F1-020] Implement master skip gates (section-level eligibility filters)</t>
  </si>
  <si>
    <t>https://github.com/cplreyes/ASPSI-DOH-UHC-CAPI-Development/issues/146</t>
  </si>
  <si>
    <t>[E3-F1-021] Implement field-level skip logic per `F1-Skip-Logic-and-Validations.md` skip table</t>
  </si>
  <si>
    <t>https://github.com/cplreyes/ASPSI-DOH-UHC-CAPI-Development/issues/147</t>
  </si>
  <si>
    <t>[E3-F1-022] Wire hard validations: `errmsg` + `reenter` per rule (age ≥ 18, registered ≤ eligible, date ranges, lat/lon bounds)</t>
  </si>
  <si>
    <t>https://github.com/cplreyes/ASPSI-DOH-UHC-CAPI-Development/issues/148</t>
  </si>
  <si>
    <t>[E3-F1-023] Wire soft validations: `accept()` overrides per rule (capitation ceilings, unusual values)</t>
  </si>
  <si>
    <t>https://github.com/cplreyes/ASPSI-DOH-UHC-CAPI-Development/issues/149</t>
  </si>
  <si>
    <t>[E3-F1-024] Wire display gates: conditional visibility via `postproc` / `onfocus`</t>
  </si>
  <si>
    <t>https://github.com/cplreyes/ASPSI-DOH-UHC-CAPI-Development/issues/150</t>
  </si>
  <si>
    <t>[E3-F1-030] Implement dynamic value sets (`setvalueset()`) for facility-type-dependent option lists</t>
  </si>
  <si>
    <t>https://github.com/cplreyes/ASPSI-DOH-UHC-CAPI-Development/issues/151</t>
  </si>
  <si>
    <t>[E3-F1-031] Implement cross-field consistency checks (e.g., tenure ≤ age − 15)</t>
  </si>
  <si>
    <t>https://github.com/cplreyes/ASPSI-DOH-UHC-CAPI-Development/issues/152</t>
  </si>
  <si>
    <t>[E3-F1-032] Implement conditional question text fills (facility name, respondent name in follow-up questions)</t>
  </si>
  <si>
    <t>https://github.com/cplreyes/ASPSI-DOH-UHC-CAPI-Development/issues/153</t>
  </si>
  <si>
    <t>[E3-F1-040] Informed consent capture screen (with explicit accept/refuse + timestamp)</t>
  </si>
  <si>
    <t>https://github.com/cplreyes/ASPSI-DOH-UHC-CAPI-Development/issues/154</t>
  </si>
  <si>
    <t>[E3-F1-041] Eligibility screen (must pass before main questionnaire loads)</t>
  </si>
  <si>
    <t>https://github.com/cplreyes/ASPSI-DOH-UHC-CAPI-Development/issues/155</t>
  </si>
  <si>
    <t>[E3-F1-042] AAPOR-aligned disposition codes (completed, partial, refused, ineligible, contact attempt, etc.)</t>
  </si>
  <si>
    <t>https://github.com/cplreyes/ASPSI-DOH-UHC-CAPI-Development/issues/156</t>
  </si>
  <si>
    <t>[E3-F1-043] GPS capture at start of interview — uses `ReadGPSReading()` helper from `Capture-Helpers.apc`; writes `FACILITY_GPS_*` i...</t>
  </si>
  <si>
    <t>https://github.com/cplreyes/ASPSI-DOH-UHC-CAPI-Development/issues/157</t>
  </si>
  <si>
    <t>[E3-F1-044] Interviewer ID + Supervisor ID capture</t>
  </si>
  <si>
    <t>https://github.com/cplreyes/ASPSI-DOH-UHC-CAPI-Development/issues/158</t>
  </si>
  <si>
    <t>[E3-F1-045] Date/time stamps (start, end, duration)</t>
  </si>
  <si>
    <t>https://github.com/cplreyes/ASPSI-DOH-UHC-CAPI-Development/issues/159</t>
  </si>
  <si>
    <t>[E3-F1-050] Partial save / resume behavior configured (what happens mid-interview)</t>
  </si>
  <si>
    <t>https://github.com/cplreyes/ASPSI-DOH-UHC-CAPI-Development/issues/160</t>
  </si>
  <si>
    <t>[E3-F1-060] CSEntry Windows smoke test: happy path from cover page to last question</t>
  </si>
  <si>
    <t>https://github.com/cplreyes/ASPSI-DOH-UHC-CAPI-Development/issues/161</t>
  </si>
  <si>
    <t>[E3-F2-PWA-DESIGN-004] Self-host fonts under `public/fonts/*.woff2` (replaces CDN path from PR #38). **Gated on `pyftsubset`/fontTools tooling*...</t>
  </si>
  <si>
    <t>https://github.com/cplreyes/ASPSI-DOH-UHC-CAPI-Development/issues/162</t>
  </si>
  <si>
    <t>[E3-F2-PWA-DESIGN-005] Refine Verde Manual hex values from official DOH brand-book PDF (Department Order 2020-0011, Verde Vision 2023+). Curren...</t>
  </si>
  <si>
    <t>https://github.com/cplreyes/ASPSI-DOH-UHC-CAPI-Development/issues/163</t>
  </si>
  <si>
    <t>[E3-F3-015] Outpatient vs inpatient branching at eligibility screen</t>
  </si>
  <si>
    <t>https://github.com/cplreyes/ASPSI-DOH-UHC-CAPI-Development/issues/164</t>
  </si>
  <si>
    <t>[E3-F4-070] Household roster grid: add-member, edit-member, remove-member, reorder</t>
  </si>
  <si>
    <t>https://github.com/cplreyes/ASPSI-DOH-UHC-CAPI-Development/issues/165</t>
  </si>
  <si>
    <t>[E3-F4-071] Per-member sub-questionnaire loop (conditional on age/relation/etc.)</t>
  </si>
  <si>
    <t>https://github.com/cplreyes/ASPSI-DOH-UHC-CAPI-Development/issues/166</t>
  </si>
  <si>
    <t>[E3-F4-072] Cross-member consistency rules (e.g., only one household head, spouse implies head exists)</t>
  </si>
  <si>
    <t>https://github.com/cplreyes/ASPSI-DOH-UHC-CAPI-Development/issues/167</t>
  </si>
  <si>
    <t>[E3-F4-073] Max roster size validation + soft warning at unusual sizes</t>
  </si>
  <si>
    <t>https://github.com/cplreyes/ASPSI-DOH-UHC-CAPI-Development/issues/168</t>
  </si>
  <si>
    <t>[E3-F4-074] WHO expenditure grid + catastrophic-expenditure check (Section N flat batteries)</t>
  </si>
  <si>
    <t>https://github.com/cplreyes/ASPSI-DOH-UHC-CAPI-Development/issues/169</t>
  </si>
  <si>
    <t>[E3-F4-075] Bill-recall chain (Section N)</t>
  </si>
  <si>
    <t>https://github.com/cplreyes/ASPSI-DOH-UHC-CAPI-Development/issues/170</t>
  </si>
  <si>
    <t>[E3-PLF-001] If CAPI: minimal form with facility selector + patient entries grid</t>
  </si>
  <si>
    <t>https://github.com/cplreyes/ASPSI-DOH-UHC-CAPI-Development/issues/171</t>
  </si>
  <si>
    <t>[E4-PWA-010] Backend secrets rotation policy documented (HMAC, JWT_SIGNING_KEY, Apps Script deploy ID)</t>
  </si>
  <si>
    <t>https://github.com/cplreyes/ASPSI-DOH-UHC-CAPI-Development/issues/172</t>
  </si>
  <si>
    <t>[E4-PWA-011] Backup + restore runbook for FacilityMasterList + submissions sheets</t>
  </si>
  <si>
    <t>https://github.com/cplreyes/ASPSI-DOH-UHC-CAPI-Development/issues/173</t>
  </si>
  <si>
    <t>[E4-APRT-046] Files dashboard — Create Folder feature — CSWeb-mirror parity gap surfaced 2026-05-06 during PO review. R2 doesn't nativ...</t>
  </si>
  <si>
    <t>https://github.com/cplreyes/ASPSI-DOH-UHC-CAPI-Development/issues/174</t>
  </si>
  <si>
    <t>[E4-APRT-047] Files dashboard — Rename feature — CSWeb-mirror parity gap surfaced 2026-05-06 during PO review. Files in F2_Files sheet...</t>
  </si>
  <si>
    <t>https://github.com/cplreyes/ASPSI-DOH-UHC-CAPI-Development/issues/175</t>
  </si>
  <si>
    <t>Integration</t>
  </si>
  <si>
    <t>[E4-INT-001] ETL spec drafted — CSWeb (F1/F3/F4) + F2 PWA backend → unified analysis store</t>
  </si>
  <si>
    <t>https://github.com/cplreyes/ASPSI-DOH-UHC-CAPI-Development/issues/176</t>
  </si>
  <si>
    <t>[E4-INT-002] Looker Studio (or equivalent) dashboard prototype over the unified store</t>
  </si>
  <si>
    <t>https://github.com/cplreyes/ASPSI-DOH-UHC-CAPI-Development/issues/177</t>
  </si>
  <si>
    <t>[E4-INT-003] Codebook-driven harmonization (per `concepts/aspsi-data-harmonization`) wired into ETL</t>
  </si>
  <si>
    <t>https://github.com/cplreyes/ASPSI-DOH-UHC-CAPI-Development/issues/178</t>
  </si>
  <si>
    <t>Field-Ops</t>
  </si>
  <si>
    <t>[E5-CAPI-001] Tablet specification finalized — model, OS, storage, accessories per enumerator team    *(spec drafted; awaiting procure...</t>
  </si>
  <si>
    <t>https://github.com/cplreyes/ASPSI-DOH-UHC-CAPI-Development/issues/179</t>
  </si>
  <si>
    <t>[E5-CAPI-002] Tablet procurement + receipt — count matches enumerator headcount + spares</t>
  </si>
  <si>
    <t>https://github.com/cplreyes/ASPSI-DOH-UHC-CAPI-Development/issues/180</t>
  </si>
  <si>
    <t>[E5-CAPI-003] Imaging SOP — base config, MDM enrollment, CSEntry install, security baseline</t>
  </si>
  <si>
    <t>https://github.com/cplreyes/ASPSI-DOH-UHC-CAPI-Development/issues/181</t>
  </si>
  <si>
    <t>[E5-CAPI-004] Per-tablet enrollment — bind tablet ID to enumerator ID, push initial CSPro app + dictionary</t>
  </si>
  <si>
    <t>https://github.com/cplreyes/ASPSI-DOH-UHC-CAPI-Development/issues/182</t>
  </si>
  <si>
    <t>[E5-CAPI-005] Field replacement protocol — how to swap a broken/lost tablet without losing in-flight data</t>
  </si>
  <si>
    <t>https://github.com/cplreyes/ASPSI-DOH-UHC-CAPI-Development/issues/183</t>
  </si>
  <si>
    <t>[E5-CAPI-006] Charging + connectivity logistics for cluster deployment</t>
  </si>
  <si>
    <t>https://github.com/cplreyes/ASPSI-DOH-UHC-CAPI-Development/issues/184</t>
  </si>
  <si>
    <t>[E5-CAPI-007] Tablet retrieval + decommission SOP at engagement close    *(feeds Epic 12)*</t>
  </si>
  <si>
    <t>https://github.com/cplreyes/ASPSI-DOH-UHC-CAPI-Development/issues/185</t>
  </si>
  <si>
    <t>[E5-PWA-004] Production HCW distribution-list SOP — how facilities receive the link, who confirms enrollment, escalation path</t>
  </si>
  <si>
    <t>https://github.com/cplreyes/ASPSI-DOH-UHC-CAPI-Development/issues/186</t>
  </si>
  <si>
    <t>[E5-PWA-005] Reminder cadence + automation — periodic nudges to non-respondents (frequency, channel, opt-out)</t>
  </si>
  <si>
    <t>https://github.com/cplreyes/ASPSI-DOH-UHC-CAPI-Development/issues/187</t>
  </si>
  <si>
    <t>[E5-PWA-006] HCW completion-tracking dashboard — who's done, who's pending, by facility</t>
  </si>
  <si>
    <t>https://github.com/cplreyes/ASPSI-DOH-UHC-CAPI-Development/issues/188</t>
  </si>
  <si>
    <t>[E5-PWA-007] Pilot batch SOP — sample-size, success criteria, go/no-go to full rollout</t>
  </si>
  <si>
    <t>https://github.com/cplreyes/ASPSI-DOH-UHC-CAPI-Development/issues/189</t>
  </si>
  <si>
    <t>Testing</t>
  </si>
  <si>
    <t>[E6-PWA-008] F2 production pilot batch — small facility cohort, success criteria, go/no-go to full rollout</t>
  </si>
  <si>
    <t>https://github.com/cplreyes/ASPSI-DOH-UHC-CAPI-Development/issues/190</t>
  </si>
  <si>
    <t>[E6-PWA-009] axe-core / Lighthouse a11y audit — full report, AA compliance gate</t>
  </si>
  <si>
    <t>https://github.com/cplreyes/ASPSI-DOH-UHC-CAPI-Development/issues/191</t>
  </si>
  <si>
    <t>[E6-PWA-010] Performance baseline — Core Web Vitals, bundle size budget, regression tracking</t>
  </si>
  <si>
    <t>https://github.com/cplreyes/ASPSI-DOH-UHC-CAPI-Development/issues/192</t>
  </si>
  <si>
    <t>[E6-CAPI-001] F1 desk test — DCF + FMF walkthrough on CSEntry tablet, sample data entry</t>
  </si>
  <si>
    <t>https://github.com/cplreyes/ASPSI-DOH-UHC-CAPI-Development/issues/193</t>
  </si>
  <si>
    <t>[E6-CAPI-002] F3 desk test — full A–L walkthrough with sanity scenarios</t>
  </si>
  <si>
    <t>https://github.com/cplreyes/ASPSI-DOH-UHC-CAPI-Development/issues/194</t>
  </si>
  <si>
    <t>[E6-CAPI-003] F4 desk test — household roster + interval sampling sanity, full A–Q</t>
  </si>
  <si>
    <t>https://github.com/cplreyes/ASPSI-DOH-UHC-CAPI-Development/issues/195</t>
  </si>
  <si>
    <t>[E6-CAPI-004] Sync round-trip test — tablet → CSWeb → ETL → unified store</t>
  </si>
  <si>
    <t>https://github.com/cplreyes/ASPSI-DOH-UHC-CAPI-Development/issues/196</t>
  </si>
  <si>
    <t>[E6-CAPI-005] QA Tester (Shan) handoff workflow extended to CAPI — bug-report template, severity rubric, milestone label</t>
  </si>
  <si>
    <t>https://github.com/cplreyes/ASPSI-DOH-UHC-CAPI-Development/issues/197</t>
  </si>
  <si>
    <t>[E6-CAPI-006] Pretest pilot — 1-cluster live run with real enumerators on real respondents (gated by SJREB clearance, see E0-020)</t>
  </si>
  <si>
    <t>https://github.com/cplreyes/ASPSI-DOH-UHC-CAPI-Development/issues/198</t>
  </si>
  <si>
    <t>[E6-CAPI-007] Pretest debrief + bug triage → Epic 3 fix batch</t>
  </si>
  <si>
    <t>https://github.com/cplreyes/ASPSI-DOH-UHC-CAPI-Development/issues/199</t>
  </si>
  <si>
    <t>Docs</t>
  </si>
  <si>
    <t>[E7-DOC-001] Survey Manual — CSPro / CAPI section rewrite (replace 2023 SPEED legacy text with current deployment)    *(draft deliver...</t>
  </si>
  <si>
    <t>https://github.com/cplreyes/ASPSI-DOH-UHC-CAPI-Development/issues/200</t>
  </si>
  <si>
    <t>[E7-DOC-002] Survey Manual — CAPI Quick Reference Card appendix    *(included in E7-DOC-001 draft as a suggested appendix)*</t>
  </si>
  <si>
    <t>https://github.com/cplreyes/ASPSI-DOH-UHC-CAPI-Development/issues/201</t>
  </si>
  <si>
    <t>[E7-DOC-003] Survey Manual — CAPI Troubleshooting Guide appendix    *(included in E7-DOC-001 draft as a suggested appendix)*</t>
  </si>
  <si>
    <t>https://github.com/cplreyes/ASPSI-DOH-UHC-CAPI-Development/issues/202</t>
  </si>
  <si>
    <t>[E7-DOC-004] Survey Manual — F2 (Healthcare Worker) administration sub-section    *(flagged in E7-DOC-001 open-questions; defer until...</t>
  </si>
  <si>
    <t>https://github.com/cplreyes/ASPSI-DOH-UHC-CAPI-Development/issues/203</t>
  </si>
  <si>
    <t>[E7-DOC-005] Reconcile Questionnaire Number scheme between Survey Manual and F1/F3/F4 case-ID structure    *(flagged in E7-DOC-001 op...</t>
  </si>
  <si>
    <t>https://github.com/cplreyes/ASPSI-DOH-UHC-CAPI-Development/issues/204</t>
  </si>
  <si>
    <t>[E7-TRAIN-001] CAPI enumerator training deck — F1/F3/F4 walkthrough</t>
  </si>
  <si>
    <t>https://github.com/cplreyes/ASPSI-DOH-UHC-CAPI-Development/issues/205</t>
  </si>
  <si>
    <t>[E7-TRAIN-002] STL training deck — sync, field replacement, end-of-day review</t>
  </si>
  <si>
    <t>https://github.com/cplreyes/ASPSI-DOH-UHC-CAPI-Development/issues/206</t>
  </si>
  <si>
    <t>[E7-TRAIN-003] F2 self-admin one-pager for HCWs (link, install, completion window)</t>
  </si>
  <si>
    <t>https://github.com/cplreyes/ASPSI-DOH-UHC-CAPI-Development/issues/207</t>
  </si>
  <si>
    <t>[E7-HELP-001] F2 PWA in-app help review — verify copy matches current production v1.1.1 + Verde Manual visual identity</t>
  </si>
  <si>
    <t>https://github.com/cplreyes/ASPSI-DOH-UHC-CAPI-Development/issues/208</t>
  </si>
  <si>
    <t>Security</t>
  </si>
  <si>
    <t>[E9-004] Maintain NDU compliance throughout engagement (no disclosure of project materials without ASPSI/DOH written consent)</t>
  </si>
  <si>
    <t>https://github.com/cplreyes/ASPSI-DOH-UHC-CAPI-Development/issues/209</t>
  </si>
  <si>
    <t>[E9-010] PII inventory per instrument — what personally identifiable data does each questionnaire collect?</t>
  </si>
  <si>
    <t>https://github.com/cplreyes/ASPSI-DOH-UHC-CAPI-Development/issues/210</t>
  </si>
  <si>
    <t>[E9-011] Data minimization review — are there fields we collect but don't need?</t>
  </si>
  <si>
    <t>https://github.com/cplreyes/ASPSI-DOH-UHC-CAPI-Development/issues/211</t>
  </si>
  <si>
    <t>[E9-012] PII handling protocol document (in transit, at rest, in analysis)</t>
  </si>
  <si>
    <t>https://github.com/cplreyes/ASPSI-DOH-UHC-CAPI-Development/issues/212</t>
  </si>
  <si>
    <t>[E9-013] Data subject rights procedure per RA 10173 (access, rectification, erasure, objection) — how respondents exercise rights...</t>
  </si>
  <si>
    <t>https://github.com/cplreyes/ASPSI-DOH-UHC-CAPI-Development/issues/213</t>
  </si>
  <si>
    <t>[E9-014] Consent form wording review with privacy in mind (what are respondents consenting to?)</t>
  </si>
  <si>
    <t>https://github.com/cplreyes/ASPSI-DOH-UHC-CAPI-Development/issues/214</t>
  </si>
  <si>
    <t>[E9-020] Encryption at rest specification (tablet storage, server storage)</t>
  </si>
  <si>
    <t>https://github.com/cplreyes/ASPSI-DOH-UHC-CAPI-Development/issues/215</t>
  </si>
  <si>
    <t>[E9-021] Encryption in transit specification (sync channel tablet → CSWeb)</t>
  </si>
  <si>
    <t>https://github.com/cplreyes/ASPSI-DOH-UHC-CAPI-Development/issues/216</t>
  </si>
  <si>
    <t>[E9-022] CSWeb server access control policy (who can read, who can export, who can admin)</t>
  </si>
  <si>
    <t>https://github.com/cplreyes/ASPSI-DOH-UHC-CAPI-Development/issues/217</t>
  </si>
  <si>
    <t>[E9-023] Authentication model — define roles (interviewer / supervisor / admin / analyst) and credentials per role</t>
  </si>
  <si>
    <t>https://github.com/cplreyes/ASPSI-DOH-UHC-CAPI-Development/issues/218</t>
  </si>
  <si>
    <t>[E9-024] Audit trail design — what data access events are logged, retention of log</t>
  </si>
  <si>
    <t>https://github.com/cplreyes/ASPSI-DOH-UHC-CAPI-Development/issues/219</t>
  </si>
  <si>
    <t>[E9-025] Tablet lock-screen + device encryption policy for enumerators</t>
  </si>
  <si>
    <t>https://github.com/cplreyes/ASPSI-DOH-UHC-CAPI-Development/issues/220</t>
  </si>
  <si>
    <t>[E9-030] Backup strategy for server-side data (frequency, location, redundancy)</t>
  </si>
  <si>
    <t>https://github.com/cplreyes/ASPSI-DOH-UHC-CAPI-Development/issues/221</t>
  </si>
  <si>
    <t>[E9-031] Backup strategy for tablet-side data mid-interview (partial save, auto-save)</t>
  </si>
  <si>
    <t>https://github.com/cplreyes/ASPSI-DOH-UHC-CAPI-Development/issues/222</t>
  </si>
  <si>
    <t>[E9-032] Recovery test protocol — can we actually restore from backup?</t>
  </si>
  <si>
    <t>https://github.com/cplreyes/ASPSI-DOH-UHC-CAPI-Development/issues/223</t>
  </si>
  <si>
    <t>[E9-033] Off-site backup decision (is local backup sufficient? does DOH require a secondary copy?)</t>
  </si>
  <si>
    <t>https://github.com/cplreyes/ASPSI-DOH-UHC-CAPI-Development/issues/224</t>
  </si>
  <si>
    <t>[E9-040] Data retention policy — how long is respondent data held? Whose policy governs (DOH? RA 10173 default?)</t>
  </si>
  <si>
    <t>https://github.com/cplreyes/ASPSI-DOH-UHC-CAPI-Development/issues/225</t>
  </si>
  <si>
    <t>[E9-041] Audit log retention policy</t>
  </si>
  <si>
    <t>https://github.com/cplreyes/ASPSI-DOH-UHC-CAPI-Development/issues/226</t>
  </si>
  <si>
    <t>[E9-042] NDU-compliant file turn-over / destruction plan for project close (covers Epic 12 Handover)</t>
  </si>
  <si>
    <t>https://github.com/cplreyes/ASPSI-DOH-UHC-CAPI-Development/issues/227</t>
  </si>
  <si>
    <t>[E9-043] Secure destruction procedure for tablets post-fieldwork (factory reset + cryptographic wipe)</t>
  </si>
  <si>
    <t>https://github.com/cplreyes/ASPSI-DOH-UHC-CAPI-Development/issues/228</t>
  </si>
  <si>
    <t>[E9-050] Data breach response protocol (what if a tablet is lost? what if server is compromised?)</t>
  </si>
  <si>
    <t>https://github.com/cplreyes/ASPSI-DOH-UHC-CAPI-Development/issues/229</t>
  </si>
  <si>
    <t>[E9-051] Incident escalation chain (Carl → ASPSI → DOH → NPC reporting if required)</t>
  </si>
  <si>
    <t>https://github.com/cplreyes/ASPSI-DOH-UHC-CAPI-Development/issues/230</t>
  </si>
  <si>
    <t>[E3-F1-043a] Verification photo capture — uses `TakeVerificationPhoto()` helper, writes `VERIFICATION_PHOTO_FILENAME` with pattern `c...</t>
  </si>
  <si>
    <t>https://github.com/cplreyes/ASPSI-DOH-UHC-CAPI-Development/issues/231</t>
  </si>
  <si>
    <t>[E3-F1-043b] PSGC cascade wiring — `onfocus` + `loadcase()` + `setvalueset()` per `PSGC-Cascade.apc`; external lookup dictionaries fo...</t>
  </si>
  <si>
    <t>https://github.com/cplreyes/ASPSI-DOH-UHC-CAPI-Development/issues/232</t>
  </si>
  <si>
    <t>[E4-CSWeb-001] CSWeb server provisioning — host selection, OS, network, TLS</t>
  </si>
  <si>
    <t>https://github.com/cplreyes/ASPSI-DOH-UHC-CAPI-Development/issues/233</t>
  </si>
  <si>
    <t>[E4-CSWeb-002] CSWeb installation + admin account setup</t>
  </si>
  <si>
    <t>https://github.com/cplreyes/ASPSI-DOH-UHC-CAPI-Development/issues/234</t>
  </si>
  <si>
    <t>[E4-CSWeb-003] Per-survey project upload (F1, F3, F4 dictionaries + apps)</t>
  </si>
  <si>
    <t>https://github.com/cplreyes/ASPSI-DOH-UHC-CAPI-Development/issues/235</t>
  </si>
  <si>
    <t>[E4-CSWeb-004] User management — enumerator credentials, role-based access</t>
  </si>
  <si>
    <t>https://github.com/cplreyes/ASPSI-DOH-UHC-CAPI-Development/issues/236</t>
  </si>
  <si>
    <t>[E4-CSWeb-005] Field-tablet sync configuration — endpoint URLs, sync schedule, conflict policy</t>
  </si>
  <si>
    <t>https://github.com/cplreyes/ASPSI-DOH-UHC-CAPI-Development/issues/237</t>
  </si>
  <si>
    <t>[E4-CSWeb-006] Backup strategy for CSWeb data (frequency, retention, restore drill)</t>
  </si>
  <si>
    <t>https://github.com/cplreyes/ASPSI-DOH-UHC-CAPI-Development/issues/238</t>
  </si>
  <si>
    <t>[E4-CSWeb-007] Monitoring dashboard — sync health, submission counts, field-device status</t>
  </si>
  <si>
    <t>https://github.com/cplreyes/ASPSI-DOH-UHC-CAPI-Development/issues/239</t>
  </si>
  <si>
    <t>[E0-001] Run sprint planning ceremony each sprint</t>
  </si>
  <si>
    <t>https://github.com/cplreyes/ASPSI-DOH-UHC-CAPI-Development/issues/240</t>
  </si>
  <si>
    <t>[E0-008] Auto-standup retro-injection — extend `.claude/scripts/generate_standup.py` to read prior sprint's R...</t>
  </si>
  <si>
    <t>https://github.com/cplreyes/ASPSI-DOH-UHC-CAPI-Development/issues/241</t>
  </si>
  <si>
    <t>[E0-010] Define internal weekly status update format (Carl's tracking, not for ASPSI Mgmt send per `feedback_...</t>
  </si>
  <si>
    <t>https://github.com/cplreyes/ASPSI-DOH-UHC-CAPI-Development/issues/242</t>
  </si>
  <si>
    <t>[E0-060] Attend Apr 13 LSS meeting (3:00 PM); capture decisions on the 6 open F1 items into a meeting note in...</t>
  </si>
  <si>
    <t>https://github.com/cplreyes/ASPSI-DOH-UHC-CAPI-Development/issues/243</t>
  </si>
  <si>
    <t>[E2-F1-009] Author `generate_dcf.py` and emit `FacilityHeadSurvey.dcf` covering Q1-Q166 across 15 records</t>
  </si>
  <si>
    <t>https://github.com/cplreyes/ASPSI-DOH-UHC-CAPI-Development/issues/244</t>
  </si>
  <si>
    <t>[E2-F1-009b] Reconcile DCF with LSS-meeting decisions on the 6 open items (Q63 day vs month, SECONDARY_DATA struc...</t>
  </si>
  <si>
    <t>https://github.com/cplreyes/ASPSI-DOH-UHC-CAPI-Development/issues/245</t>
  </si>
  <si>
    <t>[E2-F1-010] F1 DCF opened in CSPro Designer, full validation walkthrough (including case-control block: `SURVEY_...</t>
  </si>
  <si>
    <t>https://github.com/cplreyes/ASPSI-DOH-UHC-CAPI-Development/issues/246</t>
  </si>
  <si>
    <t>[E2-F2-011] F2 Tooling &amp; Access Model Decision Memo drafted (8 decisions for ASPSI)</t>
  </si>
  <si>
    <t>https://github.com/cplreyes/ASPSI-DOH-UHC-CAPI-Development/issues/247</t>
  </si>
  <si>
    <t>[E2-F2-012] F2 cover-block rewrite draft (consent, duration, FIELD CONTROL, facility ID) for ASPSI review</t>
  </si>
  <si>
    <t>https://github.com/cplreyes/ASPSI-DOH-UHC-CAPI-Development/issues/248</t>
  </si>
  <si>
    <t>[E2-F2-013] F2 spec extraction (questionnaire body Sections A–J → CSV/MD)</t>
  </si>
  <si>
    <t>https://github.com/cplreyes/ASPSI-DOH-UHC-CAPI-Development/issues/249</t>
  </si>
  <si>
    <t>[E2-F3-001] F3 skip-logic + validation spec — full instrument, mirroring `F1-Skip-Logic-and-Validations.md` shap...</t>
  </si>
  <si>
    <t>https://github.com/cplreyes/ASPSI-DOH-UHC-CAPI-Development/issues/250</t>
  </si>
  <si>
    <t>[E2-F3-010] F3 DCF Designer validation pass — verify case-control block in FIELD_CONTROL, full item walkthrough;...</t>
  </si>
  <si>
    <t>https://github.com/cplreyes/ASPSI-DOH-UHC-CAPI-Development/issues/251</t>
  </si>
  <si>
    <t>[E2-F4-001] F4 skip-logic + validation spec — **full instrument A–Q** (rescoped from A–F slice after F3 closed e...</t>
  </si>
  <si>
    <t>https://github.com/cplreyes/ASPSI-DOH-UHC-CAPI-Development/issues/252</t>
  </si>
  <si>
    <t>[E2-F4-010] F4 DCF Designer validation pass — same scope as F3</t>
  </si>
  <si>
    <t>https://github.com/cplreyes/ASPSI-DOH-UHC-CAPI-Development/issues/253</t>
  </si>
  <si>
    <t>[E3-F1-001] F1 FMF Section A layout in CSPro Designer — generator skeleton `FacilityHeadSurvey.generated.fmf` re...</t>
  </si>
  <si>
    <t>https://github.com/cplreyes/ASPSI-DOH-UHC-CAPI-Development/issues/254</t>
  </si>
  <si>
    <t>[E4-APRT-035] Cross-platform QA pass — **closed 2026-05-05 (Sprint 004 Day 2)**. E1 Chrome COMPLETE + E4 Tab-P COM...</t>
  </si>
  <si>
    <t>https://github.com/cplreyes/ASPSI-DOH-UHC-CAPI-Development/issues/255</t>
  </si>
  <si>
    <t>[E4-APRT-039] M10 sunset — **DONE 2026-05-04**. Smoke proved legacy `/admin/login` already returns 500 on staging ...</t>
  </si>
  <si>
    <t>https://github.com/cplreyes/ASPSI-DOH-UHC-CAPI-Development/issues/256</t>
  </si>
  <si>
    <t>[E4-APRT-040] closed 2026-05-04 (pulled forward from Sprint 005): v2.0.0 release — package + worker vars bumped to...</t>
  </si>
  <si>
    <t>https://github.com/cplreyes/ASPSI-DOH-UHC-CAPI-Development/issues/257</t>
  </si>
  <si>
    <t>[E4-PWA-013] F2 PWA auth re-arch Phase F production cutover — **DONE 2026-05-01**. Staging→main merged (5 conflic...</t>
  </si>
  <si>
    <t>https://github.com/cplreyes/ASPSI-DOH-UHC-CAPI-Development/issues/258</t>
  </si>
  <si>
    <t>[E0-040] Backlog ledger + GH Project #8 governance setup</t>
  </si>
  <si>
    <t>https://github.com/cplreyes/ASPSI-DOH-UHC-CAPI-Development/issues/259</t>
  </si>
  <si>
    <t>[E0-041] Markdown &lt;-&gt; GH Project auto-sync hook</t>
  </si>
  <si>
    <t>https://github.com/cplreyes/ASPSI-DOH-UHC-CAPI-Development/issues/260</t>
  </si>
  <si>
    <t>[E0-042] Slack sprint snapshot workflow</t>
  </si>
  <si>
    <t>https://github.com/cplreyes/ASPSI-DOH-UHC-CAPI-Development/issues/261</t>
  </si>
  <si>
    <t>[E0-002] Run sprint review + retrospective each sprint close</t>
  </si>
  <si>
    <t>https://github.com/cplreyes/ASPSI-DOH-UHC-CAPI-Development/issues/262</t>
  </si>
  <si>
    <t>[E0-003] Backlog grooming session mid-sprint</t>
  </si>
  <si>
    <t>https://github.com/cplreyes/ASPSI-DOH-UHC-CAPI-Development/issues/263</t>
  </si>
  <si>
    <t>[E0-006] Keep Product Backlog last_updated current each sprint close</t>
  </si>
  <si>
    <t>https://github.com/cplreyes/ASPSI-DOH-UHC-CAPI-Development/issues/264</t>
  </si>
  <si>
    <t>[E0-007] Maintain epic files as tasks activate or mature</t>
  </si>
  <si>
    <t>https://github.com/cplreyes/ASPSI-DOH-UHC-CAPI-Development/issues/265</t>
  </si>
  <si>
    <t>[E3-F2-PWA-R3-001] Issue #16 — exclusive 'I don't know' multi-select option</t>
  </si>
  <si>
    <t>https://github.com/cplreyes/ASPSI-DOH-UHC-CAPI-Development/issues/266</t>
  </si>
  <si>
    <t>[E3-F2-PWA-R3-002] Issue #17 — 'All of the above' auto-select</t>
  </si>
  <si>
    <t>https://github.com/cplreyes/ASPSI-DOH-UHC-CAPI-Development/issues/267</t>
  </si>
  <si>
    <t>[E3-F2-PWA-R3-003] Issue #18 — matrix view for scale-style questions</t>
  </si>
  <si>
    <t>https://github.com/cplreyes/ASPSI-DOH-UHC-CAPI-Development/issues/268</t>
  </si>
  <si>
    <t>[E4-PWA-014] Investigate Cloudflare Pages auto-deploy regression on staging + main pushes (#34)</t>
  </si>
  <si>
    <t>https://github.com/cplreyes/ASPSI-DOH-UHC-CAPI-Development/issues/269</t>
  </si>
  <si>
    <t>[E4-PWA-015] Lower Worker PBKDF2 default to 100k (Workers runtime cap) — #35</t>
  </si>
  <si>
    <t>https://github.com/cplreyes/ASPSI-DOH-UHC-CAPI-Development/issues/270</t>
  </si>
  <si>
    <t>[E0-009] Issue-triage Day 1 ritual — audit slot framing + dispose of fixed-pending-verify + unscheduled Todo + Slack summary</t>
  </si>
  <si>
    <t>https://github.com/cplreyes/ASPSI-DOH-UHC-CAPI-Development/issues/272</t>
  </si>
  <si>
    <t>[E6-PWA-009b] Authenticated-state a11y audit — Admin Portal dashboards behind login</t>
  </si>
  <si>
    <t>https://github.com/cplreyes/ASPSI-DOH-UHC-CAPI-Development/issues/273</t>
  </si>
  <si>
    <t>[E6-PWA-011] Bundle-split admin routes off the HCW survey first-paint chunk</t>
  </si>
  <si>
    <t>https://github.com/cplreyes/ASPSI-DOH-UHC-CAPI-Development/issues/275</t>
  </si>
  <si>
    <t>[E3-F2-PWA-A11Y-001] Compound-field &lt;label htmlFor&gt; points to non-existent ID (Q1 name, Q9 tenure)</t>
  </si>
  <si>
    <t>https://github.com/cplreyes/ASPSI-DOH-UHC-CAPI-Development/issues/277</t>
  </si>
  <si>
    <t>[E3-F2-ADMIN-UX-001] Unauthenticated /admin/help shows full operator Layout sidebar</t>
  </si>
  <si>
    <t>https://github.com/cplreyes/ASPSI-DOH-UHC-CAPI-Development/issues/278</t>
  </si>
  <si>
    <t>[E4-PWA-012] Staging Pages site points at PROD Worker URL — broken environment isolation</t>
  </si>
  <si>
    <t>https://github.com/cplreyes/ASPSI-DOH-UHC-CAPI-Development/issues/282</t>
  </si>
  <si>
    <t>[E3-F2-PWA-A11Y-002] Modal overlays (KillSwitch, SpecDrift) lack focus trap + don't disable form</t>
  </si>
  <si>
    <t>https://github.com/cplreyes/ASPSI-DOH-UHC-CAPI-Development/issues/284</t>
  </si>
  <si>
    <t>[E3-F2-ADMIN-CLEAN-001] MapReport: rename local Marker interface to MarkerData (shadows imported Marker component)</t>
  </si>
  <si>
    <t>https://github.com/cplreyes/ASPSI-DOH-UHC-CAPI-Development/issues/286</t>
  </si>
  <si>
    <t>[E3-F2-ADMIN-A11Y-002] MapReport: Leaflet markers not keyboard-focusable / no SR announcement</t>
  </si>
  <si>
    <t>https://github.com/cplreyes/ASPSI-DOH-UHC-CAPI-Development/issues/287</t>
  </si>
  <si>
    <t>[E4-PWA-013] uat-release-notes workflow writes CHANGELOG.md to repo root, not deliverables/F2/PWA/app/</t>
  </si>
  <si>
    <t>https://github.com/cplreyes/ASPSI-DOH-UHC-CAPI-Development/issues/289</t>
  </si>
  <si>
    <t>Versioning (Apps &amp; Settings)</t>
  </si>
  <si>
    <t>https://github.com/cplreyes/ASPSI-DOH-UHC-CAPI-Development/issues/295</t>
  </si>
  <si>
    <t>5.A4 Data — DLQ sub-tab</t>
  </si>
  <si>
    <t>https://github.com/cplreyes/ASPSI-DOH-UHC-CAPI-Development/issues/297</t>
  </si>
  <si>
    <t>[F2 PWA UAT R3] Section E - Q52 options</t>
  </si>
  <si>
    <t>https://github.com/cplreyes/ASPSI-DOH-UHC-CAPI-Development/issues/299</t>
  </si>
  <si>
    <t>[F2 PWA UAT R3] R2-#110 Section A Q9</t>
  </si>
  <si>
    <t>https://github.com/cplreyes/ASPSI-DOH-UHC-CAPI-Development/issues/300</t>
  </si>
  <si>
    <t>[F2 PWA UAT R3] Section A Q11 - answer with decimal</t>
  </si>
  <si>
    <t>https://github.com/cplreyes/ASPSI-DOH-UHC-CAPI-Development/issues/301</t>
  </si>
  <si>
    <t>ADMIN PORTAL 5A.7 | Apps &amp; Settings — Files sub-tab</t>
  </si>
  <si>
    <t>https://github.com/cplreyes/ASPSI-DOH-UHC-CAPI-Development/issues/315</t>
  </si>
  <si>
    <t>ADMIN PORTAL 5A.8 | Apps &amp; Settings — Data Settings sub-tab</t>
  </si>
  <si>
    <t>https://github.com/cplreyes/ASPSI-DOH-UHC-CAPI-Development/issues/316</t>
  </si>
  <si>
    <t>ADMIN PORTAL 5A.10 | Users dashboard</t>
  </si>
  <si>
    <t>https://github.com/cplreyes/ASPSI-DOH-UHC-CAPI-Development/issues/317</t>
  </si>
  <si>
    <t>ADMIN PORTAL 5A.10 | Users dashboard — expanded rejected-rows panel has no close/scroll affordance</t>
  </si>
  <si>
    <t>https://github.com/cplreyes/ASPSI-DOH-UHC-CAPI-Development/issues/318</t>
  </si>
  <si>
    <t>ADMIN PORTAL 5A.11 | RBAC + persona switching</t>
  </si>
  <si>
    <t>https://github.com/cplreyes/ASPSI-DOH-UHC-CAPI-Development/issues/319</t>
  </si>
  <si>
    <t>5B.3.H1 (5B.3 — Cross-tab session)</t>
  </si>
  <si>
    <t>https://github.com/cplreyes/ASPSI-DOH-UHC-CAPI-Development/issues/320</t>
  </si>
  <si>
    <t>5B.3 — Cross-tab session</t>
  </si>
  <si>
    <t>https://github.com/cplreyes/ASPSI-DOH-UHC-CAPI-Development/issues/321</t>
  </si>
  <si>
    <t>[E4-APRT] Kill-switch toggle UI — never built in Admin Portal Data Settings (5A.8 / 5B.4)</t>
  </si>
  <si>
    <t>https://github.com/cplreyes/ASPSI-DOH-UHC-CAPI-Development/issues/322</t>
  </si>
  <si>
    <t>ADMIN PORTAL 5A.13 | Encode dashboard (paper-encoded path)</t>
  </si>
  <si>
    <t>https://github.com/cplreyes/ASPSI-DOH-UHC-CAPI-Development/issues/323</t>
  </si>
  <si>
    <t>ADMIN PORTAL 5A.15 v2.0.1 | RBAC role-version cache</t>
  </si>
  <si>
    <t>https://github.com/cplreyes/ASPSI-DOH-UHC-CAPI-Development/issues/324</t>
  </si>
  <si>
    <t>ADMIN PORTAL 5A.16 v2.0.1 | JWT password_must_change</t>
  </si>
  <si>
    <t>https://github.com/cplreyes/ASPSI-DOH-UHC-CAPI-Development/issues/325</t>
  </si>
  <si>
    <t>ADMIN PORTAL 5A.17 v2.0.1 | Users — last_login_at write</t>
  </si>
  <si>
    <t>https://github.com/cplreyes/ASPSI-DOH-UHC-CAPI-Development/issues/326</t>
  </si>
  <si>
    <t>5B.5 — Audit log completeness</t>
  </si>
  <si>
    <t>https://github.com/cplreyes/ASPSI-DOH-UHC-CAPI-Development/issues/327</t>
  </si>
  <si>
    <t>ADMIN PORTAL 5A.19 v2.0.1 | User-self password rotation</t>
  </si>
  <si>
    <t>https://github.com/cplreyes/ASPSI-DOH-UHC-CAPI-Development/issues/328</t>
  </si>
  <si>
    <t>5B.1 — Concurrent multi-admin actions</t>
  </si>
  <si>
    <t>https://github.com/cplreyes/ASPSI-DOH-UHC-CAPI-Development/issues/329</t>
  </si>
  <si>
    <t>ADMIN PORTAL 5B.1.H2 |</t>
  </si>
  <si>
    <t>https://github.com/cplreyes/ASPSI-DOH-UHC-CAPI-Development/issues/330</t>
  </si>
  <si>
    <t>Password Interface</t>
  </si>
  <si>
    <t>https://github.com/cplreyes/ASPSI-DOH-UHC-CAPI-Development/issues/331</t>
  </si>
  <si>
    <t>[E4-APRT] Password change should invalidate admin JWTs held by other tabs/sessions</t>
  </si>
  <si>
    <t>https://github.com/cplreyes/ASPSI-DOH-UHC-CAPI-Development/issues/340</t>
  </si>
  <si>
    <t>Filtering by Dates</t>
  </si>
  <si>
    <t>https://github.com/cplreyes/ASPSI-DOH-UHC-CAPI-Development/issues/343</t>
  </si>
  <si>
    <t>Roles Section</t>
  </si>
  <si>
    <t>https://github.com/cplreyes/ASPSI-DOH-UHC-CAPI-Development/issues/344</t>
  </si>
  <si>
    <t>[E6-PWA] Pretest Pilot Dry-Run (R4) — HCW + Admin, staging, v2.1.0</t>
  </si>
  <si>
    <t>https://github.com/cplreyes/ASPSI-DOH-UHC-CAPI-Development/issues/367</t>
  </si>
  <si>
    <t>F3 - Q8 skipping</t>
  </si>
  <si>
    <t>https://github.com/cplreyes/ASPSI-DOH-UHC-CAPI-Development/issues/392</t>
  </si>
  <si>
    <t>F3 - Q13 skipping</t>
  </si>
  <si>
    <t>https://github.com/cplreyes/ASPSI-DOH-UHC-CAPI-Development/issues/393</t>
  </si>
  <si>
    <t>F3 - Tagalog translation for Q42</t>
  </si>
  <si>
    <t>https://github.com/cplreyes/ASPSI-DOH-UHC-CAPI-Development/issues/401</t>
  </si>
  <si>
    <t>F3 - Skipping for Q45</t>
  </si>
  <si>
    <t>https://github.com/cplreyes/ASPSI-DOH-UHC-CAPI-Development/issues/402</t>
  </si>
  <si>
    <t>F3 - Translation for Q46</t>
  </si>
  <si>
    <t>https://github.com/cplreyes/ASPSI-DOH-UHC-CAPI-Development/issues/403</t>
  </si>
  <si>
    <t>F3 - Question wording for Q47</t>
  </si>
  <si>
    <t>https://github.com/cplreyes/ASPSI-DOH-UHC-CAPI-Development/issues/404</t>
  </si>
  <si>
    <t>F3 - Tagalog translation for Q52</t>
  </si>
  <si>
    <t>https://github.com/cplreyes/ASPSI-DOH-UHC-CAPI-Development/issues/405</t>
  </si>
  <si>
    <t>F3 - Translation for Q50</t>
  </si>
  <si>
    <t>https://github.com/cplreyes/ASPSI-DOH-UHC-CAPI-Development/issues/406</t>
  </si>
  <si>
    <t>F3 - Tagalog translation and placement of script for Section C</t>
  </si>
  <si>
    <t>https://github.com/cplreyes/ASPSI-DOH-UHC-CAPI-Development/issues/407</t>
  </si>
  <si>
    <t>F3 - Tagalog translation for Q36</t>
  </si>
  <si>
    <t>https://github.com/cplreyes/ASPSI-DOH-UHC-CAPI-Development/issues/408</t>
  </si>
  <si>
    <t>F3 - Tagalog translation for Q37</t>
  </si>
  <si>
    <t>https://github.com/cplreyes/ASPSI-DOH-UHC-CAPI-Development/issues/409</t>
  </si>
  <si>
    <t>F3 - Tagalog translation and placement of script for Section D</t>
  </si>
  <si>
    <t>https://github.com/cplreyes/ASPSI-DOH-UHC-CAPI-Development/issues/410</t>
  </si>
  <si>
    <t>F3 - Tagalog translation and placement of script for Section E</t>
  </si>
  <si>
    <t>https://github.com/cplreyes/ASPSI-DOH-UHC-CAPI-Development/issues/411</t>
  </si>
  <si>
    <t>F3 - Tagalog translation for Q58</t>
  </si>
  <si>
    <t>https://github.com/cplreyes/ASPSI-DOH-UHC-CAPI-Development/issues/413</t>
  </si>
  <si>
    <t>F3 - Tagalong translation for Q59</t>
  </si>
  <si>
    <t>https://github.com/cplreyes/ASPSI-DOH-UHC-CAPI-Development/issues/414</t>
  </si>
  <si>
    <t>F3 - Skipping for Q59</t>
  </si>
  <si>
    <t>https://github.com/cplreyes/ASPSI-DOH-UHC-CAPI-Development/issues/415</t>
  </si>
  <si>
    <t>F3 - Tagalog translation for Q61</t>
  </si>
  <si>
    <t>https://github.com/cplreyes/ASPSI-DOH-UHC-CAPI-Development/issues/416</t>
  </si>
  <si>
    <t>F3 - Skipping for Q61</t>
  </si>
  <si>
    <t>https://github.com/cplreyes/ASPSI-DOH-UHC-CAPI-Development/issues/417</t>
  </si>
  <si>
    <t>F3 - Skipping for Q63</t>
  </si>
  <si>
    <t>https://github.com/cplreyes/ASPSI-DOH-UHC-CAPI-Development/issues/418</t>
  </si>
  <si>
    <t>F3 - Appearance of Q64 when Q63=1</t>
  </si>
  <si>
    <t>https://github.com/cplreyes/ASPSI-DOH-UHC-CAPI-Development/issues/419</t>
  </si>
  <si>
    <t>F3 - Tagalog translation for Q65</t>
  </si>
  <si>
    <t>https://github.com/cplreyes/ASPSI-DOH-UHC-CAPI-Development/issues/420</t>
  </si>
  <si>
    <t>F3 - Piping of facility name to Q66</t>
  </si>
  <si>
    <t>https://github.com/cplreyes/ASPSI-DOH-UHC-CAPI-Development/issues/421</t>
  </si>
  <si>
    <t>F3 - Tagalog translation for Q67</t>
  </si>
  <si>
    <t>https://github.com/cplreyes/ASPSI-DOH-UHC-CAPI-Development/issues/422</t>
  </si>
  <si>
    <t>F3 - Tagalog translation for Q69</t>
  </si>
  <si>
    <t>https://github.com/cplreyes/ASPSI-DOH-UHC-CAPI-Development/issues/423</t>
  </si>
  <si>
    <t>F3 - Tagalog translation for Q70</t>
  </si>
  <si>
    <t>https://github.com/cplreyes/ASPSI-DOH-UHC-CAPI-Development/issues/424</t>
  </si>
  <si>
    <t>F3 - Tagalog translation for Q72</t>
  </si>
  <si>
    <t>https://github.com/cplreyes/ASPSI-DOH-UHC-CAPI-Development/issues/425</t>
  </si>
  <si>
    <t>F3 - Tagalog translation for Q73</t>
  </si>
  <si>
    <t>https://github.com/cplreyes/ASPSI-DOH-UHC-CAPI-Development/issues/426</t>
  </si>
  <si>
    <t>F3 - Tagalog translation for Q75</t>
  </si>
  <si>
    <t>https://github.com/cplreyes/ASPSI-DOH-UHC-CAPI-Development/issues/428</t>
  </si>
  <si>
    <t>F3 - Tagalog translation for Q76</t>
  </si>
  <si>
    <t>https://github.com/cplreyes/ASPSI-DOH-UHC-CAPI-Development/issues/429</t>
  </si>
  <si>
    <t>F3 - Tagalog translation for Q82</t>
  </si>
  <si>
    <t>https://github.com/cplreyes/ASPSI-DOH-UHC-CAPI-Development/issues/431</t>
  </si>
  <si>
    <t>F3 - Appearance of Q82 when Q77=Yes</t>
  </si>
  <si>
    <t>https://github.com/cplreyes/ASPSI-DOH-UHC-CAPI-Development/issues/432</t>
  </si>
  <si>
    <t>F3 - Tagalog translation for Q85</t>
  </si>
  <si>
    <t>https://github.com/cplreyes/ASPSI-DOH-UHC-CAPI-Development/issues/434</t>
  </si>
  <si>
    <t>F3- Tagalog translation for Q86</t>
  </si>
  <si>
    <t>https://github.com/cplreyes/ASPSI-DOH-UHC-CAPI-Development/issues/437</t>
  </si>
  <si>
    <t>F3 - Tagalog translation for Q87</t>
  </si>
  <si>
    <t>https://github.com/cplreyes/ASPSI-DOH-UHC-CAPI-Development/issues/439</t>
  </si>
  <si>
    <t>F3 - Tagalog translation for Q90</t>
  </si>
  <si>
    <t>https://github.com/cplreyes/ASPSI-DOH-UHC-CAPI-Development/issues/444</t>
  </si>
  <si>
    <t>F3 - Translation and wordings of Q92</t>
  </si>
  <si>
    <t>https://github.com/cplreyes/ASPSI-DOH-UHC-CAPI-Development/issues/445</t>
  </si>
  <si>
    <t>F3 - Display/form layout of Q92</t>
  </si>
  <si>
    <t>https://github.com/cplreyes/ASPSI-DOH-UHC-CAPI-Development/issues/446</t>
  </si>
  <si>
    <t>F3 - Tagalog translation for Q93</t>
  </si>
  <si>
    <t>https://github.com/cplreyes/ASPSI-DOH-UHC-CAPI-Development/issues/447</t>
  </si>
  <si>
    <t>F3- Repeat Q94 based on laboratory tests ticked in Q93</t>
  </si>
  <si>
    <t>https://github.com/cplreyes/ASPSI-DOH-UHC-CAPI-Development/issues/450</t>
  </si>
  <si>
    <t>F3 - Display/form layout of Q94</t>
  </si>
  <si>
    <t>https://github.com/cplreyes/ASPSI-DOH-UHC-CAPI-Development/issues/451</t>
  </si>
  <si>
    <t>F3 - Tagalog translation and wordings of Q94</t>
  </si>
  <si>
    <t>https://github.com/cplreyes/ASPSI-DOH-UHC-CAPI-Development/issues/452</t>
  </si>
  <si>
    <t>F3 - Display/form layout for Q96</t>
  </si>
  <si>
    <t>https://github.com/cplreyes/ASPSI-DOH-UHC-CAPI-Development/issues/453</t>
  </si>
  <si>
    <t>F3 - Translation and wordings of Q96</t>
  </si>
  <si>
    <t>https://github.com/cplreyes/ASPSI-DOH-UHC-CAPI-Development/issues/454</t>
  </si>
  <si>
    <t>F3 - Translation and wordings of Q97.1</t>
  </si>
  <si>
    <t>https://github.com/cplreyes/ASPSI-DOH-UHC-CAPI-Development/issues/456</t>
  </si>
  <si>
    <t>F3 - Amount greater than 0 is allowed even if the NO option was ticked in Q97.1</t>
  </si>
  <si>
    <t>https://github.com/cplreyes/ASPSI-DOH-UHC-CAPI-Development/issues/457</t>
  </si>
  <si>
    <t>F3_Section F_Q87</t>
  </si>
  <si>
    <t>https://github.com/cplreyes/ASPSI-DOH-UHC-CAPI-Development/issues/458</t>
  </si>
  <si>
    <t>F3 - Translation and wordings of Q97.2</t>
  </si>
  <si>
    <t>https://github.com/cplreyes/ASPSI-DOH-UHC-CAPI-Development/issues/459</t>
  </si>
  <si>
    <t>F3 - Amount greater than 0 is allowed even if NO was ticked in Q97.2</t>
  </si>
  <si>
    <t>https://github.com/cplreyes/ASPSI-DOH-UHC-CAPI-Development/issues/460</t>
  </si>
  <si>
    <t>F3- Translation and wordings of Q98</t>
  </si>
  <si>
    <t>https://github.com/cplreyes/ASPSI-DOH-UHC-CAPI-Development/issues/462</t>
  </si>
  <si>
    <t>F3 - Amount greater than 0 is allowed even if the NO option was ticked in Q98</t>
  </si>
  <si>
    <t>https://github.com/cplreyes/ASPSI-DOH-UHC-CAPI-Development/issues/463</t>
  </si>
  <si>
    <t>F3 - Tagalog translation for Q100</t>
  </si>
  <si>
    <t>https://github.com/cplreyes/ASPSI-DOH-UHC-CAPI-Development/issues/465</t>
  </si>
  <si>
    <t>F3 - Tagalog translation for Q101</t>
  </si>
  <si>
    <t>https://github.com/cplreyes/ASPSI-DOH-UHC-CAPI-Development/issues/466</t>
  </si>
  <si>
    <t>F3 - Tagalog translation for Q103</t>
  </si>
  <si>
    <t>https://github.com/cplreyes/ASPSI-DOH-UHC-CAPI-Development/issues/467</t>
  </si>
  <si>
    <t>F1 - Tagalog Translation (Q12)</t>
  </si>
  <si>
    <t>https://github.com/cplreyes/ASPSI-DOH-UHC-CAPI-Development/issues/468</t>
  </si>
  <si>
    <t>F1 - Tagalog Translation (Q14)</t>
  </si>
  <si>
    <t>https://github.com/cplreyes/ASPSI-DOH-UHC-CAPI-Development/issues/469</t>
  </si>
  <si>
    <t>F3 - Tagalog translation for Q117</t>
  </si>
  <si>
    <t>https://github.com/cplreyes/ASPSI-DOH-UHC-CAPI-Development/issues/471</t>
  </si>
  <si>
    <t>F3 - Tagalog translation for Q118</t>
  </si>
  <si>
    <t>https://github.com/cplreyes/ASPSI-DOH-UHC-CAPI-Development/issues/472</t>
  </si>
  <si>
    <t>F3 - Tagalog translation for Q120</t>
  </si>
  <si>
    <t>https://github.com/cplreyes/ASPSI-DOH-UHC-CAPI-Development/issues/473</t>
  </si>
  <si>
    <t>F3 - Tagalog translation for Q121</t>
  </si>
  <si>
    <t>https://github.com/cplreyes/ASPSI-DOH-UHC-CAPI-Development/issues/474</t>
  </si>
  <si>
    <t>F1 - Tagalog Translation (Q17, Q19, Q21, Q23, Q25, Q27 Q29, Q31, Q36, Q38, Q39, Q40, Q41, Q42, Q43, Q44, Q45, Q46, Q47, Q48, Q49, Q50</t>
  </si>
  <si>
    <t>https://github.com/cplreyes/ASPSI-DOH-UHC-CAPI-Development/issues/475</t>
  </si>
  <si>
    <t>F3 - Tagalog translation for Q125</t>
  </si>
  <si>
    <t>https://github.com/cplreyes/ASPSI-DOH-UHC-CAPI-Development/issues/478</t>
  </si>
  <si>
    <t>F3 - Tagalog translation for Q128</t>
  </si>
  <si>
    <t>https://github.com/cplreyes/ASPSI-DOH-UHC-CAPI-Development/issues/480</t>
  </si>
  <si>
    <t>F3 - Skipping for Q129</t>
  </si>
  <si>
    <t>https://github.com/cplreyes/ASPSI-DOH-UHC-CAPI-Development/issues/482</t>
  </si>
  <si>
    <t>F3 - Translation and correction in wording of Q129</t>
  </si>
  <si>
    <t>https://github.com/cplreyes/ASPSI-DOH-UHC-CAPI-Development/issues/483</t>
  </si>
  <si>
    <t>F1 - Tagalog Translations (Q56, Q57, Q58)</t>
  </si>
  <si>
    <t>https://github.com/cplreyes/ASPSI-DOH-UHC-CAPI-Development/issues/484</t>
  </si>
  <si>
    <t>F3 - Question wording for Q131-Q134</t>
  </si>
  <si>
    <t>https://github.com/cplreyes/ASPSI-DOH-UHC-CAPI-Development/issues/486</t>
  </si>
  <si>
    <t>F3 - Enumerator note in Q135</t>
  </si>
  <si>
    <t>https://github.com/cplreyes/ASPSI-DOH-UHC-CAPI-Development/issues/487</t>
  </si>
  <si>
    <t>F3 - Section K - Q147 and Q148</t>
  </si>
  <si>
    <t>https://github.com/cplreyes/ASPSI-DOH-UHC-CAPI-Development/issues/490</t>
  </si>
  <si>
    <t>F3 - Tagalog translation for Q149</t>
  </si>
  <si>
    <t>https://github.com/cplreyes/ASPSI-DOH-UHC-CAPI-Development/issues/492</t>
  </si>
  <si>
    <t>F3 - Translation and wordings of Q150</t>
  </si>
  <si>
    <t>https://github.com/cplreyes/ASPSI-DOH-UHC-CAPI-Development/issues/493</t>
  </si>
  <si>
    <t>F3 - Skipping for Q152 to Q157, Q159</t>
  </si>
  <si>
    <t>https://github.com/cplreyes/ASPSI-DOH-UHC-CAPI-Development/issues/495</t>
  </si>
  <si>
    <t>F3 - Tagalog translation for Q153</t>
  </si>
  <si>
    <t>https://github.com/cplreyes/ASPSI-DOH-UHC-CAPI-Development/issues/496</t>
  </si>
  <si>
    <t>F3 - Tagalog translation for Q154</t>
  </si>
  <si>
    <t>https://github.com/cplreyes/ASPSI-DOH-UHC-CAPI-Development/issues/497</t>
  </si>
  <si>
    <t>F3 - Skipping for Q155 and Q156</t>
  </si>
  <si>
    <t>https://github.com/cplreyes/ASPSI-DOH-UHC-CAPI-Development/issues/498</t>
  </si>
  <si>
    <t>F3 - Tagalog translation for Q157</t>
  </si>
  <si>
    <t>https://github.com/cplreyes/ASPSI-DOH-UHC-CAPI-Development/issues/499</t>
  </si>
  <si>
    <t>F3 - Skipping for Q159</t>
  </si>
  <si>
    <t>https://github.com/cplreyes/ASPSI-DOH-UHC-CAPI-Development/issues/501</t>
  </si>
  <si>
    <t>F3 - Tagalog translation for Q160</t>
  </si>
  <si>
    <t>https://github.com/cplreyes/ASPSI-DOH-UHC-CAPI-Development/issues/502</t>
  </si>
  <si>
    <t>F3 - Appearance of Q161 if Q159=Generic</t>
  </si>
  <si>
    <t>https://github.com/cplreyes/ASPSI-DOH-UHC-CAPI-Development/issues/503</t>
  </si>
  <si>
    <t>F3 - Tagalog translation for Q161</t>
  </si>
  <si>
    <t>https://github.com/cplreyes/ASPSI-DOH-UHC-CAPI-Development/issues/504</t>
  </si>
  <si>
    <t>F3 - Tagalog translation for Q163</t>
  </si>
  <si>
    <t>https://github.com/cplreyes/ASPSI-DOH-UHC-CAPI-Development/issues/506</t>
  </si>
  <si>
    <t>F3 - Skipping for Q171</t>
  </si>
  <si>
    <t>https://github.com/cplreyes/ASPSI-DOH-UHC-CAPI-Development/issues/508</t>
  </si>
  <si>
    <t>F3 - Tagalog translation for Q171</t>
  </si>
  <si>
    <t>https://github.com/cplreyes/ASPSI-DOH-UHC-CAPI-Development/issues/509</t>
  </si>
  <si>
    <t>F3 - Skipping for Q177</t>
  </si>
  <si>
    <t>https://github.com/cplreyes/ASPSI-DOH-UHC-CAPI-Development/issues/511</t>
  </si>
  <si>
    <t>F3 - Tagalog translation for Q177</t>
  </si>
  <si>
    <t>https://github.com/cplreyes/ASPSI-DOH-UHC-CAPI-Development/issues/512</t>
  </si>
  <si>
    <t>F3_Section H_Q114.1</t>
  </si>
  <si>
    <t>https://github.com/cplreyes/ASPSI-DOH-UHC-CAPI-Development/issues/516</t>
  </si>
  <si>
    <t>F3_Section H_Q115</t>
  </si>
  <si>
    <t>https://github.com/cplreyes/ASPSI-DOH-UHC-CAPI-Development/issues/517</t>
  </si>
  <si>
    <t>Wrong Numbering (Not Updated)</t>
  </si>
  <si>
    <t>https://github.com/cplreyes/ASPSI-DOH-UHC-CAPI-Development/issues/519</t>
  </si>
  <si>
    <t>F2 - Skip Logic</t>
  </si>
  <si>
    <t>https://github.com/cplreyes/ASPSI-DOH-UHC-CAPI-Development/issues/524</t>
  </si>
  <si>
    <t>F2 - Token Auto-prefilled</t>
  </si>
  <si>
    <t>https://github.com/cplreyes/ASPSI-DOH-UHC-CAPI-Development/issues/528</t>
  </si>
  <si>
    <t>F2 - Wrong Numbering (Q108-Q124)</t>
  </si>
  <si>
    <t>https://github.com/cplreyes/ASPSI-DOH-UHC-CAPI-Development/issues/530</t>
  </si>
  <si>
    <t>https://github.com/cplreyes/ASPSI-DOH-UHC-CAPI-Development/issues/532</t>
  </si>
  <si>
    <t>F1 - Section D (Q91)</t>
  </si>
  <si>
    <t>https://github.com/cplreyes/ASPSI-DOH-UHC-CAPI-Development/issues/533</t>
  </si>
  <si>
    <t>F1 - Response Layout (Q94)</t>
  </si>
  <si>
    <t>https://github.com/cplreyes/ASPSI-DOH-UHC-CAPI-Development/issues/534</t>
  </si>
  <si>
    <t>F1 - Response Layout (Q96)</t>
  </si>
  <si>
    <t>https://github.com/cplreyes/ASPSI-DOH-UHC-CAPI-Development/issues/535</t>
  </si>
  <si>
    <t>F4_Section G_Q76</t>
  </si>
  <si>
    <t>https://github.com/cplreyes/ASPSI-DOH-UHC-CAPI-Development/issues/536</t>
  </si>
  <si>
    <t>F1 - Response Layout (Q98, Q99)</t>
  </si>
  <si>
    <t>https://github.com/cplreyes/ASPSI-DOH-UHC-CAPI-Development/issues/537</t>
  </si>
  <si>
    <t>F4_Section G_Q75</t>
  </si>
  <si>
    <t>https://github.com/cplreyes/ASPSI-DOH-UHC-CAPI-Development/issues/538</t>
  </si>
  <si>
    <t>F2 - Role-Select</t>
  </si>
  <si>
    <t>https://github.com/cplreyes/ASPSI-DOH-UHC-CAPI-Development/issues/539</t>
  </si>
  <si>
    <t>https://github.com/cplreyes/ASPSI-DOH-UHC-CAPI-Development/issues/540</t>
  </si>
  <si>
    <t>F1 - Response Layout (Q104, Q105, Q111)</t>
  </si>
  <si>
    <t>https://github.com/cplreyes/ASPSI-DOH-UHC-CAPI-Development/issues/542</t>
  </si>
  <si>
    <t>F2 - Cold Enrollment</t>
  </si>
  <si>
    <t>https://github.com/cplreyes/ASPSI-DOH-UHC-CAPI-Development/issues/543</t>
  </si>
  <si>
    <t>F3 - Duplicate of tagalog translation</t>
  </si>
  <si>
    <t>https://github.com/cplreyes/ASPSI-DOH-UHC-CAPI-Development/issues/547</t>
  </si>
  <si>
    <t>F3 - Remaining cases without tagalog translation</t>
  </si>
  <si>
    <t>https://github.com/cplreyes/ASPSI-DOH-UHC-CAPI-Development/issues/552</t>
  </si>
  <si>
    <t>F3 - Validation for Q109</t>
  </si>
  <si>
    <t>https://github.com/cplreyes/ASPSI-DOH-UHC-CAPI-Development/issues/555</t>
  </si>
  <si>
    <t>F3 - Validation for Q112</t>
  </si>
  <si>
    <t>https://github.com/cplreyes/ASPSI-DOH-UHC-CAPI-Development/issues/556</t>
  </si>
  <si>
    <t>F3 - Validation for Q113</t>
  </si>
  <si>
    <t>https://github.com/cplreyes/ASPSI-DOH-UHC-CAPI-Development/issues/557</t>
  </si>
  <si>
    <t>F3 - Appearance of Q114</t>
  </si>
  <si>
    <t>https://github.com/cplreyes/ASPSI-DOH-UHC-CAPI-Development/issues/558</t>
  </si>
  <si>
    <t>F4_Section C_Q45</t>
  </si>
  <si>
    <t>https://github.com/cplreyes/ASPSI-DOH-UHC-CAPI-Development/issues/562</t>
  </si>
  <si>
    <t>https://github.com/cplreyes/ASPSI-DOH-UHC-CAPI-Development/issues/563</t>
  </si>
  <si>
    <t>Hide Translations Temporarily</t>
  </si>
  <si>
    <t>https://github.com/cplreyes/ASPSI-DOH-UHC-CAPI-Development/issues/564</t>
  </si>
  <si>
    <t>https://github.com/cplreyes/ASPSI-DOH-UHC-CAPI-Development/issues/565</t>
  </si>
  <si>
    <t>https://github.com/cplreyes/ASPSI-DOH-UHC-CAPI-Development/issues/566</t>
  </si>
  <si>
    <t>F4_Section F_Q61</t>
  </si>
  <si>
    <t>https://github.com/cplreyes/ASPSI-DOH-UHC-CAPI-Development/issues/568</t>
  </si>
  <si>
    <t>F3 - Tagalog translation of Q19</t>
  </si>
  <si>
    <t>https://github.com/cplreyes/ASPSI-DOH-UHC-CAPI-Development/issues/569</t>
  </si>
  <si>
    <t>F4_Section G_Q65</t>
  </si>
  <si>
    <t>https://github.com/cplreyes/ASPSI-DOH-UHC-CAPI-Development/issues/570</t>
  </si>
  <si>
    <t>F4_Section G_Q66</t>
  </si>
  <si>
    <t>https://github.com/cplreyes/ASPSI-DOH-UHC-CAPI-Development/issues/571</t>
  </si>
  <si>
    <t>F4_Section G_Q67</t>
  </si>
  <si>
    <t>https://github.com/cplreyes/ASPSI-DOH-UHC-CAPI-Development/issues/572</t>
  </si>
  <si>
    <t>F4_Section G_Q70</t>
  </si>
  <si>
    <t>https://github.com/cplreyes/ASPSI-DOH-UHC-CAPI-Development/issues/573</t>
  </si>
  <si>
    <t>F4_Section G_Q71</t>
  </si>
  <si>
    <t>https://github.com/cplreyes/ASPSI-DOH-UHC-CAPI-Development/issues/574</t>
  </si>
  <si>
    <t>F1 - Response Layout | Section G-H (Q137, Q140, Q144, Q146, Q147, Q149, Q155, Q156, Q159, Q160, Q163, Q165, Q166)</t>
  </si>
  <si>
    <t>https://github.com/cplreyes/ASPSI-DOH-UHC-CAPI-Development/issues/576</t>
  </si>
  <si>
    <t>F4_Section G_Q74</t>
  </si>
  <si>
    <t>https://github.com/cplreyes/ASPSI-DOH-UHC-CAPI-Development/issues/577</t>
  </si>
  <si>
    <t>F4_Section G_Q77</t>
  </si>
  <si>
    <t>https://github.com/cplreyes/ASPSI-DOH-UHC-CAPI-Development/issues/578</t>
  </si>
  <si>
    <t>F4_Section G_Q78</t>
  </si>
  <si>
    <t>https://github.com/cplreyes/ASPSI-DOH-UHC-CAPI-Development/issues/579</t>
  </si>
  <si>
    <t>F4_Section H_Q82</t>
  </si>
  <si>
    <t>https://github.com/cplreyes/ASPSI-DOH-UHC-CAPI-Development/issues/580</t>
  </si>
  <si>
    <t>F4_Section H_Q88</t>
  </si>
  <si>
    <t>https://github.com/cplreyes/ASPSI-DOH-UHC-CAPI-Development/issues/581</t>
  </si>
  <si>
    <t>F4_Section J_Q102</t>
  </si>
  <si>
    <t>https://github.com/cplreyes/ASPSI-DOH-UHC-CAPI-Development/issues/582</t>
  </si>
  <si>
    <t>F4_Section J_Q103</t>
  </si>
  <si>
    <t>https://github.com/cplreyes/ASPSI-DOH-UHC-CAPI-Development/issues/583</t>
  </si>
  <si>
    <t>F4_Section J_Q106</t>
  </si>
  <si>
    <t>https://github.com/cplreyes/ASPSI-DOH-UHC-CAPI-Development/issues/584</t>
  </si>
  <si>
    <t>F4_Section J_Q107</t>
  </si>
  <si>
    <t>https://github.com/cplreyes/ASPSI-DOH-UHC-CAPI-Development/issues/585</t>
  </si>
  <si>
    <t>F1_Section G - Q144</t>
  </si>
  <si>
    <t>https://github.com/cplreyes/ASPSI-DOH-UHC-CAPI-Development/issues/586</t>
  </si>
  <si>
    <t>F2 - Q9 vs Q4 (Section A)</t>
  </si>
  <si>
    <t>https://github.com/cplreyes/ASPSI-DOH-UHC-CAPI-Development/issues/587</t>
  </si>
  <si>
    <t>F4_Section K_Q108</t>
  </si>
  <si>
    <t>https://github.com/cplreyes/ASPSI-DOH-UHC-CAPI-Development/issues/588</t>
  </si>
  <si>
    <t>F4_Section K_Q109</t>
  </si>
  <si>
    <t>https://github.com/cplreyes/ASPSI-DOH-UHC-CAPI-Development/issues/589</t>
  </si>
  <si>
    <t>https://github.com/cplreyes/ASPSI-DOH-UHC-CAPI-Development/issues/590</t>
  </si>
  <si>
    <t>https://github.com/cplreyes/ASPSI-DOH-UHC-CAPI-Development/issues/591</t>
  </si>
  <si>
    <t>F4 - Tagalog translation of Q2</t>
  </si>
  <si>
    <t>https://github.com/cplreyes/ASPSI-DOH-UHC-CAPI-Development/issues/597</t>
  </si>
  <si>
    <t>F4 - Skipping of Q9</t>
  </si>
  <si>
    <t>https://github.com/cplreyes/ASPSI-DOH-UHC-CAPI-Development/issues/599</t>
  </si>
  <si>
    <t>F4 - Missing tagalog translation in Section B</t>
  </si>
  <si>
    <t>https://github.com/cplreyes/ASPSI-DOH-UHC-CAPI-Development/issues/600</t>
  </si>
  <si>
    <t>(Urgent) F4_Section M_Q141</t>
  </si>
  <si>
    <t>https://github.com/cplreyes/ASPSI-DOH-UHC-CAPI-Development/issues/615</t>
  </si>
  <si>
    <t>(Urgent) F4_Section M_Q143</t>
  </si>
  <si>
    <t>https://github.com/cplreyes/ASPSI-DOH-UHC-CAPI-Development/issues/616</t>
  </si>
  <si>
    <t>F2 - Re-enabling Translations</t>
  </si>
  <si>
    <t>https://github.com/cplreyes/ASPSI-DOH-UHC-CAPI-Development/issues/621</t>
  </si>
  <si>
    <t>⚠️ CAPI standup bot (2026-06-22): Slack post BLOCKED — network egress fix needed</t>
  </si>
  <si>
    <t>https://github.com/cplreyes/ASPSI-DOH-UHC-CAPI-Development/issues/725</t>
  </si>
  <si>
    <t>F4_Section C_Q30</t>
  </si>
  <si>
    <t>https://github.com/cplreyes/ASPSI-DOH-UHC-CAPI-Development/issues/752</t>
  </si>
  <si>
    <t>https://github.com/cplreyes/ASPSI-DOH-UHC-CAPI-Development/issues/753</t>
  </si>
  <si>
    <t>CLOSED</t>
  </si>
  <si>
    <t>https://github.com/cplreyes/ASPSI-DOH-UHC-CAPI-Development/issues/754</t>
  </si>
  <si>
    <t>https://github.com/cplreyes/ASPSI-DOH-UHC-CAPI-Development/issues/756</t>
  </si>
  <si>
    <t>https://github.com/cplreyes/ASPSI-DOH-UHC-CAPI-Development/issues/757</t>
  </si>
  <si>
    <t>F2 - Production and Staging Environments Are Not Aligned</t>
  </si>
  <si>
    <t>https://github.com/cplreyes/ASPSI-DOH-UHC-CAPI-Development/issues/758</t>
  </si>
  <si>
    <t>[URGENT] F3 | Section B - Q8</t>
  </si>
  <si>
    <t>https://github.com/cplreyes/ASPSI-DOH-UHC-CAPI-Development/issues/759</t>
  </si>
  <si>
    <t>[URGENT] [PRIORITY] F2 - Addition of Role in Healthcare Worker</t>
  </si>
  <si>
    <t>https://github.com/cplreyes/ASPSI-DOH-UHC-CAPI-Development/issues/804</t>
  </si>
  <si>
    <t>ASPSI (for DOH documentation)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</si>
</sst>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u/>
      <sz val="9"/>
      <color rgb="FF0563C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E3F2E8"/>
      </patternFill>
    </fill>
    <fill>
      <patternFill patternType="solid">
        <fgColor rgb="FFE3F2E8"/>
        <bgColor rgb="FFE8EEF0"/>
      </patternFill>
    </fill>
    <fill>
      <patternFill patternType="solid">
        <fgColor rgb="FFFCEBEA"/>
        <bgColor rgb="FFE8EE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1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EA"/>
      <rgbColor rgb="FFE3F2E8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cplreyes/ASPSI-DOH-UHC-CAPI-Development/issues/526" TargetMode="External"/><Relationship Id="rId299" Type="http://schemas.openxmlformats.org/officeDocument/2006/relationships/hyperlink" Target="https://github.com/cplreyes/ASPSI-DOH-UHC-CAPI-Development/issues/559" TargetMode="External"/><Relationship Id="rId21" Type="http://schemas.openxmlformats.org/officeDocument/2006/relationships/hyperlink" Target="https://github.com/cplreyes/ASPSI-DOH-UHC-CAPI-Development/issues/112" TargetMode="External"/><Relationship Id="rId63" Type="http://schemas.openxmlformats.org/officeDocument/2006/relationships/hyperlink" Target="https://github.com/cplreyes/ASPSI-DOH-UHC-CAPI-Development/issues/107" TargetMode="External"/><Relationship Id="rId159" Type="http://schemas.openxmlformats.org/officeDocument/2006/relationships/hyperlink" Target="https://github.com/cplreyes/ASPSI-DOH-UHC-CAPI-Development/issues/700" TargetMode="External"/><Relationship Id="rId324" Type="http://schemas.openxmlformats.org/officeDocument/2006/relationships/hyperlink" Target="https://github.com/cplreyes/ASPSI-DOH-UHC-CAPI-Development/issues/769" TargetMode="External"/><Relationship Id="rId366" Type="http://schemas.openxmlformats.org/officeDocument/2006/relationships/hyperlink" Target="https://github.com/cplreyes/ASPSI-DOH-UHC-CAPI-Development/issues/794" TargetMode="External"/><Relationship Id="rId170" Type="http://schemas.openxmlformats.org/officeDocument/2006/relationships/hyperlink" Target="https://github.com/cplreyes/ASPSI-DOH-UHC-CAPI-Development/issues/523" TargetMode="External"/><Relationship Id="rId226" Type="http://schemas.openxmlformats.org/officeDocument/2006/relationships/hyperlink" Target="https://github.com/cplreyes/ASPSI-DOH-UHC-CAPI-Development/issues/661" TargetMode="External"/><Relationship Id="rId268" Type="http://schemas.openxmlformats.org/officeDocument/2006/relationships/hyperlink" Target="https://github.com/cplreyes/ASPSI-DOH-UHC-CAPI-Development/issues/430" TargetMode="External"/><Relationship Id="rId32" Type="http://schemas.openxmlformats.org/officeDocument/2006/relationships/hyperlink" Target="https://github.com/cplreyes/ASPSI-DOH-UHC-CAPI-Development/issues/69" TargetMode="External"/><Relationship Id="rId74" Type="http://schemas.openxmlformats.org/officeDocument/2006/relationships/hyperlink" Target="https://github.com/cplreyes/ASPSI-DOH-UHC-CAPI-Development/issues/29" TargetMode="External"/><Relationship Id="rId128" Type="http://schemas.openxmlformats.org/officeDocument/2006/relationships/hyperlink" Target="https://github.com/cplreyes/ASPSI-DOH-UHC-CAPI-Development/issues/382" TargetMode="External"/><Relationship Id="rId335" Type="http://schemas.openxmlformats.org/officeDocument/2006/relationships/hyperlink" Target="https://github.com/cplreyes/ASPSI-DOH-UHC-CAPI-Development/issues/781" TargetMode="External"/><Relationship Id="rId377" Type="http://schemas.openxmlformats.org/officeDocument/2006/relationships/hyperlink" Target="https://github.com/cplreyes/ASPSI-DOH-UHC-CAPI-Development/issues/720" TargetMode="External"/><Relationship Id="rId5" Type="http://schemas.openxmlformats.org/officeDocument/2006/relationships/hyperlink" Target="https://github.com/cplreyes/ASPSI-DOH-UHC-CAPI-Development/issues/5" TargetMode="External"/><Relationship Id="rId181" Type="http://schemas.openxmlformats.org/officeDocument/2006/relationships/hyperlink" Target="https://github.com/cplreyes/ASPSI-DOH-UHC-CAPI-Development/issues/602" TargetMode="External"/><Relationship Id="rId237" Type="http://schemas.openxmlformats.org/officeDocument/2006/relationships/hyperlink" Target="https://github.com/cplreyes/ASPSI-DOH-UHC-CAPI-Development/issues/679" TargetMode="External"/><Relationship Id="rId279" Type="http://schemas.openxmlformats.org/officeDocument/2006/relationships/hyperlink" Target="https://github.com/cplreyes/ASPSI-DOH-UHC-CAPI-Development/issues/455" TargetMode="External"/><Relationship Id="rId43" Type="http://schemas.openxmlformats.org/officeDocument/2006/relationships/hyperlink" Target="https://github.com/cplreyes/ASPSI-DOH-UHC-CAPI-Development/issues/86" TargetMode="External"/><Relationship Id="rId139" Type="http://schemas.openxmlformats.org/officeDocument/2006/relationships/hyperlink" Target="https://github.com/cplreyes/ASPSI-DOH-UHC-CAPI-Development/issues/618" TargetMode="External"/><Relationship Id="rId290" Type="http://schemas.openxmlformats.org/officeDocument/2006/relationships/hyperlink" Target="https://github.com/cplreyes/ASPSI-DOH-UHC-CAPI-Development/issues/491" TargetMode="External"/><Relationship Id="rId304" Type="http://schemas.openxmlformats.org/officeDocument/2006/relationships/hyperlink" Target="https://github.com/cplreyes/ASPSI-DOH-UHC-CAPI-Development/issues/734" TargetMode="External"/><Relationship Id="rId346" Type="http://schemas.openxmlformats.org/officeDocument/2006/relationships/hyperlink" Target="https://github.com/cplreyes/ASPSI-DOH-UHC-CAPI-Development/issues/806" TargetMode="External"/><Relationship Id="rId85" Type="http://schemas.openxmlformats.org/officeDocument/2006/relationships/hyperlink" Target="https://github.com/cplreyes/ASPSI-DOH-UHC-CAPI-Development/issues/298" TargetMode="External"/><Relationship Id="rId150" Type="http://schemas.openxmlformats.org/officeDocument/2006/relationships/hyperlink" Target="https://github.com/cplreyes/ASPSI-DOH-UHC-CAPI-Development/issues/675" TargetMode="External"/><Relationship Id="rId192" Type="http://schemas.openxmlformats.org/officeDocument/2006/relationships/hyperlink" Target="https://github.com/cplreyes/ASPSI-DOH-UHC-CAPI-Development/issues/613" TargetMode="External"/><Relationship Id="rId206" Type="http://schemas.openxmlformats.org/officeDocument/2006/relationships/hyperlink" Target="https://github.com/cplreyes/ASPSI-DOH-UHC-CAPI-Development/issues/641" TargetMode="External"/><Relationship Id="rId248" Type="http://schemas.openxmlformats.org/officeDocument/2006/relationships/hyperlink" Target="https://github.com/cplreyes/ASPSI-DOH-UHC-CAPI-Development/issues/698" TargetMode="External"/><Relationship Id="rId12" Type="http://schemas.openxmlformats.org/officeDocument/2006/relationships/hyperlink" Target="https://github.com/cplreyes/ASPSI-DOH-UHC-CAPI-Development/issues/14" TargetMode="External"/><Relationship Id="rId108" Type="http://schemas.openxmlformats.org/officeDocument/2006/relationships/hyperlink" Target="https://github.com/cplreyes/ASPSI-DOH-UHC-CAPI-Development/issues/379" TargetMode="External"/><Relationship Id="rId315" Type="http://schemas.openxmlformats.org/officeDocument/2006/relationships/hyperlink" Target="https://github.com/cplreyes/ASPSI-DOH-UHC-CAPI-Development/issues/751" TargetMode="External"/><Relationship Id="rId357" Type="http://schemas.openxmlformats.org/officeDocument/2006/relationships/hyperlink" Target="https://github.com/cplreyes/ASPSI-DOH-UHC-CAPI-Development/issues/743" TargetMode="External"/><Relationship Id="rId54" Type="http://schemas.openxmlformats.org/officeDocument/2006/relationships/hyperlink" Target="https://github.com/cplreyes/ASPSI-DOH-UHC-CAPI-Development/issues/97" TargetMode="External"/><Relationship Id="rId96" Type="http://schemas.openxmlformats.org/officeDocument/2006/relationships/hyperlink" Target="https://github.com/cplreyes/ASPSI-DOH-UHC-CAPI-Development/issues/312" TargetMode="External"/><Relationship Id="rId161" Type="http://schemas.openxmlformats.org/officeDocument/2006/relationships/hyperlink" Target="https://github.com/cplreyes/ASPSI-DOH-UHC-CAPI-Development/issues/713" TargetMode="External"/><Relationship Id="rId217" Type="http://schemas.openxmlformats.org/officeDocument/2006/relationships/hyperlink" Target="https://github.com/cplreyes/ASPSI-DOH-UHC-CAPI-Development/issues/652" TargetMode="External"/><Relationship Id="rId259" Type="http://schemas.openxmlformats.org/officeDocument/2006/relationships/hyperlink" Target="https://github.com/cplreyes/ASPSI-DOH-UHC-CAPI-Development/issues/394" TargetMode="External"/><Relationship Id="rId23" Type="http://schemas.openxmlformats.org/officeDocument/2006/relationships/hyperlink" Target="https://github.com/cplreyes/ASPSI-DOH-UHC-CAPI-Development/issues/115" TargetMode="External"/><Relationship Id="rId119" Type="http://schemas.openxmlformats.org/officeDocument/2006/relationships/hyperlink" Target="https://github.com/cplreyes/ASPSI-DOH-UHC-CAPI-Development/issues/529" TargetMode="External"/><Relationship Id="rId270" Type="http://schemas.openxmlformats.org/officeDocument/2006/relationships/hyperlink" Target="https://github.com/cplreyes/ASPSI-DOH-UHC-CAPI-Development/issues/435" TargetMode="External"/><Relationship Id="rId326" Type="http://schemas.openxmlformats.org/officeDocument/2006/relationships/hyperlink" Target="https://github.com/cplreyes/ASPSI-DOH-UHC-CAPI-Development/issues/771" TargetMode="External"/><Relationship Id="rId65" Type="http://schemas.openxmlformats.org/officeDocument/2006/relationships/hyperlink" Target="https://github.com/cplreyes/ASPSI-DOH-UHC-CAPI-Development/issues/20" TargetMode="External"/><Relationship Id="rId130" Type="http://schemas.openxmlformats.org/officeDocument/2006/relationships/hyperlink" Target="https://github.com/cplreyes/ASPSI-DOH-UHC-CAPI-Development/issues/390" TargetMode="External"/><Relationship Id="rId368" Type="http://schemas.openxmlformats.org/officeDocument/2006/relationships/hyperlink" Target="https://github.com/cplreyes/ASPSI-DOH-UHC-CAPI-Development/issues/796" TargetMode="External"/><Relationship Id="rId172" Type="http://schemas.openxmlformats.org/officeDocument/2006/relationships/hyperlink" Target="https://github.com/cplreyes/ASPSI-DOH-UHC-CAPI-Development/issues/544" TargetMode="External"/><Relationship Id="rId228" Type="http://schemas.openxmlformats.org/officeDocument/2006/relationships/hyperlink" Target="https://github.com/cplreyes/ASPSI-DOH-UHC-CAPI-Development/issues/663" TargetMode="External"/><Relationship Id="rId281" Type="http://schemas.openxmlformats.org/officeDocument/2006/relationships/hyperlink" Target="https://github.com/cplreyes/ASPSI-DOH-UHC-CAPI-Development/issues/464" TargetMode="External"/><Relationship Id="rId337" Type="http://schemas.openxmlformats.org/officeDocument/2006/relationships/hyperlink" Target="https://github.com/cplreyes/ASPSI-DOH-UHC-CAPI-Development/issues/783" TargetMode="External"/><Relationship Id="rId34" Type="http://schemas.openxmlformats.org/officeDocument/2006/relationships/hyperlink" Target="https://github.com/cplreyes/ASPSI-DOH-UHC-CAPI-Development/issues/71" TargetMode="External"/><Relationship Id="rId76" Type="http://schemas.openxmlformats.org/officeDocument/2006/relationships/hyperlink" Target="https://github.com/cplreyes/ASPSI-DOH-UHC-CAPI-Development/issues/33" TargetMode="External"/><Relationship Id="rId141" Type="http://schemas.openxmlformats.org/officeDocument/2006/relationships/hyperlink" Target="https://github.com/cplreyes/ASPSI-DOH-UHC-CAPI-Development/issues/635" TargetMode="External"/><Relationship Id="rId379" Type="http://schemas.openxmlformats.org/officeDocument/2006/relationships/hyperlink" Target="https://github.com/cplreyes/ASPSI-DOH-UHC-CAPI-Development/issues/722" TargetMode="External"/><Relationship Id="rId7" Type="http://schemas.openxmlformats.org/officeDocument/2006/relationships/hyperlink" Target="https://github.com/cplreyes/ASPSI-DOH-UHC-CAPI-Development/issues/8" TargetMode="External"/><Relationship Id="rId183" Type="http://schemas.openxmlformats.org/officeDocument/2006/relationships/hyperlink" Target="https://github.com/cplreyes/ASPSI-DOH-UHC-CAPI-Development/issues/604" TargetMode="External"/><Relationship Id="rId239" Type="http://schemas.openxmlformats.org/officeDocument/2006/relationships/hyperlink" Target="https://github.com/cplreyes/ASPSI-DOH-UHC-CAPI-Development/issues/681" TargetMode="External"/><Relationship Id="rId250" Type="http://schemas.openxmlformats.org/officeDocument/2006/relationships/hyperlink" Target="https://github.com/cplreyes/ASPSI-DOH-UHC-CAPI-Development/issues/701" TargetMode="External"/><Relationship Id="rId292" Type="http://schemas.openxmlformats.org/officeDocument/2006/relationships/hyperlink" Target="https://github.com/cplreyes/ASPSI-DOH-UHC-CAPI-Development/issues/500" TargetMode="External"/><Relationship Id="rId306" Type="http://schemas.openxmlformats.org/officeDocument/2006/relationships/hyperlink" Target="https://github.com/cplreyes/ASPSI-DOH-UHC-CAPI-Development/issues/744" TargetMode="External"/><Relationship Id="rId45" Type="http://schemas.openxmlformats.org/officeDocument/2006/relationships/hyperlink" Target="https://github.com/cplreyes/ASPSI-DOH-UHC-CAPI-Development/issues/88" TargetMode="External"/><Relationship Id="rId87" Type="http://schemas.openxmlformats.org/officeDocument/2006/relationships/hyperlink" Target="https://github.com/cplreyes/ASPSI-DOH-UHC-CAPI-Development/issues/303" TargetMode="External"/><Relationship Id="rId110" Type="http://schemas.openxmlformats.org/officeDocument/2006/relationships/hyperlink" Target="https://github.com/cplreyes/ASPSI-DOH-UHC-CAPI-Development/issues/381" TargetMode="External"/><Relationship Id="rId348" Type="http://schemas.openxmlformats.org/officeDocument/2006/relationships/hyperlink" Target="https://github.com/cplreyes/ASPSI-DOH-UHC-CAPI-Development/issues/727" TargetMode="External"/><Relationship Id="rId152" Type="http://schemas.openxmlformats.org/officeDocument/2006/relationships/hyperlink" Target="https://github.com/cplreyes/ASPSI-DOH-UHC-CAPI-Development/issues/690" TargetMode="External"/><Relationship Id="rId194" Type="http://schemas.openxmlformats.org/officeDocument/2006/relationships/hyperlink" Target="https://github.com/cplreyes/ASPSI-DOH-UHC-CAPI-Development/issues/617" TargetMode="External"/><Relationship Id="rId208" Type="http://schemas.openxmlformats.org/officeDocument/2006/relationships/hyperlink" Target="https://github.com/cplreyes/ASPSI-DOH-UHC-CAPI-Development/issues/643" TargetMode="External"/><Relationship Id="rId261" Type="http://schemas.openxmlformats.org/officeDocument/2006/relationships/hyperlink" Target="https://github.com/cplreyes/ASPSI-DOH-UHC-CAPI-Development/issues/396" TargetMode="External"/><Relationship Id="rId14" Type="http://schemas.openxmlformats.org/officeDocument/2006/relationships/hyperlink" Target="https://github.com/cplreyes/ASPSI-DOH-UHC-CAPI-Development/issues/16" TargetMode="External"/><Relationship Id="rId56" Type="http://schemas.openxmlformats.org/officeDocument/2006/relationships/hyperlink" Target="https://github.com/cplreyes/ASPSI-DOH-UHC-CAPI-Development/issues/99" TargetMode="External"/><Relationship Id="rId317" Type="http://schemas.openxmlformats.org/officeDocument/2006/relationships/hyperlink" Target="https://github.com/cplreyes/ASPSI-DOH-UHC-CAPI-Development/issues/761" TargetMode="External"/><Relationship Id="rId359" Type="http://schemas.openxmlformats.org/officeDocument/2006/relationships/hyperlink" Target="https://github.com/cplreyes/ASPSI-DOH-UHC-CAPI-Development/issues/746" TargetMode="External"/><Relationship Id="rId98" Type="http://schemas.openxmlformats.org/officeDocument/2006/relationships/hyperlink" Target="https://github.com/cplreyes/ASPSI-DOH-UHC-CAPI-Development/issues/314" TargetMode="External"/><Relationship Id="rId121" Type="http://schemas.openxmlformats.org/officeDocument/2006/relationships/hyperlink" Target="https://github.com/cplreyes/ASPSI-DOH-UHC-CAPI-Development/issues/541" TargetMode="External"/><Relationship Id="rId163" Type="http://schemas.openxmlformats.org/officeDocument/2006/relationships/hyperlink" Target="https://github.com/cplreyes/ASPSI-DOH-UHC-CAPI-Development/issues/715" TargetMode="External"/><Relationship Id="rId219" Type="http://schemas.openxmlformats.org/officeDocument/2006/relationships/hyperlink" Target="https://github.com/cplreyes/ASPSI-DOH-UHC-CAPI-Development/issues/654" TargetMode="External"/><Relationship Id="rId370" Type="http://schemas.openxmlformats.org/officeDocument/2006/relationships/hyperlink" Target="https://github.com/cplreyes/ASPSI-DOH-UHC-CAPI-Development/issues/798" TargetMode="External"/><Relationship Id="rId230" Type="http://schemas.openxmlformats.org/officeDocument/2006/relationships/hyperlink" Target="https://github.com/cplreyes/ASPSI-DOH-UHC-CAPI-Development/issues/665" TargetMode="External"/><Relationship Id="rId25" Type="http://schemas.openxmlformats.org/officeDocument/2006/relationships/hyperlink" Target="https://github.com/cplreyes/ASPSI-DOH-UHC-CAPI-Development/issues/117" TargetMode="External"/><Relationship Id="rId67" Type="http://schemas.openxmlformats.org/officeDocument/2006/relationships/hyperlink" Target="https://github.com/cplreyes/ASPSI-DOH-UHC-CAPI-Development/issues/22" TargetMode="External"/><Relationship Id="rId272" Type="http://schemas.openxmlformats.org/officeDocument/2006/relationships/hyperlink" Target="https://github.com/cplreyes/ASPSI-DOH-UHC-CAPI-Development/issues/438" TargetMode="External"/><Relationship Id="rId328" Type="http://schemas.openxmlformats.org/officeDocument/2006/relationships/hyperlink" Target="https://github.com/cplreyes/ASPSI-DOH-UHC-CAPI-Development/issues/773" TargetMode="External"/><Relationship Id="rId132" Type="http://schemas.openxmlformats.org/officeDocument/2006/relationships/hyperlink" Target="https://github.com/cplreyes/ASPSI-DOH-UHC-CAPI-Development/issues/546" TargetMode="External"/><Relationship Id="rId174" Type="http://schemas.openxmlformats.org/officeDocument/2006/relationships/hyperlink" Target="https://github.com/cplreyes/ASPSI-DOH-UHC-CAPI-Development/issues/592" TargetMode="External"/><Relationship Id="rId381" Type="http://schemas.openxmlformats.org/officeDocument/2006/relationships/hyperlink" Target="https://github.com/cplreyes/ASPSI-DOH-UHC-CAPI-Development/issues/724" TargetMode="External"/><Relationship Id="rId241" Type="http://schemas.openxmlformats.org/officeDocument/2006/relationships/hyperlink" Target="https://github.com/cplreyes/ASPSI-DOH-UHC-CAPI-Development/issues/683" TargetMode="External"/><Relationship Id="rId36" Type="http://schemas.openxmlformats.org/officeDocument/2006/relationships/hyperlink" Target="https://github.com/cplreyes/ASPSI-DOH-UHC-CAPI-Development/issues/78" TargetMode="External"/><Relationship Id="rId283" Type="http://schemas.openxmlformats.org/officeDocument/2006/relationships/hyperlink" Target="https://github.com/cplreyes/ASPSI-DOH-UHC-CAPI-Development/issues/476" TargetMode="External"/><Relationship Id="rId339" Type="http://schemas.openxmlformats.org/officeDocument/2006/relationships/hyperlink" Target="https://github.com/cplreyes/ASPSI-DOH-UHC-CAPI-Development/issues/785" TargetMode="External"/><Relationship Id="rId78" Type="http://schemas.openxmlformats.org/officeDocument/2006/relationships/hyperlink" Target="https://github.com/cplreyes/ASPSI-DOH-UHC-CAPI-Development/issues/35" TargetMode="External"/><Relationship Id="rId101" Type="http://schemas.openxmlformats.org/officeDocument/2006/relationships/hyperlink" Target="https://github.com/cplreyes/ASPSI-DOH-UHC-CAPI-Development/issues/372" TargetMode="External"/><Relationship Id="rId143" Type="http://schemas.openxmlformats.org/officeDocument/2006/relationships/hyperlink" Target="https://github.com/cplreyes/ASPSI-DOH-UHC-CAPI-Development/issues/640" TargetMode="External"/><Relationship Id="rId185" Type="http://schemas.openxmlformats.org/officeDocument/2006/relationships/hyperlink" Target="https://github.com/cplreyes/ASPSI-DOH-UHC-CAPI-Development/issues/606" TargetMode="External"/><Relationship Id="rId350" Type="http://schemas.openxmlformats.org/officeDocument/2006/relationships/hyperlink" Target="https://github.com/cplreyes/ASPSI-DOH-UHC-CAPI-Development/issues/735" TargetMode="External"/><Relationship Id="rId9" Type="http://schemas.openxmlformats.org/officeDocument/2006/relationships/hyperlink" Target="https://github.com/cplreyes/ASPSI-DOH-UHC-CAPI-Development/issues/11" TargetMode="External"/><Relationship Id="rId210" Type="http://schemas.openxmlformats.org/officeDocument/2006/relationships/hyperlink" Target="https://github.com/cplreyes/ASPSI-DOH-UHC-CAPI-Development/issues/645" TargetMode="External"/><Relationship Id="rId26" Type="http://schemas.openxmlformats.org/officeDocument/2006/relationships/hyperlink" Target="https://github.com/cplreyes/ASPSI-DOH-UHC-CAPI-Development/issues/118" TargetMode="External"/><Relationship Id="rId231" Type="http://schemas.openxmlformats.org/officeDocument/2006/relationships/hyperlink" Target="https://github.com/cplreyes/ASPSI-DOH-UHC-CAPI-Development/issues/666" TargetMode="External"/><Relationship Id="rId252" Type="http://schemas.openxmlformats.org/officeDocument/2006/relationships/hyperlink" Target="https://github.com/cplreyes/ASPSI-DOH-UHC-CAPI-Development/issues/703" TargetMode="External"/><Relationship Id="rId273" Type="http://schemas.openxmlformats.org/officeDocument/2006/relationships/hyperlink" Target="https://github.com/cplreyes/ASPSI-DOH-UHC-CAPI-Development/issues/440" TargetMode="External"/><Relationship Id="rId294" Type="http://schemas.openxmlformats.org/officeDocument/2006/relationships/hyperlink" Target="https://github.com/cplreyes/ASPSI-DOH-UHC-CAPI-Development/issues/507" TargetMode="External"/><Relationship Id="rId308" Type="http://schemas.openxmlformats.org/officeDocument/2006/relationships/hyperlink" Target="https://github.com/cplreyes/ASPSI-DOH-UHC-CAPI-Development/issues/729" TargetMode="External"/><Relationship Id="rId329" Type="http://schemas.openxmlformats.org/officeDocument/2006/relationships/hyperlink" Target="https://github.com/cplreyes/ASPSI-DOH-UHC-CAPI-Development/issues/775" TargetMode="External"/><Relationship Id="rId47" Type="http://schemas.openxmlformats.org/officeDocument/2006/relationships/hyperlink" Target="https://github.com/cplreyes/ASPSI-DOH-UHC-CAPI-Development/issues/90" TargetMode="External"/><Relationship Id="rId68" Type="http://schemas.openxmlformats.org/officeDocument/2006/relationships/hyperlink" Target="https://github.com/cplreyes/ASPSI-DOH-UHC-CAPI-Development/issues/23" TargetMode="External"/><Relationship Id="rId89" Type="http://schemas.openxmlformats.org/officeDocument/2006/relationships/hyperlink" Target="https://github.com/cplreyes/ASPSI-DOH-UHC-CAPI-Development/issues/305" TargetMode="External"/><Relationship Id="rId112" Type="http://schemas.openxmlformats.org/officeDocument/2006/relationships/hyperlink" Target="https://github.com/cplreyes/ASPSI-DOH-UHC-CAPI-Development/issues/384" TargetMode="External"/><Relationship Id="rId133" Type="http://schemas.openxmlformats.org/officeDocument/2006/relationships/hyperlink" Target="https://github.com/cplreyes/ASPSI-DOH-UHC-CAPI-Development/issues/548" TargetMode="External"/><Relationship Id="rId154" Type="http://schemas.openxmlformats.org/officeDocument/2006/relationships/hyperlink" Target="https://github.com/cplreyes/ASPSI-DOH-UHC-CAPI-Development/issues/692" TargetMode="External"/><Relationship Id="rId175" Type="http://schemas.openxmlformats.org/officeDocument/2006/relationships/hyperlink" Target="https://github.com/cplreyes/ASPSI-DOH-UHC-CAPI-Development/issues/593" TargetMode="External"/><Relationship Id="rId340" Type="http://schemas.openxmlformats.org/officeDocument/2006/relationships/hyperlink" Target="https://github.com/cplreyes/ASPSI-DOH-UHC-CAPI-Development/issues/786" TargetMode="External"/><Relationship Id="rId361" Type="http://schemas.openxmlformats.org/officeDocument/2006/relationships/hyperlink" Target="https://github.com/cplreyes/ASPSI-DOH-UHC-CAPI-Development/issues/755" TargetMode="External"/><Relationship Id="rId196" Type="http://schemas.openxmlformats.org/officeDocument/2006/relationships/hyperlink" Target="https://github.com/cplreyes/ASPSI-DOH-UHC-CAPI-Development/issues/620" TargetMode="External"/><Relationship Id="rId200" Type="http://schemas.openxmlformats.org/officeDocument/2006/relationships/hyperlink" Target="https://github.com/cplreyes/ASPSI-DOH-UHC-CAPI-Development/issues/627" TargetMode="External"/><Relationship Id="rId16" Type="http://schemas.openxmlformats.org/officeDocument/2006/relationships/hyperlink" Target="https://github.com/cplreyes/ASPSI-DOH-UHC-CAPI-Development/issues/18" TargetMode="External"/><Relationship Id="rId221" Type="http://schemas.openxmlformats.org/officeDocument/2006/relationships/hyperlink" Target="https://github.com/cplreyes/ASPSI-DOH-UHC-CAPI-Development/issues/656" TargetMode="External"/><Relationship Id="rId242" Type="http://schemas.openxmlformats.org/officeDocument/2006/relationships/hyperlink" Target="https://github.com/cplreyes/ASPSI-DOH-UHC-CAPI-Development/issues/684" TargetMode="External"/><Relationship Id="rId263" Type="http://schemas.openxmlformats.org/officeDocument/2006/relationships/hyperlink" Target="https://github.com/cplreyes/ASPSI-DOH-UHC-CAPI-Development/issues/398" TargetMode="External"/><Relationship Id="rId284" Type="http://schemas.openxmlformats.org/officeDocument/2006/relationships/hyperlink" Target="https://github.com/cplreyes/ASPSI-DOH-UHC-CAPI-Development/issues/477" TargetMode="External"/><Relationship Id="rId319" Type="http://schemas.openxmlformats.org/officeDocument/2006/relationships/hyperlink" Target="https://github.com/cplreyes/ASPSI-DOH-UHC-CAPI-Development/issues/763" TargetMode="External"/><Relationship Id="rId37" Type="http://schemas.openxmlformats.org/officeDocument/2006/relationships/hyperlink" Target="https://github.com/cplreyes/ASPSI-DOH-UHC-CAPI-Development/issues/79" TargetMode="External"/><Relationship Id="rId58" Type="http://schemas.openxmlformats.org/officeDocument/2006/relationships/hyperlink" Target="https://github.com/cplreyes/ASPSI-DOH-UHC-CAPI-Development/issues/102" TargetMode="External"/><Relationship Id="rId79" Type="http://schemas.openxmlformats.org/officeDocument/2006/relationships/hyperlink" Target="https://github.com/cplreyes/ASPSI-DOH-UHC-CAPI-Development/issues/45" TargetMode="External"/><Relationship Id="rId102" Type="http://schemas.openxmlformats.org/officeDocument/2006/relationships/hyperlink" Target="https://github.com/cplreyes/ASPSI-DOH-UHC-CAPI-Development/issues/373" TargetMode="External"/><Relationship Id="rId123" Type="http://schemas.openxmlformats.org/officeDocument/2006/relationships/hyperlink" Target="https://github.com/cplreyes/ASPSI-DOH-UHC-CAPI-Development/issues/629" TargetMode="External"/><Relationship Id="rId144" Type="http://schemas.openxmlformats.org/officeDocument/2006/relationships/hyperlink" Target="https://github.com/cplreyes/ASPSI-DOH-UHC-CAPI-Development/issues/669" TargetMode="External"/><Relationship Id="rId330" Type="http://schemas.openxmlformats.org/officeDocument/2006/relationships/hyperlink" Target="https://github.com/cplreyes/ASPSI-DOH-UHC-CAPI-Development/issues/776" TargetMode="External"/><Relationship Id="rId90" Type="http://schemas.openxmlformats.org/officeDocument/2006/relationships/hyperlink" Target="https://github.com/cplreyes/ASPSI-DOH-UHC-CAPI-Development/issues/306" TargetMode="External"/><Relationship Id="rId165" Type="http://schemas.openxmlformats.org/officeDocument/2006/relationships/hyperlink" Target="https://github.com/cplreyes/ASPSI-DOH-UHC-CAPI-Development/issues/370" TargetMode="External"/><Relationship Id="rId186" Type="http://schemas.openxmlformats.org/officeDocument/2006/relationships/hyperlink" Target="https://github.com/cplreyes/ASPSI-DOH-UHC-CAPI-Development/issues/607" TargetMode="External"/><Relationship Id="rId351" Type="http://schemas.openxmlformats.org/officeDocument/2006/relationships/hyperlink" Target="https://github.com/cplreyes/ASPSI-DOH-UHC-CAPI-Development/issues/736" TargetMode="External"/><Relationship Id="rId372" Type="http://schemas.openxmlformats.org/officeDocument/2006/relationships/hyperlink" Target="https://github.com/cplreyes/ASPSI-DOH-UHC-CAPI-Development/issues/803" TargetMode="External"/><Relationship Id="rId211" Type="http://schemas.openxmlformats.org/officeDocument/2006/relationships/hyperlink" Target="https://github.com/cplreyes/ASPSI-DOH-UHC-CAPI-Development/issues/646" TargetMode="External"/><Relationship Id="rId232" Type="http://schemas.openxmlformats.org/officeDocument/2006/relationships/hyperlink" Target="https://github.com/cplreyes/ASPSI-DOH-UHC-CAPI-Development/issues/667" TargetMode="External"/><Relationship Id="rId253" Type="http://schemas.openxmlformats.org/officeDocument/2006/relationships/hyperlink" Target="https://github.com/cplreyes/ASPSI-DOH-UHC-CAPI-Development/issues/705" TargetMode="External"/><Relationship Id="rId274" Type="http://schemas.openxmlformats.org/officeDocument/2006/relationships/hyperlink" Target="https://github.com/cplreyes/ASPSI-DOH-UHC-CAPI-Development/issues/441" TargetMode="External"/><Relationship Id="rId295" Type="http://schemas.openxmlformats.org/officeDocument/2006/relationships/hyperlink" Target="https://github.com/cplreyes/ASPSI-DOH-UHC-CAPI-Development/issues/510" TargetMode="External"/><Relationship Id="rId309" Type="http://schemas.openxmlformats.org/officeDocument/2006/relationships/hyperlink" Target="https://github.com/cplreyes/ASPSI-DOH-UHC-CAPI-Development/issues/730" TargetMode="External"/><Relationship Id="rId27" Type="http://schemas.openxmlformats.org/officeDocument/2006/relationships/hyperlink" Target="https://github.com/cplreyes/ASPSI-DOH-UHC-CAPI-Development/issues/119" TargetMode="External"/><Relationship Id="rId48" Type="http://schemas.openxmlformats.org/officeDocument/2006/relationships/hyperlink" Target="https://github.com/cplreyes/ASPSI-DOH-UHC-CAPI-Development/issues/91" TargetMode="External"/><Relationship Id="rId69" Type="http://schemas.openxmlformats.org/officeDocument/2006/relationships/hyperlink" Target="https://github.com/cplreyes/ASPSI-DOH-UHC-CAPI-Development/issues/24" TargetMode="External"/><Relationship Id="rId113" Type="http://schemas.openxmlformats.org/officeDocument/2006/relationships/hyperlink" Target="https://github.com/cplreyes/ASPSI-DOH-UHC-CAPI-Development/issues/385" TargetMode="External"/><Relationship Id="rId134" Type="http://schemas.openxmlformats.org/officeDocument/2006/relationships/hyperlink" Target="https://github.com/cplreyes/ASPSI-DOH-UHC-CAPI-Development/issues/549" TargetMode="External"/><Relationship Id="rId320" Type="http://schemas.openxmlformats.org/officeDocument/2006/relationships/hyperlink" Target="https://github.com/cplreyes/ASPSI-DOH-UHC-CAPI-Development/issues/764" TargetMode="External"/><Relationship Id="rId80" Type="http://schemas.openxmlformats.org/officeDocument/2006/relationships/hyperlink" Target="https://github.com/cplreyes/ASPSI-DOH-UHC-CAPI-Development/issues/46" TargetMode="External"/><Relationship Id="rId155" Type="http://schemas.openxmlformats.org/officeDocument/2006/relationships/hyperlink" Target="https://github.com/cplreyes/ASPSI-DOH-UHC-CAPI-Development/issues/693" TargetMode="External"/><Relationship Id="rId176" Type="http://schemas.openxmlformats.org/officeDocument/2006/relationships/hyperlink" Target="https://github.com/cplreyes/ASPSI-DOH-UHC-CAPI-Development/issues/594" TargetMode="External"/><Relationship Id="rId197" Type="http://schemas.openxmlformats.org/officeDocument/2006/relationships/hyperlink" Target="https://github.com/cplreyes/ASPSI-DOH-UHC-CAPI-Development/issues/624" TargetMode="External"/><Relationship Id="rId341" Type="http://schemas.openxmlformats.org/officeDocument/2006/relationships/hyperlink" Target="https://github.com/cplreyes/ASPSI-DOH-UHC-CAPI-Development/issues/787" TargetMode="External"/><Relationship Id="rId362" Type="http://schemas.openxmlformats.org/officeDocument/2006/relationships/hyperlink" Target="https://github.com/cplreyes/ASPSI-DOH-UHC-CAPI-Development/issues/790" TargetMode="External"/><Relationship Id="rId201" Type="http://schemas.openxmlformats.org/officeDocument/2006/relationships/hyperlink" Target="https://github.com/cplreyes/ASPSI-DOH-UHC-CAPI-Development/issues/628" TargetMode="External"/><Relationship Id="rId222" Type="http://schemas.openxmlformats.org/officeDocument/2006/relationships/hyperlink" Target="https://github.com/cplreyes/ASPSI-DOH-UHC-CAPI-Development/issues/657" TargetMode="External"/><Relationship Id="rId243" Type="http://schemas.openxmlformats.org/officeDocument/2006/relationships/hyperlink" Target="https://github.com/cplreyes/ASPSI-DOH-UHC-CAPI-Development/issues/685" TargetMode="External"/><Relationship Id="rId264" Type="http://schemas.openxmlformats.org/officeDocument/2006/relationships/hyperlink" Target="https://github.com/cplreyes/ASPSI-DOH-UHC-CAPI-Development/issues/399" TargetMode="External"/><Relationship Id="rId285" Type="http://schemas.openxmlformats.org/officeDocument/2006/relationships/hyperlink" Target="https://github.com/cplreyes/ASPSI-DOH-UHC-CAPI-Development/issues/479" TargetMode="External"/><Relationship Id="rId17" Type="http://schemas.openxmlformats.org/officeDocument/2006/relationships/hyperlink" Target="https://github.com/cplreyes/ASPSI-DOH-UHC-CAPI-Development/issues/108" TargetMode="External"/><Relationship Id="rId38" Type="http://schemas.openxmlformats.org/officeDocument/2006/relationships/hyperlink" Target="https://github.com/cplreyes/ASPSI-DOH-UHC-CAPI-Development/issues/80" TargetMode="External"/><Relationship Id="rId59" Type="http://schemas.openxmlformats.org/officeDocument/2006/relationships/hyperlink" Target="https://github.com/cplreyes/ASPSI-DOH-UHC-CAPI-Development/issues/103" TargetMode="External"/><Relationship Id="rId103" Type="http://schemas.openxmlformats.org/officeDocument/2006/relationships/hyperlink" Target="https://github.com/cplreyes/ASPSI-DOH-UHC-CAPI-Development/issues/374" TargetMode="External"/><Relationship Id="rId124" Type="http://schemas.openxmlformats.org/officeDocument/2006/relationships/hyperlink" Target="https://github.com/cplreyes/ASPSI-DOH-UHC-CAPI-Development/issues/630" TargetMode="External"/><Relationship Id="rId310" Type="http://schemas.openxmlformats.org/officeDocument/2006/relationships/hyperlink" Target="https://github.com/cplreyes/ASPSI-DOH-UHC-CAPI-Development/issues/731" TargetMode="External"/><Relationship Id="rId70" Type="http://schemas.openxmlformats.org/officeDocument/2006/relationships/hyperlink" Target="https://github.com/cplreyes/ASPSI-DOH-UHC-CAPI-Development/issues/25" TargetMode="External"/><Relationship Id="rId91" Type="http://schemas.openxmlformats.org/officeDocument/2006/relationships/hyperlink" Target="https://github.com/cplreyes/ASPSI-DOH-UHC-CAPI-Development/issues/307" TargetMode="External"/><Relationship Id="rId145" Type="http://schemas.openxmlformats.org/officeDocument/2006/relationships/hyperlink" Target="https://github.com/cplreyes/ASPSI-DOH-UHC-CAPI-Development/issues/670" TargetMode="External"/><Relationship Id="rId166" Type="http://schemas.openxmlformats.org/officeDocument/2006/relationships/hyperlink" Target="https://github.com/cplreyes/ASPSI-DOH-UHC-CAPI-Development/issues/518" TargetMode="External"/><Relationship Id="rId187" Type="http://schemas.openxmlformats.org/officeDocument/2006/relationships/hyperlink" Target="https://github.com/cplreyes/ASPSI-DOH-UHC-CAPI-Development/issues/608" TargetMode="External"/><Relationship Id="rId331" Type="http://schemas.openxmlformats.org/officeDocument/2006/relationships/hyperlink" Target="https://github.com/cplreyes/ASPSI-DOH-UHC-CAPI-Development/issues/777" TargetMode="External"/><Relationship Id="rId352" Type="http://schemas.openxmlformats.org/officeDocument/2006/relationships/hyperlink" Target="https://github.com/cplreyes/ASPSI-DOH-UHC-CAPI-Development/issues/738" TargetMode="External"/><Relationship Id="rId373" Type="http://schemas.openxmlformats.org/officeDocument/2006/relationships/hyperlink" Target="https://github.com/cplreyes/ASPSI-DOH-UHC-CAPI-Development/issues/805" TargetMode="External"/><Relationship Id="rId1" Type="http://schemas.openxmlformats.org/officeDocument/2006/relationships/hyperlink" Target="https://github.com/cplreyes/ASPSI-DOH-UHC-CAPI-Development/issues/1" TargetMode="External"/><Relationship Id="rId212" Type="http://schemas.openxmlformats.org/officeDocument/2006/relationships/hyperlink" Target="https://github.com/cplreyes/ASPSI-DOH-UHC-CAPI-Development/issues/647" TargetMode="External"/><Relationship Id="rId233" Type="http://schemas.openxmlformats.org/officeDocument/2006/relationships/hyperlink" Target="https://github.com/cplreyes/ASPSI-DOH-UHC-CAPI-Development/issues/668" TargetMode="External"/><Relationship Id="rId254" Type="http://schemas.openxmlformats.org/officeDocument/2006/relationships/hyperlink" Target="https://github.com/cplreyes/ASPSI-DOH-UHC-CAPI-Development/issues/706" TargetMode="External"/><Relationship Id="rId28" Type="http://schemas.openxmlformats.org/officeDocument/2006/relationships/hyperlink" Target="https://github.com/cplreyes/ASPSI-DOH-UHC-CAPI-Development/issues/120" TargetMode="External"/><Relationship Id="rId49" Type="http://schemas.openxmlformats.org/officeDocument/2006/relationships/hyperlink" Target="https://github.com/cplreyes/ASPSI-DOH-UHC-CAPI-Development/issues/92" TargetMode="External"/><Relationship Id="rId114" Type="http://schemas.openxmlformats.org/officeDocument/2006/relationships/hyperlink" Target="https://github.com/cplreyes/ASPSI-DOH-UHC-CAPI-Development/issues/386" TargetMode="External"/><Relationship Id="rId275" Type="http://schemas.openxmlformats.org/officeDocument/2006/relationships/hyperlink" Target="https://github.com/cplreyes/ASPSI-DOH-UHC-CAPI-Development/issues/442" TargetMode="External"/><Relationship Id="rId296" Type="http://schemas.openxmlformats.org/officeDocument/2006/relationships/hyperlink" Target="https://github.com/cplreyes/ASPSI-DOH-UHC-CAPI-Development/issues/513" TargetMode="External"/><Relationship Id="rId300" Type="http://schemas.openxmlformats.org/officeDocument/2006/relationships/hyperlink" Target="https://github.com/cplreyes/ASPSI-DOH-UHC-CAPI-Development/issues/560" TargetMode="External"/><Relationship Id="rId60" Type="http://schemas.openxmlformats.org/officeDocument/2006/relationships/hyperlink" Target="https://github.com/cplreyes/ASPSI-DOH-UHC-CAPI-Development/issues/104" TargetMode="External"/><Relationship Id="rId81" Type="http://schemas.openxmlformats.org/officeDocument/2006/relationships/hyperlink" Target="https://github.com/cplreyes/ASPSI-DOH-UHC-CAPI-Development/issues/52" TargetMode="External"/><Relationship Id="rId135" Type="http://schemas.openxmlformats.org/officeDocument/2006/relationships/hyperlink" Target="https://github.com/cplreyes/ASPSI-DOH-UHC-CAPI-Development/issues/550" TargetMode="External"/><Relationship Id="rId156" Type="http://schemas.openxmlformats.org/officeDocument/2006/relationships/hyperlink" Target="https://github.com/cplreyes/ASPSI-DOH-UHC-CAPI-Development/issues/694" TargetMode="External"/><Relationship Id="rId177" Type="http://schemas.openxmlformats.org/officeDocument/2006/relationships/hyperlink" Target="https://github.com/cplreyes/ASPSI-DOH-UHC-CAPI-Development/issues/595" TargetMode="External"/><Relationship Id="rId198" Type="http://schemas.openxmlformats.org/officeDocument/2006/relationships/hyperlink" Target="https://github.com/cplreyes/ASPSI-DOH-UHC-CAPI-Development/issues/625" TargetMode="External"/><Relationship Id="rId321" Type="http://schemas.openxmlformats.org/officeDocument/2006/relationships/hyperlink" Target="https://github.com/cplreyes/ASPSI-DOH-UHC-CAPI-Development/issues/765" TargetMode="External"/><Relationship Id="rId342" Type="http://schemas.openxmlformats.org/officeDocument/2006/relationships/hyperlink" Target="https://github.com/cplreyes/ASPSI-DOH-UHC-CAPI-Development/issues/788" TargetMode="External"/><Relationship Id="rId363" Type="http://schemas.openxmlformats.org/officeDocument/2006/relationships/hyperlink" Target="https://github.com/cplreyes/ASPSI-DOH-UHC-CAPI-Development/issues/791" TargetMode="External"/><Relationship Id="rId202" Type="http://schemas.openxmlformats.org/officeDocument/2006/relationships/hyperlink" Target="https://github.com/cplreyes/ASPSI-DOH-UHC-CAPI-Development/issues/633" TargetMode="External"/><Relationship Id="rId223" Type="http://schemas.openxmlformats.org/officeDocument/2006/relationships/hyperlink" Target="https://github.com/cplreyes/ASPSI-DOH-UHC-CAPI-Development/issues/658" TargetMode="External"/><Relationship Id="rId244" Type="http://schemas.openxmlformats.org/officeDocument/2006/relationships/hyperlink" Target="https://github.com/cplreyes/ASPSI-DOH-UHC-CAPI-Development/issues/686" TargetMode="External"/><Relationship Id="rId18" Type="http://schemas.openxmlformats.org/officeDocument/2006/relationships/hyperlink" Target="https://github.com/cplreyes/ASPSI-DOH-UHC-CAPI-Development/issues/109" TargetMode="External"/><Relationship Id="rId39" Type="http://schemas.openxmlformats.org/officeDocument/2006/relationships/hyperlink" Target="https://github.com/cplreyes/ASPSI-DOH-UHC-CAPI-Development/issues/82" TargetMode="External"/><Relationship Id="rId265" Type="http://schemas.openxmlformats.org/officeDocument/2006/relationships/hyperlink" Target="https://github.com/cplreyes/ASPSI-DOH-UHC-CAPI-Development/issues/400" TargetMode="External"/><Relationship Id="rId286" Type="http://schemas.openxmlformats.org/officeDocument/2006/relationships/hyperlink" Target="https://github.com/cplreyes/ASPSI-DOH-UHC-CAPI-Development/issues/481" TargetMode="External"/><Relationship Id="rId50" Type="http://schemas.openxmlformats.org/officeDocument/2006/relationships/hyperlink" Target="https://github.com/cplreyes/ASPSI-DOH-UHC-CAPI-Development/issues/93" TargetMode="External"/><Relationship Id="rId104" Type="http://schemas.openxmlformats.org/officeDocument/2006/relationships/hyperlink" Target="https://github.com/cplreyes/ASPSI-DOH-UHC-CAPI-Development/issues/375" TargetMode="External"/><Relationship Id="rId125" Type="http://schemas.openxmlformats.org/officeDocument/2006/relationships/hyperlink" Target="https://github.com/cplreyes/ASPSI-DOH-UHC-CAPI-Development/issues/632" TargetMode="External"/><Relationship Id="rId146" Type="http://schemas.openxmlformats.org/officeDocument/2006/relationships/hyperlink" Target="https://github.com/cplreyes/ASPSI-DOH-UHC-CAPI-Development/issues/671" TargetMode="External"/><Relationship Id="rId167" Type="http://schemas.openxmlformats.org/officeDocument/2006/relationships/hyperlink" Target="https://github.com/cplreyes/ASPSI-DOH-UHC-CAPI-Development/issues/520" TargetMode="External"/><Relationship Id="rId188" Type="http://schemas.openxmlformats.org/officeDocument/2006/relationships/hyperlink" Target="https://github.com/cplreyes/ASPSI-DOH-UHC-CAPI-Development/issues/609" TargetMode="External"/><Relationship Id="rId311" Type="http://schemas.openxmlformats.org/officeDocument/2006/relationships/hyperlink" Target="https://github.com/cplreyes/ASPSI-DOH-UHC-CAPI-Development/issues/732" TargetMode="External"/><Relationship Id="rId332" Type="http://schemas.openxmlformats.org/officeDocument/2006/relationships/hyperlink" Target="https://github.com/cplreyes/ASPSI-DOH-UHC-CAPI-Development/issues/778" TargetMode="External"/><Relationship Id="rId353" Type="http://schemas.openxmlformats.org/officeDocument/2006/relationships/hyperlink" Target="https://github.com/cplreyes/ASPSI-DOH-UHC-CAPI-Development/issues/739" TargetMode="External"/><Relationship Id="rId374" Type="http://schemas.openxmlformats.org/officeDocument/2006/relationships/hyperlink" Target="https://github.com/cplreyes/ASPSI-DOH-UHC-CAPI-Development/issues/768" TargetMode="External"/><Relationship Id="rId71" Type="http://schemas.openxmlformats.org/officeDocument/2006/relationships/hyperlink" Target="https://github.com/cplreyes/ASPSI-DOH-UHC-CAPI-Development/issues/26" TargetMode="External"/><Relationship Id="rId92" Type="http://schemas.openxmlformats.org/officeDocument/2006/relationships/hyperlink" Target="https://github.com/cplreyes/ASPSI-DOH-UHC-CAPI-Development/issues/308" TargetMode="External"/><Relationship Id="rId213" Type="http://schemas.openxmlformats.org/officeDocument/2006/relationships/hyperlink" Target="https://github.com/cplreyes/ASPSI-DOH-UHC-CAPI-Development/issues/648" TargetMode="External"/><Relationship Id="rId234" Type="http://schemas.openxmlformats.org/officeDocument/2006/relationships/hyperlink" Target="https://github.com/cplreyes/ASPSI-DOH-UHC-CAPI-Development/issues/676" TargetMode="External"/><Relationship Id="rId2" Type="http://schemas.openxmlformats.org/officeDocument/2006/relationships/hyperlink" Target="https://github.com/cplreyes/ASPSI-DOH-UHC-CAPI-Development/issues/2" TargetMode="External"/><Relationship Id="rId29" Type="http://schemas.openxmlformats.org/officeDocument/2006/relationships/hyperlink" Target="https://github.com/cplreyes/ASPSI-DOH-UHC-CAPI-Development/issues/121" TargetMode="External"/><Relationship Id="rId255" Type="http://schemas.openxmlformats.org/officeDocument/2006/relationships/hyperlink" Target="https://github.com/cplreyes/ASPSI-DOH-UHC-CAPI-Development/issues/707" TargetMode="External"/><Relationship Id="rId276" Type="http://schemas.openxmlformats.org/officeDocument/2006/relationships/hyperlink" Target="https://github.com/cplreyes/ASPSI-DOH-UHC-CAPI-Development/issues/443" TargetMode="External"/><Relationship Id="rId297" Type="http://schemas.openxmlformats.org/officeDocument/2006/relationships/hyperlink" Target="https://github.com/cplreyes/ASPSI-DOH-UHC-CAPI-Development/issues/514" TargetMode="External"/><Relationship Id="rId40" Type="http://schemas.openxmlformats.org/officeDocument/2006/relationships/hyperlink" Target="https://github.com/cplreyes/ASPSI-DOH-UHC-CAPI-Development/issues/83" TargetMode="External"/><Relationship Id="rId115" Type="http://schemas.openxmlformats.org/officeDocument/2006/relationships/hyperlink" Target="https://github.com/cplreyes/ASPSI-DOH-UHC-CAPI-Development/issues/387" TargetMode="External"/><Relationship Id="rId136" Type="http://schemas.openxmlformats.org/officeDocument/2006/relationships/hyperlink" Target="https://github.com/cplreyes/ASPSI-DOH-UHC-CAPI-Development/issues/551" TargetMode="External"/><Relationship Id="rId157" Type="http://schemas.openxmlformats.org/officeDocument/2006/relationships/hyperlink" Target="https://github.com/cplreyes/ASPSI-DOH-UHC-CAPI-Development/issues/695" TargetMode="External"/><Relationship Id="rId178" Type="http://schemas.openxmlformats.org/officeDocument/2006/relationships/hyperlink" Target="https://github.com/cplreyes/ASPSI-DOH-UHC-CAPI-Development/issues/596" TargetMode="External"/><Relationship Id="rId301" Type="http://schemas.openxmlformats.org/officeDocument/2006/relationships/hyperlink" Target="https://github.com/cplreyes/ASPSI-DOH-UHC-CAPI-Development/issues/561" TargetMode="External"/><Relationship Id="rId322" Type="http://schemas.openxmlformats.org/officeDocument/2006/relationships/hyperlink" Target="https://github.com/cplreyes/ASPSI-DOH-UHC-CAPI-Development/issues/766" TargetMode="External"/><Relationship Id="rId343" Type="http://schemas.openxmlformats.org/officeDocument/2006/relationships/hyperlink" Target="https://github.com/cplreyes/ASPSI-DOH-UHC-CAPI-Development/issues/789" TargetMode="External"/><Relationship Id="rId364" Type="http://schemas.openxmlformats.org/officeDocument/2006/relationships/hyperlink" Target="https://github.com/cplreyes/ASPSI-DOH-UHC-CAPI-Development/issues/792" TargetMode="External"/><Relationship Id="rId61" Type="http://schemas.openxmlformats.org/officeDocument/2006/relationships/hyperlink" Target="https://github.com/cplreyes/ASPSI-DOH-UHC-CAPI-Development/issues/105" TargetMode="External"/><Relationship Id="rId82" Type="http://schemas.openxmlformats.org/officeDocument/2006/relationships/hyperlink" Target="https://github.com/cplreyes/ASPSI-DOH-UHC-CAPI-Development/issues/271" TargetMode="External"/><Relationship Id="rId199" Type="http://schemas.openxmlformats.org/officeDocument/2006/relationships/hyperlink" Target="https://github.com/cplreyes/ASPSI-DOH-UHC-CAPI-Development/issues/626" TargetMode="External"/><Relationship Id="rId203" Type="http://schemas.openxmlformats.org/officeDocument/2006/relationships/hyperlink" Target="https://github.com/cplreyes/ASPSI-DOH-UHC-CAPI-Development/issues/634" TargetMode="External"/><Relationship Id="rId19" Type="http://schemas.openxmlformats.org/officeDocument/2006/relationships/hyperlink" Target="https://github.com/cplreyes/ASPSI-DOH-UHC-CAPI-Development/issues/110" TargetMode="External"/><Relationship Id="rId224" Type="http://schemas.openxmlformats.org/officeDocument/2006/relationships/hyperlink" Target="https://github.com/cplreyes/ASPSI-DOH-UHC-CAPI-Development/issues/659" TargetMode="External"/><Relationship Id="rId245" Type="http://schemas.openxmlformats.org/officeDocument/2006/relationships/hyperlink" Target="https://github.com/cplreyes/ASPSI-DOH-UHC-CAPI-Development/issues/687" TargetMode="External"/><Relationship Id="rId266" Type="http://schemas.openxmlformats.org/officeDocument/2006/relationships/hyperlink" Target="https://github.com/cplreyes/ASPSI-DOH-UHC-CAPI-Development/issues/412" TargetMode="External"/><Relationship Id="rId287" Type="http://schemas.openxmlformats.org/officeDocument/2006/relationships/hyperlink" Target="https://github.com/cplreyes/ASPSI-DOH-UHC-CAPI-Development/issues/485" TargetMode="External"/><Relationship Id="rId30" Type="http://schemas.openxmlformats.org/officeDocument/2006/relationships/hyperlink" Target="https://github.com/cplreyes/ASPSI-DOH-UHC-CAPI-Development/issues/122" TargetMode="External"/><Relationship Id="rId105" Type="http://schemas.openxmlformats.org/officeDocument/2006/relationships/hyperlink" Target="https://github.com/cplreyes/ASPSI-DOH-UHC-CAPI-Development/issues/376" TargetMode="External"/><Relationship Id="rId126" Type="http://schemas.openxmlformats.org/officeDocument/2006/relationships/hyperlink" Target="https://github.com/cplreyes/ASPSI-DOH-UHC-CAPI-Development/issues/636" TargetMode="External"/><Relationship Id="rId147" Type="http://schemas.openxmlformats.org/officeDocument/2006/relationships/hyperlink" Target="https://github.com/cplreyes/ASPSI-DOH-UHC-CAPI-Development/issues/672" TargetMode="External"/><Relationship Id="rId168" Type="http://schemas.openxmlformats.org/officeDocument/2006/relationships/hyperlink" Target="https://github.com/cplreyes/ASPSI-DOH-UHC-CAPI-Development/issues/521" TargetMode="External"/><Relationship Id="rId312" Type="http://schemas.openxmlformats.org/officeDocument/2006/relationships/hyperlink" Target="https://github.com/cplreyes/ASPSI-DOH-UHC-CAPI-Development/issues/748" TargetMode="External"/><Relationship Id="rId333" Type="http://schemas.openxmlformats.org/officeDocument/2006/relationships/hyperlink" Target="https://github.com/cplreyes/ASPSI-DOH-UHC-CAPI-Development/issues/779" TargetMode="External"/><Relationship Id="rId354" Type="http://schemas.openxmlformats.org/officeDocument/2006/relationships/hyperlink" Target="https://github.com/cplreyes/ASPSI-DOH-UHC-CAPI-Development/issues/740" TargetMode="External"/><Relationship Id="rId51" Type="http://schemas.openxmlformats.org/officeDocument/2006/relationships/hyperlink" Target="https://github.com/cplreyes/ASPSI-DOH-UHC-CAPI-Development/issues/94" TargetMode="External"/><Relationship Id="rId72" Type="http://schemas.openxmlformats.org/officeDocument/2006/relationships/hyperlink" Target="https://github.com/cplreyes/ASPSI-DOH-UHC-CAPI-Development/issues/27" TargetMode="External"/><Relationship Id="rId93" Type="http://schemas.openxmlformats.org/officeDocument/2006/relationships/hyperlink" Target="https://github.com/cplreyes/ASPSI-DOH-UHC-CAPI-Development/issues/309" TargetMode="External"/><Relationship Id="rId189" Type="http://schemas.openxmlformats.org/officeDocument/2006/relationships/hyperlink" Target="https://github.com/cplreyes/ASPSI-DOH-UHC-CAPI-Development/issues/610" TargetMode="External"/><Relationship Id="rId375" Type="http://schemas.openxmlformats.org/officeDocument/2006/relationships/hyperlink" Target="https://github.com/cplreyes/ASPSI-DOH-UHC-CAPI-Development/issues/774" TargetMode="External"/><Relationship Id="rId3" Type="http://schemas.openxmlformats.org/officeDocument/2006/relationships/hyperlink" Target="https://github.com/cplreyes/ASPSI-DOH-UHC-CAPI-Development/issues/3" TargetMode="External"/><Relationship Id="rId214" Type="http://schemas.openxmlformats.org/officeDocument/2006/relationships/hyperlink" Target="https://github.com/cplreyes/ASPSI-DOH-UHC-CAPI-Development/issues/649" TargetMode="External"/><Relationship Id="rId235" Type="http://schemas.openxmlformats.org/officeDocument/2006/relationships/hyperlink" Target="https://github.com/cplreyes/ASPSI-DOH-UHC-CAPI-Development/issues/677" TargetMode="External"/><Relationship Id="rId256" Type="http://schemas.openxmlformats.org/officeDocument/2006/relationships/hyperlink" Target="https://github.com/cplreyes/ASPSI-DOH-UHC-CAPI-Development/issues/708" TargetMode="External"/><Relationship Id="rId277" Type="http://schemas.openxmlformats.org/officeDocument/2006/relationships/hyperlink" Target="https://github.com/cplreyes/ASPSI-DOH-UHC-CAPI-Development/issues/448" TargetMode="External"/><Relationship Id="rId298" Type="http://schemas.openxmlformats.org/officeDocument/2006/relationships/hyperlink" Target="https://github.com/cplreyes/ASPSI-DOH-UHC-CAPI-Development/issues/515" TargetMode="External"/><Relationship Id="rId116" Type="http://schemas.openxmlformats.org/officeDocument/2006/relationships/hyperlink" Target="https://github.com/cplreyes/ASPSI-DOH-UHC-CAPI-Development/issues/388" TargetMode="External"/><Relationship Id="rId137" Type="http://schemas.openxmlformats.org/officeDocument/2006/relationships/hyperlink" Target="https://github.com/cplreyes/ASPSI-DOH-UHC-CAPI-Development/issues/553" TargetMode="External"/><Relationship Id="rId158" Type="http://schemas.openxmlformats.org/officeDocument/2006/relationships/hyperlink" Target="https://github.com/cplreyes/ASPSI-DOH-UHC-CAPI-Development/issues/696" TargetMode="External"/><Relationship Id="rId302" Type="http://schemas.openxmlformats.org/officeDocument/2006/relationships/hyperlink" Target="https://github.com/cplreyes/ASPSI-DOH-UHC-CAPI-Development/issues/622" TargetMode="External"/><Relationship Id="rId323" Type="http://schemas.openxmlformats.org/officeDocument/2006/relationships/hyperlink" Target="https://github.com/cplreyes/ASPSI-DOH-UHC-CAPI-Development/issues/767" TargetMode="External"/><Relationship Id="rId344" Type="http://schemas.openxmlformats.org/officeDocument/2006/relationships/hyperlink" Target="https://github.com/cplreyes/ASPSI-DOH-UHC-CAPI-Development/issues/799" TargetMode="External"/><Relationship Id="rId20" Type="http://schemas.openxmlformats.org/officeDocument/2006/relationships/hyperlink" Target="https://github.com/cplreyes/ASPSI-DOH-UHC-CAPI-Development/issues/111" TargetMode="External"/><Relationship Id="rId41" Type="http://schemas.openxmlformats.org/officeDocument/2006/relationships/hyperlink" Target="https://github.com/cplreyes/ASPSI-DOH-UHC-CAPI-Development/issues/84" TargetMode="External"/><Relationship Id="rId62" Type="http://schemas.openxmlformats.org/officeDocument/2006/relationships/hyperlink" Target="https://github.com/cplreyes/ASPSI-DOH-UHC-CAPI-Development/issues/106" TargetMode="External"/><Relationship Id="rId83" Type="http://schemas.openxmlformats.org/officeDocument/2006/relationships/hyperlink" Target="https://github.com/cplreyes/ASPSI-DOH-UHC-CAPI-Development/issues/294" TargetMode="External"/><Relationship Id="rId179" Type="http://schemas.openxmlformats.org/officeDocument/2006/relationships/hyperlink" Target="https://github.com/cplreyes/ASPSI-DOH-UHC-CAPI-Development/issues/598" TargetMode="External"/><Relationship Id="rId365" Type="http://schemas.openxmlformats.org/officeDocument/2006/relationships/hyperlink" Target="https://github.com/cplreyes/ASPSI-DOH-UHC-CAPI-Development/issues/793" TargetMode="External"/><Relationship Id="rId190" Type="http://schemas.openxmlformats.org/officeDocument/2006/relationships/hyperlink" Target="https://github.com/cplreyes/ASPSI-DOH-UHC-CAPI-Development/issues/611" TargetMode="External"/><Relationship Id="rId204" Type="http://schemas.openxmlformats.org/officeDocument/2006/relationships/hyperlink" Target="https://github.com/cplreyes/ASPSI-DOH-UHC-CAPI-Development/issues/637" TargetMode="External"/><Relationship Id="rId225" Type="http://schemas.openxmlformats.org/officeDocument/2006/relationships/hyperlink" Target="https://github.com/cplreyes/ASPSI-DOH-UHC-CAPI-Development/issues/660" TargetMode="External"/><Relationship Id="rId246" Type="http://schemas.openxmlformats.org/officeDocument/2006/relationships/hyperlink" Target="https://github.com/cplreyes/ASPSI-DOH-UHC-CAPI-Development/issues/688" TargetMode="External"/><Relationship Id="rId267" Type="http://schemas.openxmlformats.org/officeDocument/2006/relationships/hyperlink" Target="https://github.com/cplreyes/ASPSI-DOH-UHC-CAPI-Development/issues/427" TargetMode="External"/><Relationship Id="rId288" Type="http://schemas.openxmlformats.org/officeDocument/2006/relationships/hyperlink" Target="https://github.com/cplreyes/ASPSI-DOH-UHC-CAPI-Development/issues/488" TargetMode="External"/><Relationship Id="rId106" Type="http://schemas.openxmlformats.org/officeDocument/2006/relationships/hyperlink" Target="https://github.com/cplreyes/ASPSI-DOH-UHC-CAPI-Development/issues/377" TargetMode="External"/><Relationship Id="rId127" Type="http://schemas.openxmlformats.org/officeDocument/2006/relationships/hyperlink" Target="https://github.com/cplreyes/ASPSI-DOH-UHC-CAPI-Development/issues/369" TargetMode="External"/><Relationship Id="rId313" Type="http://schemas.openxmlformats.org/officeDocument/2006/relationships/hyperlink" Target="https://github.com/cplreyes/ASPSI-DOH-UHC-CAPI-Development/issues/749" TargetMode="External"/><Relationship Id="rId10" Type="http://schemas.openxmlformats.org/officeDocument/2006/relationships/hyperlink" Target="https://github.com/cplreyes/ASPSI-DOH-UHC-CAPI-Development/issues/12" TargetMode="External"/><Relationship Id="rId31" Type="http://schemas.openxmlformats.org/officeDocument/2006/relationships/hyperlink" Target="https://github.com/cplreyes/ASPSI-DOH-UHC-CAPI-Development/issues/68" TargetMode="External"/><Relationship Id="rId52" Type="http://schemas.openxmlformats.org/officeDocument/2006/relationships/hyperlink" Target="https://github.com/cplreyes/ASPSI-DOH-UHC-CAPI-Development/issues/95" TargetMode="External"/><Relationship Id="rId73" Type="http://schemas.openxmlformats.org/officeDocument/2006/relationships/hyperlink" Target="https://github.com/cplreyes/ASPSI-DOH-UHC-CAPI-Development/issues/28" TargetMode="External"/><Relationship Id="rId94" Type="http://schemas.openxmlformats.org/officeDocument/2006/relationships/hyperlink" Target="https://github.com/cplreyes/ASPSI-DOH-UHC-CAPI-Development/issues/310" TargetMode="External"/><Relationship Id="rId148" Type="http://schemas.openxmlformats.org/officeDocument/2006/relationships/hyperlink" Target="https://github.com/cplreyes/ASPSI-DOH-UHC-CAPI-Development/issues/673" TargetMode="External"/><Relationship Id="rId169" Type="http://schemas.openxmlformats.org/officeDocument/2006/relationships/hyperlink" Target="https://github.com/cplreyes/ASPSI-DOH-UHC-CAPI-Development/issues/522" TargetMode="External"/><Relationship Id="rId334" Type="http://schemas.openxmlformats.org/officeDocument/2006/relationships/hyperlink" Target="https://github.com/cplreyes/ASPSI-DOH-UHC-CAPI-Development/issues/780" TargetMode="External"/><Relationship Id="rId355" Type="http://schemas.openxmlformats.org/officeDocument/2006/relationships/hyperlink" Target="https://github.com/cplreyes/ASPSI-DOH-UHC-CAPI-Development/issues/741" TargetMode="External"/><Relationship Id="rId376" Type="http://schemas.openxmlformats.org/officeDocument/2006/relationships/hyperlink" Target="https://github.com/cplreyes/ASPSI-DOH-UHC-CAPI-Development/issues/719" TargetMode="External"/><Relationship Id="rId4" Type="http://schemas.openxmlformats.org/officeDocument/2006/relationships/hyperlink" Target="https://github.com/cplreyes/ASPSI-DOH-UHC-CAPI-Development/issues/4" TargetMode="External"/><Relationship Id="rId180" Type="http://schemas.openxmlformats.org/officeDocument/2006/relationships/hyperlink" Target="https://github.com/cplreyes/ASPSI-DOH-UHC-CAPI-Development/issues/601" TargetMode="External"/><Relationship Id="rId215" Type="http://schemas.openxmlformats.org/officeDocument/2006/relationships/hyperlink" Target="https://github.com/cplreyes/ASPSI-DOH-UHC-CAPI-Development/issues/650" TargetMode="External"/><Relationship Id="rId236" Type="http://schemas.openxmlformats.org/officeDocument/2006/relationships/hyperlink" Target="https://github.com/cplreyes/ASPSI-DOH-UHC-CAPI-Development/issues/678" TargetMode="External"/><Relationship Id="rId257" Type="http://schemas.openxmlformats.org/officeDocument/2006/relationships/hyperlink" Target="https://github.com/cplreyes/ASPSI-DOH-UHC-CAPI-Development/issues/709" TargetMode="External"/><Relationship Id="rId278" Type="http://schemas.openxmlformats.org/officeDocument/2006/relationships/hyperlink" Target="https://github.com/cplreyes/ASPSI-DOH-UHC-CAPI-Development/issues/449" TargetMode="External"/><Relationship Id="rId303" Type="http://schemas.openxmlformats.org/officeDocument/2006/relationships/hyperlink" Target="https://github.com/cplreyes/ASPSI-DOH-UHC-CAPI-Development/issues/728" TargetMode="External"/><Relationship Id="rId42" Type="http://schemas.openxmlformats.org/officeDocument/2006/relationships/hyperlink" Target="https://github.com/cplreyes/ASPSI-DOH-UHC-CAPI-Development/issues/85" TargetMode="External"/><Relationship Id="rId84" Type="http://schemas.openxmlformats.org/officeDocument/2006/relationships/hyperlink" Target="https://github.com/cplreyes/ASPSI-DOH-UHC-CAPI-Development/issues/296" TargetMode="External"/><Relationship Id="rId138" Type="http://schemas.openxmlformats.org/officeDocument/2006/relationships/hyperlink" Target="https://github.com/cplreyes/ASPSI-DOH-UHC-CAPI-Development/issues/554" TargetMode="External"/><Relationship Id="rId345" Type="http://schemas.openxmlformats.org/officeDocument/2006/relationships/hyperlink" Target="https://github.com/cplreyes/ASPSI-DOH-UHC-CAPI-Development/issues/801" TargetMode="External"/><Relationship Id="rId191" Type="http://schemas.openxmlformats.org/officeDocument/2006/relationships/hyperlink" Target="https://github.com/cplreyes/ASPSI-DOH-UHC-CAPI-Development/issues/612" TargetMode="External"/><Relationship Id="rId205" Type="http://schemas.openxmlformats.org/officeDocument/2006/relationships/hyperlink" Target="https://github.com/cplreyes/ASPSI-DOH-UHC-CAPI-Development/issues/638" TargetMode="External"/><Relationship Id="rId247" Type="http://schemas.openxmlformats.org/officeDocument/2006/relationships/hyperlink" Target="https://github.com/cplreyes/ASPSI-DOH-UHC-CAPI-Development/issues/697" TargetMode="External"/><Relationship Id="rId107" Type="http://schemas.openxmlformats.org/officeDocument/2006/relationships/hyperlink" Target="https://github.com/cplreyes/ASPSI-DOH-UHC-CAPI-Development/issues/378" TargetMode="External"/><Relationship Id="rId289" Type="http://schemas.openxmlformats.org/officeDocument/2006/relationships/hyperlink" Target="https://github.com/cplreyes/ASPSI-DOH-UHC-CAPI-Development/issues/489" TargetMode="External"/><Relationship Id="rId11" Type="http://schemas.openxmlformats.org/officeDocument/2006/relationships/hyperlink" Target="https://github.com/cplreyes/ASPSI-DOH-UHC-CAPI-Development/issues/13" TargetMode="External"/><Relationship Id="rId53" Type="http://schemas.openxmlformats.org/officeDocument/2006/relationships/hyperlink" Target="https://github.com/cplreyes/ASPSI-DOH-UHC-CAPI-Development/issues/96" TargetMode="External"/><Relationship Id="rId149" Type="http://schemas.openxmlformats.org/officeDocument/2006/relationships/hyperlink" Target="https://github.com/cplreyes/ASPSI-DOH-UHC-CAPI-Development/issues/674" TargetMode="External"/><Relationship Id="rId314" Type="http://schemas.openxmlformats.org/officeDocument/2006/relationships/hyperlink" Target="https://github.com/cplreyes/ASPSI-DOH-UHC-CAPI-Development/issues/750" TargetMode="External"/><Relationship Id="rId356" Type="http://schemas.openxmlformats.org/officeDocument/2006/relationships/hyperlink" Target="https://github.com/cplreyes/ASPSI-DOH-UHC-CAPI-Development/issues/742" TargetMode="External"/><Relationship Id="rId95" Type="http://schemas.openxmlformats.org/officeDocument/2006/relationships/hyperlink" Target="https://github.com/cplreyes/ASPSI-DOH-UHC-CAPI-Development/issues/311" TargetMode="External"/><Relationship Id="rId160" Type="http://schemas.openxmlformats.org/officeDocument/2006/relationships/hyperlink" Target="https://github.com/cplreyes/ASPSI-DOH-UHC-CAPI-Development/issues/712" TargetMode="External"/><Relationship Id="rId216" Type="http://schemas.openxmlformats.org/officeDocument/2006/relationships/hyperlink" Target="https://github.com/cplreyes/ASPSI-DOH-UHC-CAPI-Development/issues/651" TargetMode="External"/><Relationship Id="rId258" Type="http://schemas.openxmlformats.org/officeDocument/2006/relationships/hyperlink" Target="https://github.com/cplreyes/ASPSI-DOH-UHC-CAPI-Development/issues/391" TargetMode="External"/><Relationship Id="rId22" Type="http://schemas.openxmlformats.org/officeDocument/2006/relationships/hyperlink" Target="https://github.com/cplreyes/ASPSI-DOH-UHC-CAPI-Development/issues/114" TargetMode="External"/><Relationship Id="rId64" Type="http://schemas.openxmlformats.org/officeDocument/2006/relationships/hyperlink" Target="https://github.com/cplreyes/ASPSI-DOH-UHC-CAPI-Development/issues/19" TargetMode="External"/><Relationship Id="rId118" Type="http://schemas.openxmlformats.org/officeDocument/2006/relationships/hyperlink" Target="https://github.com/cplreyes/ASPSI-DOH-UHC-CAPI-Development/issues/527" TargetMode="External"/><Relationship Id="rId325" Type="http://schemas.openxmlformats.org/officeDocument/2006/relationships/hyperlink" Target="https://github.com/cplreyes/ASPSI-DOH-UHC-CAPI-Development/issues/770" TargetMode="External"/><Relationship Id="rId367" Type="http://schemas.openxmlformats.org/officeDocument/2006/relationships/hyperlink" Target="https://github.com/cplreyes/ASPSI-DOH-UHC-CAPI-Development/issues/795" TargetMode="External"/><Relationship Id="rId171" Type="http://schemas.openxmlformats.org/officeDocument/2006/relationships/hyperlink" Target="https://github.com/cplreyes/ASPSI-DOH-UHC-CAPI-Development/issues/525" TargetMode="External"/><Relationship Id="rId227" Type="http://schemas.openxmlformats.org/officeDocument/2006/relationships/hyperlink" Target="https://github.com/cplreyes/ASPSI-DOH-UHC-CAPI-Development/issues/662" TargetMode="External"/><Relationship Id="rId269" Type="http://schemas.openxmlformats.org/officeDocument/2006/relationships/hyperlink" Target="https://github.com/cplreyes/ASPSI-DOH-UHC-CAPI-Development/issues/433" TargetMode="External"/><Relationship Id="rId33" Type="http://schemas.openxmlformats.org/officeDocument/2006/relationships/hyperlink" Target="https://github.com/cplreyes/ASPSI-DOH-UHC-CAPI-Development/issues/70" TargetMode="External"/><Relationship Id="rId129" Type="http://schemas.openxmlformats.org/officeDocument/2006/relationships/hyperlink" Target="https://github.com/cplreyes/ASPSI-DOH-UHC-CAPI-Development/issues/389" TargetMode="External"/><Relationship Id="rId280" Type="http://schemas.openxmlformats.org/officeDocument/2006/relationships/hyperlink" Target="https://github.com/cplreyes/ASPSI-DOH-UHC-CAPI-Development/issues/461" TargetMode="External"/><Relationship Id="rId336" Type="http://schemas.openxmlformats.org/officeDocument/2006/relationships/hyperlink" Target="https://github.com/cplreyes/ASPSI-DOH-UHC-CAPI-Development/issues/782" TargetMode="External"/><Relationship Id="rId75" Type="http://schemas.openxmlformats.org/officeDocument/2006/relationships/hyperlink" Target="https://github.com/cplreyes/ASPSI-DOH-UHC-CAPI-Development/issues/30" TargetMode="External"/><Relationship Id="rId140" Type="http://schemas.openxmlformats.org/officeDocument/2006/relationships/hyperlink" Target="https://github.com/cplreyes/ASPSI-DOH-UHC-CAPI-Development/issues/631" TargetMode="External"/><Relationship Id="rId182" Type="http://schemas.openxmlformats.org/officeDocument/2006/relationships/hyperlink" Target="https://github.com/cplreyes/ASPSI-DOH-UHC-CAPI-Development/issues/603" TargetMode="External"/><Relationship Id="rId378" Type="http://schemas.openxmlformats.org/officeDocument/2006/relationships/hyperlink" Target="https://github.com/cplreyes/ASPSI-DOH-UHC-CAPI-Development/issues/721" TargetMode="External"/><Relationship Id="rId6" Type="http://schemas.openxmlformats.org/officeDocument/2006/relationships/hyperlink" Target="https://github.com/cplreyes/ASPSI-DOH-UHC-CAPI-Development/issues/6" TargetMode="External"/><Relationship Id="rId238" Type="http://schemas.openxmlformats.org/officeDocument/2006/relationships/hyperlink" Target="https://github.com/cplreyes/ASPSI-DOH-UHC-CAPI-Development/issues/680" TargetMode="External"/><Relationship Id="rId291" Type="http://schemas.openxmlformats.org/officeDocument/2006/relationships/hyperlink" Target="https://github.com/cplreyes/ASPSI-DOH-UHC-CAPI-Development/issues/494" TargetMode="External"/><Relationship Id="rId305" Type="http://schemas.openxmlformats.org/officeDocument/2006/relationships/hyperlink" Target="https://github.com/cplreyes/ASPSI-DOH-UHC-CAPI-Development/issues/737" TargetMode="External"/><Relationship Id="rId347" Type="http://schemas.openxmlformats.org/officeDocument/2006/relationships/hyperlink" Target="https://github.com/cplreyes/ASPSI-DOH-UHC-CAPI-Development/issues/726" TargetMode="External"/><Relationship Id="rId44" Type="http://schemas.openxmlformats.org/officeDocument/2006/relationships/hyperlink" Target="https://github.com/cplreyes/ASPSI-DOH-UHC-CAPI-Development/issues/87" TargetMode="External"/><Relationship Id="rId86" Type="http://schemas.openxmlformats.org/officeDocument/2006/relationships/hyperlink" Target="https://github.com/cplreyes/ASPSI-DOH-UHC-CAPI-Development/issues/302" TargetMode="External"/><Relationship Id="rId151" Type="http://schemas.openxmlformats.org/officeDocument/2006/relationships/hyperlink" Target="https://github.com/cplreyes/ASPSI-DOH-UHC-CAPI-Development/issues/689" TargetMode="External"/><Relationship Id="rId193" Type="http://schemas.openxmlformats.org/officeDocument/2006/relationships/hyperlink" Target="https://github.com/cplreyes/ASPSI-DOH-UHC-CAPI-Development/issues/614" TargetMode="External"/><Relationship Id="rId207" Type="http://schemas.openxmlformats.org/officeDocument/2006/relationships/hyperlink" Target="https://github.com/cplreyes/ASPSI-DOH-UHC-CAPI-Development/issues/642" TargetMode="External"/><Relationship Id="rId249" Type="http://schemas.openxmlformats.org/officeDocument/2006/relationships/hyperlink" Target="https://github.com/cplreyes/ASPSI-DOH-UHC-CAPI-Development/issues/699" TargetMode="External"/><Relationship Id="rId13" Type="http://schemas.openxmlformats.org/officeDocument/2006/relationships/hyperlink" Target="https://github.com/cplreyes/ASPSI-DOH-UHC-CAPI-Development/issues/15" TargetMode="External"/><Relationship Id="rId109" Type="http://schemas.openxmlformats.org/officeDocument/2006/relationships/hyperlink" Target="https://github.com/cplreyes/ASPSI-DOH-UHC-CAPI-Development/issues/380" TargetMode="External"/><Relationship Id="rId260" Type="http://schemas.openxmlformats.org/officeDocument/2006/relationships/hyperlink" Target="https://github.com/cplreyes/ASPSI-DOH-UHC-CAPI-Development/issues/395" TargetMode="External"/><Relationship Id="rId316" Type="http://schemas.openxmlformats.org/officeDocument/2006/relationships/hyperlink" Target="https://github.com/cplreyes/ASPSI-DOH-UHC-CAPI-Development/issues/760" TargetMode="External"/><Relationship Id="rId55" Type="http://schemas.openxmlformats.org/officeDocument/2006/relationships/hyperlink" Target="https://github.com/cplreyes/ASPSI-DOH-UHC-CAPI-Development/issues/98" TargetMode="External"/><Relationship Id="rId97" Type="http://schemas.openxmlformats.org/officeDocument/2006/relationships/hyperlink" Target="https://github.com/cplreyes/ASPSI-DOH-UHC-CAPI-Development/issues/313" TargetMode="External"/><Relationship Id="rId120" Type="http://schemas.openxmlformats.org/officeDocument/2006/relationships/hyperlink" Target="https://github.com/cplreyes/ASPSI-DOH-UHC-CAPI-Development/issues/531" TargetMode="External"/><Relationship Id="rId358" Type="http://schemas.openxmlformats.org/officeDocument/2006/relationships/hyperlink" Target="https://github.com/cplreyes/ASPSI-DOH-UHC-CAPI-Development/issues/745" TargetMode="External"/><Relationship Id="rId162" Type="http://schemas.openxmlformats.org/officeDocument/2006/relationships/hyperlink" Target="https://github.com/cplreyes/ASPSI-DOH-UHC-CAPI-Development/issues/714" TargetMode="External"/><Relationship Id="rId218" Type="http://schemas.openxmlformats.org/officeDocument/2006/relationships/hyperlink" Target="https://github.com/cplreyes/ASPSI-DOH-UHC-CAPI-Development/issues/653" TargetMode="External"/><Relationship Id="rId271" Type="http://schemas.openxmlformats.org/officeDocument/2006/relationships/hyperlink" Target="https://github.com/cplreyes/ASPSI-DOH-UHC-CAPI-Development/issues/436" TargetMode="External"/><Relationship Id="rId24" Type="http://schemas.openxmlformats.org/officeDocument/2006/relationships/hyperlink" Target="https://github.com/cplreyes/ASPSI-DOH-UHC-CAPI-Development/issues/116" TargetMode="External"/><Relationship Id="rId66" Type="http://schemas.openxmlformats.org/officeDocument/2006/relationships/hyperlink" Target="https://github.com/cplreyes/ASPSI-DOH-UHC-CAPI-Development/issues/21" TargetMode="External"/><Relationship Id="rId131" Type="http://schemas.openxmlformats.org/officeDocument/2006/relationships/hyperlink" Target="https://github.com/cplreyes/ASPSI-DOH-UHC-CAPI-Development/issues/545" TargetMode="External"/><Relationship Id="rId327" Type="http://schemas.openxmlformats.org/officeDocument/2006/relationships/hyperlink" Target="https://github.com/cplreyes/ASPSI-DOH-UHC-CAPI-Development/issues/772" TargetMode="External"/><Relationship Id="rId369" Type="http://schemas.openxmlformats.org/officeDocument/2006/relationships/hyperlink" Target="https://github.com/cplreyes/ASPSI-DOH-UHC-CAPI-Development/issues/797" TargetMode="External"/><Relationship Id="rId173" Type="http://schemas.openxmlformats.org/officeDocument/2006/relationships/hyperlink" Target="https://github.com/cplreyes/ASPSI-DOH-UHC-CAPI-Development/issues/575" TargetMode="External"/><Relationship Id="rId229" Type="http://schemas.openxmlformats.org/officeDocument/2006/relationships/hyperlink" Target="https://github.com/cplreyes/ASPSI-DOH-UHC-CAPI-Development/issues/664" TargetMode="External"/><Relationship Id="rId380" Type="http://schemas.openxmlformats.org/officeDocument/2006/relationships/hyperlink" Target="https://github.com/cplreyes/ASPSI-DOH-UHC-CAPI-Development/issues/723" TargetMode="External"/><Relationship Id="rId240" Type="http://schemas.openxmlformats.org/officeDocument/2006/relationships/hyperlink" Target="https://github.com/cplreyes/ASPSI-DOH-UHC-CAPI-Development/issues/682" TargetMode="External"/><Relationship Id="rId35" Type="http://schemas.openxmlformats.org/officeDocument/2006/relationships/hyperlink" Target="https://github.com/cplreyes/ASPSI-DOH-UHC-CAPI-Development/issues/72" TargetMode="External"/><Relationship Id="rId77" Type="http://schemas.openxmlformats.org/officeDocument/2006/relationships/hyperlink" Target="https://github.com/cplreyes/ASPSI-DOH-UHC-CAPI-Development/issues/34" TargetMode="External"/><Relationship Id="rId100" Type="http://schemas.openxmlformats.org/officeDocument/2006/relationships/hyperlink" Target="https://github.com/cplreyes/ASPSI-DOH-UHC-CAPI-Development/issues/371" TargetMode="External"/><Relationship Id="rId282" Type="http://schemas.openxmlformats.org/officeDocument/2006/relationships/hyperlink" Target="https://github.com/cplreyes/ASPSI-DOH-UHC-CAPI-Development/issues/470" TargetMode="External"/><Relationship Id="rId338" Type="http://schemas.openxmlformats.org/officeDocument/2006/relationships/hyperlink" Target="https://github.com/cplreyes/ASPSI-DOH-UHC-CAPI-Development/issues/784" TargetMode="External"/><Relationship Id="rId8" Type="http://schemas.openxmlformats.org/officeDocument/2006/relationships/hyperlink" Target="https://github.com/cplreyes/ASPSI-DOH-UHC-CAPI-Development/issues/10" TargetMode="External"/><Relationship Id="rId142" Type="http://schemas.openxmlformats.org/officeDocument/2006/relationships/hyperlink" Target="https://github.com/cplreyes/ASPSI-DOH-UHC-CAPI-Development/issues/639" TargetMode="External"/><Relationship Id="rId184" Type="http://schemas.openxmlformats.org/officeDocument/2006/relationships/hyperlink" Target="https://github.com/cplreyes/ASPSI-DOH-UHC-CAPI-Development/issues/605" TargetMode="External"/><Relationship Id="rId251" Type="http://schemas.openxmlformats.org/officeDocument/2006/relationships/hyperlink" Target="https://github.com/cplreyes/ASPSI-DOH-UHC-CAPI-Development/issues/702" TargetMode="External"/><Relationship Id="rId46" Type="http://schemas.openxmlformats.org/officeDocument/2006/relationships/hyperlink" Target="https://github.com/cplreyes/ASPSI-DOH-UHC-CAPI-Development/issues/89" TargetMode="External"/><Relationship Id="rId293" Type="http://schemas.openxmlformats.org/officeDocument/2006/relationships/hyperlink" Target="https://github.com/cplreyes/ASPSI-DOH-UHC-CAPI-Development/issues/505" TargetMode="External"/><Relationship Id="rId307" Type="http://schemas.openxmlformats.org/officeDocument/2006/relationships/hyperlink" Target="https://github.com/cplreyes/ASPSI-DOH-UHC-CAPI-Development/issues/802" TargetMode="External"/><Relationship Id="rId349" Type="http://schemas.openxmlformats.org/officeDocument/2006/relationships/hyperlink" Target="https://github.com/cplreyes/ASPSI-DOH-UHC-CAPI-Development/issues/733" TargetMode="External"/><Relationship Id="rId88" Type="http://schemas.openxmlformats.org/officeDocument/2006/relationships/hyperlink" Target="https://github.com/cplreyes/ASPSI-DOH-UHC-CAPI-Development/issues/304" TargetMode="External"/><Relationship Id="rId111" Type="http://schemas.openxmlformats.org/officeDocument/2006/relationships/hyperlink" Target="https://github.com/cplreyes/ASPSI-DOH-UHC-CAPI-Development/issues/383" TargetMode="External"/><Relationship Id="rId153" Type="http://schemas.openxmlformats.org/officeDocument/2006/relationships/hyperlink" Target="https://github.com/cplreyes/ASPSI-DOH-UHC-CAPI-Development/issues/691" TargetMode="External"/><Relationship Id="rId195" Type="http://schemas.openxmlformats.org/officeDocument/2006/relationships/hyperlink" Target="https://github.com/cplreyes/ASPSI-DOH-UHC-CAPI-Development/issues/619" TargetMode="External"/><Relationship Id="rId209" Type="http://schemas.openxmlformats.org/officeDocument/2006/relationships/hyperlink" Target="https://github.com/cplreyes/ASPSI-DOH-UHC-CAPI-Development/issues/644" TargetMode="External"/><Relationship Id="rId360" Type="http://schemas.openxmlformats.org/officeDocument/2006/relationships/hyperlink" Target="https://github.com/cplreyes/ASPSI-DOH-UHC-CAPI-Development/issues/747" TargetMode="External"/><Relationship Id="rId220" Type="http://schemas.openxmlformats.org/officeDocument/2006/relationships/hyperlink" Target="https://github.com/cplreyes/ASPSI-DOH-UHC-CAPI-Development/issues/655" TargetMode="External"/><Relationship Id="rId15" Type="http://schemas.openxmlformats.org/officeDocument/2006/relationships/hyperlink" Target="https://github.com/cplreyes/ASPSI-DOH-UHC-CAPI-Development/issues/17" TargetMode="External"/><Relationship Id="rId57" Type="http://schemas.openxmlformats.org/officeDocument/2006/relationships/hyperlink" Target="https://github.com/cplreyes/ASPSI-DOH-UHC-CAPI-Development/issues/100" TargetMode="External"/><Relationship Id="rId262" Type="http://schemas.openxmlformats.org/officeDocument/2006/relationships/hyperlink" Target="https://github.com/cplreyes/ASPSI-DOH-UHC-CAPI-Development/issues/397" TargetMode="External"/><Relationship Id="rId318" Type="http://schemas.openxmlformats.org/officeDocument/2006/relationships/hyperlink" Target="https://github.com/cplreyes/ASPSI-DOH-UHC-CAPI-Development/issues/762" TargetMode="External"/><Relationship Id="rId99" Type="http://schemas.openxmlformats.org/officeDocument/2006/relationships/hyperlink" Target="https://github.com/cplreyes/ASPSI-DOH-UHC-CAPI-Development/issues/368" TargetMode="External"/><Relationship Id="rId122" Type="http://schemas.openxmlformats.org/officeDocument/2006/relationships/hyperlink" Target="https://github.com/cplreyes/ASPSI-DOH-UHC-CAPI-Development/issues/567" TargetMode="External"/><Relationship Id="rId164" Type="http://schemas.openxmlformats.org/officeDocument/2006/relationships/hyperlink" Target="https://github.com/cplreyes/ASPSI-DOH-UHC-CAPI-Development/issues/716" TargetMode="External"/><Relationship Id="rId371" Type="http://schemas.openxmlformats.org/officeDocument/2006/relationships/hyperlink" Target="https://github.com/cplreyes/ASPSI-DOH-UHC-CAPI-Development/issues/80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cplreyes/ASPSI-DOH-UHC-CAPI-Development/issues/137" TargetMode="External"/><Relationship Id="rId671" Type="http://schemas.openxmlformats.org/officeDocument/2006/relationships/hyperlink" Target="https://github.com/cplreyes/ASPSI-DOH-UHC-CAPI-Development/issues/741" TargetMode="External"/><Relationship Id="rId21" Type="http://schemas.openxmlformats.org/officeDocument/2006/relationships/hyperlink" Target="https://github.com/cplreyes/ASPSI-DOH-UHC-CAPI-Development/issues/21" TargetMode="External"/><Relationship Id="rId324" Type="http://schemas.openxmlformats.org/officeDocument/2006/relationships/hyperlink" Target="https://github.com/cplreyes/ASPSI-DOH-UHC-CAPI-Development/issues/388" TargetMode="External"/><Relationship Id="rId531" Type="http://schemas.openxmlformats.org/officeDocument/2006/relationships/hyperlink" Target="https://github.com/cplreyes/ASPSI-DOH-UHC-CAPI-Development/issues/595" TargetMode="External"/><Relationship Id="rId629" Type="http://schemas.openxmlformats.org/officeDocument/2006/relationships/hyperlink" Target="https://github.com/cplreyes/ASPSI-DOH-UHC-CAPI-Development/issues/694" TargetMode="External"/><Relationship Id="rId170" Type="http://schemas.openxmlformats.org/officeDocument/2006/relationships/hyperlink" Target="https://github.com/cplreyes/ASPSI-DOH-UHC-CAPI-Development/issues/190" TargetMode="External"/><Relationship Id="rId268" Type="http://schemas.openxmlformats.org/officeDocument/2006/relationships/hyperlink" Target="https://github.com/cplreyes/ASPSI-DOH-UHC-CAPI-Development/issues/300" TargetMode="External"/><Relationship Id="rId475" Type="http://schemas.openxmlformats.org/officeDocument/2006/relationships/hyperlink" Target="https://github.com/cplreyes/ASPSI-DOH-UHC-CAPI-Development/issues/539" TargetMode="External"/><Relationship Id="rId682" Type="http://schemas.openxmlformats.org/officeDocument/2006/relationships/hyperlink" Target="https://github.com/cplreyes/ASPSI-DOH-UHC-CAPI-Development/issues/752" TargetMode="External"/><Relationship Id="rId32" Type="http://schemas.openxmlformats.org/officeDocument/2006/relationships/hyperlink" Target="https://github.com/cplreyes/ASPSI-DOH-UHC-CAPI-Development/issues/34" TargetMode="External"/><Relationship Id="rId128" Type="http://schemas.openxmlformats.org/officeDocument/2006/relationships/hyperlink" Target="https://github.com/cplreyes/ASPSI-DOH-UHC-CAPI-Development/issues/148" TargetMode="External"/><Relationship Id="rId335" Type="http://schemas.openxmlformats.org/officeDocument/2006/relationships/hyperlink" Target="https://github.com/cplreyes/ASPSI-DOH-UHC-CAPI-Development/issues/399" TargetMode="External"/><Relationship Id="rId542" Type="http://schemas.openxmlformats.org/officeDocument/2006/relationships/hyperlink" Target="https://github.com/cplreyes/ASPSI-DOH-UHC-CAPI-Development/issues/606" TargetMode="External"/><Relationship Id="rId181" Type="http://schemas.openxmlformats.org/officeDocument/2006/relationships/hyperlink" Target="https://github.com/cplreyes/ASPSI-DOH-UHC-CAPI-Development/issues/201" TargetMode="External"/><Relationship Id="rId402" Type="http://schemas.openxmlformats.org/officeDocument/2006/relationships/hyperlink" Target="https://github.com/cplreyes/ASPSI-DOH-UHC-CAPI-Development/issues/466" TargetMode="External"/><Relationship Id="rId279" Type="http://schemas.openxmlformats.org/officeDocument/2006/relationships/hyperlink" Target="https://github.com/cplreyes/ASPSI-DOH-UHC-CAPI-Development/issues/311" TargetMode="External"/><Relationship Id="rId486" Type="http://schemas.openxmlformats.org/officeDocument/2006/relationships/hyperlink" Target="https://github.com/cplreyes/ASPSI-DOH-UHC-CAPI-Development/issues/550" TargetMode="External"/><Relationship Id="rId693" Type="http://schemas.openxmlformats.org/officeDocument/2006/relationships/hyperlink" Target="https://github.com/cplreyes/ASPSI-DOH-UHC-CAPI-Development/issues/763" TargetMode="External"/><Relationship Id="rId707" Type="http://schemas.openxmlformats.org/officeDocument/2006/relationships/hyperlink" Target="https://github.com/cplreyes/ASPSI-DOH-UHC-CAPI-Development/issues/777" TargetMode="External"/><Relationship Id="rId43" Type="http://schemas.openxmlformats.org/officeDocument/2006/relationships/hyperlink" Target="https://github.com/cplreyes/ASPSI-DOH-UHC-CAPI-Development/issues/61" TargetMode="External"/><Relationship Id="rId139" Type="http://schemas.openxmlformats.org/officeDocument/2006/relationships/hyperlink" Target="https://github.com/cplreyes/ASPSI-DOH-UHC-CAPI-Development/issues/159" TargetMode="External"/><Relationship Id="rId346" Type="http://schemas.openxmlformats.org/officeDocument/2006/relationships/hyperlink" Target="https://github.com/cplreyes/ASPSI-DOH-UHC-CAPI-Development/issues/410" TargetMode="External"/><Relationship Id="rId553" Type="http://schemas.openxmlformats.org/officeDocument/2006/relationships/hyperlink" Target="https://github.com/cplreyes/ASPSI-DOH-UHC-CAPI-Development/issues/617" TargetMode="External"/><Relationship Id="rId192" Type="http://schemas.openxmlformats.org/officeDocument/2006/relationships/hyperlink" Target="https://github.com/cplreyes/ASPSI-DOH-UHC-CAPI-Development/issues/212" TargetMode="External"/><Relationship Id="rId206" Type="http://schemas.openxmlformats.org/officeDocument/2006/relationships/hyperlink" Target="https://github.com/cplreyes/ASPSI-DOH-UHC-CAPI-Development/issues/226" TargetMode="External"/><Relationship Id="rId413" Type="http://schemas.openxmlformats.org/officeDocument/2006/relationships/hyperlink" Target="https://github.com/cplreyes/ASPSI-DOH-UHC-CAPI-Development/issues/477" TargetMode="External"/><Relationship Id="rId497" Type="http://schemas.openxmlformats.org/officeDocument/2006/relationships/hyperlink" Target="https://github.com/cplreyes/ASPSI-DOH-UHC-CAPI-Development/issues/561" TargetMode="External"/><Relationship Id="rId620" Type="http://schemas.openxmlformats.org/officeDocument/2006/relationships/hyperlink" Target="https://github.com/cplreyes/ASPSI-DOH-UHC-CAPI-Development/issues/685" TargetMode="External"/><Relationship Id="rId718" Type="http://schemas.openxmlformats.org/officeDocument/2006/relationships/hyperlink" Target="https://github.com/cplreyes/ASPSI-DOH-UHC-CAPI-Development/issues/788" TargetMode="External"/><Relationship Id="rId357" Type="http://schemas.openxmlformats.org/officeDocument/2006/relationships/hyperlink" Target="https://github.com/cplreyes/ASPSI-DOH-UHC-CAPI-Development/issues/421" TargetMode="External"/><Relationship Id="rId54" Type="http://schemas.openxmlformats.org/officeDocument/2006/relationships/hyperlink" Target="https://github.com/cplreyes/ASPSI-DOH-UHC-CAPI-Development/issues/72" TargetMode="External"/><Relationship Id="rId217" Type="http://schemas.openxmlformats.org/officeDocument/2006/relationships/hyperlink" Target="https://github.com/cplreyes/ASPSI-DOH-UHC-CAPI-Development/issues/237" TargetMode="External"/><Relationship Id="rId564" Type="http://schemas.openxmlformats.org/officeDocument/2006/relationships/hyperlink" Target="https://github.com/cplreyes/ASPSI-DOH-UHC-CAPI-Development/issues/629" TargetMode="External"/><Relationship Id="rId424" Type="http://schemas.openxmlformats.org/officeDocument/2006/relationships/hyperlink" Target="https://github.com/cplreyes/ASPSI-DOH-UHC-CAPI-Development/issues/488" TargetMode="External"/><Relationship Id="rId631" Type="http://schemas.openxmlformats.org/officeDocument/2006/relationships/hyperlink" Target="https://github.com/cplreyes/ASPSI-DOH-UHC-CAPI-Development/issues/696" TargetMode="External"/><Relationship Id="rId729" Type="http://schemas.openxmlformats.org/officeDocument/2006/relationships/hyperlink" Target="https://github.com/cplreyes/ASPSI-DOH-UHC-CAPI-Development/issues/799" TargetMode="External"/><Relationship Id="rId270" Type="http://schemas.openxmlformats.org/officeDocument/2006/relationships/hyperlink" Target="https://github.com/cplreyes/ASPSI-DOH-UHC-CAPI-Development/issues/302" TargetMode="External"/><Relationship Id="rId65" Type="http://schemas.openxmlformats.org/officeDocument/2006/relationships/hyperlink" Target="https://github.com/cplreyes/ASPSI-DOH-UHC-CAPI-Development/issues/83" TargetMode="External"/><Relationship Id="rId130" Type="http://schemas.openxmlformats.org/officeDocument/2006/relationships/hyperlink" Target="https://github.com/cplreyes/ASPSI-DOH-UHC-CAPI-Development/issues/150" TargetMode="External"/><Relationship Id="rId368" Type="http://schemas.openxmlformats.org/officeDocument/2006/relationships/hyperlink" Target="https://github.com/cplreyes/ASPSI-DOH-UHC-CAPI-Development/issues/432" TargetMode="External"/><Relationship Id="rId575" Type="http://schemas.openxmlformats.org/officeDocument/2006/relationships/hyperlink" Target="https://github.com/cplreyes/ASPSI-DOH-UHC-CAPI-Development/issues/640" TargetMode="External"/><Relationship Id="rId228" Type="http://schemas.openxmlformats.org/officeDocument/2006/relationships/hyperlink" Target="https://github.com/cplreyes/ASPSI-DOH-UHC-CAPI-Development/issues/248" TargetMode="External"/><Relationship Id="rId435" Type="http://schemas.openxmlformats.org/officeDocument/2006/relationships/hyperlink" Target="https://github.com/cplreyes/ASPSI-DOH-UHC-CAPI-Development/issues/499" TargetMode="External"/><Relationship Id="rId642" Type="http://schemas.openxmlformats.org/officeDocument/2006/relationships/hyperlink" Target="https://github.com/cplreyes/ASPSI-DOH-UHC-CAPI-Development/issues/708" TargetMode="External"/><Relationship Id="rId281" Type="http://schemas.openxmlformats.org/officeDocument/2006/relationships/hyperlink" Target="https://github.com/cplreyes/ASPSI-DOH-UHC-CAPI-Development/issues/313" TargetMode="External"/><Relationship Id="rId502" Type="http://schemas.openxmlformats.org/officeDocument/2006/relationships/hyperlink" Target="https://github.com/cplreyes/ASPSI-DOH-UHC-CAPI-Development/issues/566" TargetMode="External"/><Relationship Id="rId76" Type="http://schemas.openxmlformats.org/officeDocument/2006/relationships/hyperlink" Target="https://github.com/cplreyes/ASPSI-DOH-UHC-CAPI-Development/issues/94" TargetMode="External"/><Relationship Id="rId141" Type="http://schemas.openxmlformats.org/officeDocument/2006/relationships/hyperlink" Target="https://github.com/cplreyes/ASPSI-DOH-UHC-CAPI-Development/issues/161" TargetMode="External"/><Relationship Id="rId379" Type="http://schemas.openxmlformats.org/officeDocument/2006/relationships/hyperlink" Target="https://github.com/cplreyes/ASPSI-DOH-UHC-CAPI-Development/issues/443" TargetMode="External"/><Relationship Id="rId586" Type="http://schemas.openxmlformats.org/officeDocument/2006/relationships/hyperlink" Target="https://github.com/cplreyes/ASPSI-DOH-UHC-CAPI-Development/issues/651" TargetMode="External"/><Relationship Id="rId7" Type="http://schemas.openxmlformats.org/officeDocument/2006/relationships/hyperlink" Target="https://github.com/cplreyes/ASPSI-DOH-UHC-CAPI-Development/issues/7" TargetMode="External"/><Relationship Id="rId239" Type="http://schemas.openxmlformats.org/officeDocument/2006/relationships/hyperlink" Target="https://github.com/cplreyes/ASPSI-DOH-UHC-CAPI-Development/issues/259" TargetMode="External"/><Relationship Id="rId446" Type="http://schemas.openxmlformats.org/officeDocument/2006/relationships/hyperlink" Target="https://github.com/cplreyes/ASPSI-DOH-UHC-CAPI-Development/issues/510" TargetMode="External"/><Relationship Id="rId653" Type="http://schemas.openxmlformats.org/officeDocument/2006/relationships/hyperlink" Target="https://github.com/cplreyes/ASPSI-DOH-UHC-CAPI-Development/issues/723" TargetMode="External"/><Relationship Id="rId292" Type="http://schemas.openxmlformats.org/officeDocument/2006/relationships/hyperlink" Target="https://github.com/cplreyes/ASPSI-DOH-UHC-CAPI-Development/issues/324" TargetMode="External"/><Relationship Id="rId306" Type="http://schemas.openxmlformats.org/officeDocument/2006/relationships/hyperlink" Target="https://github.com/cplreyes/ASPSI-DOH-UHC-CAPI-Development/issues/370" TargetMode="External"/><Relationship Id="rId87" Type="http://schemas.openxmlformats.org/officeDocument/2006/relationships/hyperlink" Target="https://github.com/cplreyes/ASPSI-DOH-UHC-CAPI-Development/issues/105" TargetMode="External"/><Relationship Id="rId513" Type="http://schemas.openxmlformats.org/officeDocument/2006/relationships/hyperlink" Target="https://github.com/cplreyes/ASPSI-DOH-UHC-CAPI-Development/issues/577" TargetMode="External"/><Relationship Id="rId597" Type="http://schemas.openxmlformats.org/officeDocument/2006/relationships/hyperlink" Target="https://github.com/cplreyes/ASPSI-DOH-UHC-CAPI-Development/issues/662" TargetMode="External"/><Relationship Id="rId720" Type="http://schemas.openxmlformats.org/officeDocument/2006/relationships/hyperlink" Target="https://github.com/cplreyes/ASPSI-DOH-UHC-CAPI-Development/issues/790" TargetMode="External"/><Relationship Id="rId152" Type="http://schemas.openxmlformats.org/officeDocument/2006/relationships/hyperlink" Target="https://github.com/cplreyes/ASPSI-DOH-UHC-CAPI-Development/issues/172" TargetMode="External"/><Relationship Id="rId457" Type="http://schemas.openxmlformats.org/officeDocument/2006/relationships/hyperlink" Target="https://github.com/cplreyes/ASPSI-DOH-UHC-CAPI-Development/issues/521" TargetMode="External"/><Relationship Id="rId664" Type="http://schemas.openxmlformats.org/officeDocument/2006/relationships/hyperlink" Target="https://github.com/cplreyes/ASPSI-DOH-UHC-CAPI-Development/issues/734" TargetMode="External"/><Relationship Id="rId14" Type="http://schemas.openxmlformats.org/officeDocument/2006/relationships/hyperlink" Target="https://github.com/cplreyes/ASPSI-DOH-UHC-CAPI-Development/issues/14" TargetMode="External"/><Relationship Id="rId317" Type="http://schemas.openxmlformats.org/officeDocument/2006/relationships/hyperlink" Target="https://github.com/cplreyes/ASPSI-DOH-UHC-CAPI-Development/issues/381" TargetMode="External"/><Relationship Id="rId524" Type="http://schemas.openxmlformats.org/officeDocument/2006/relationships/hyperlink" Target="https://github.com/cplreyes/ASPSI-DOH-UHC-CAPI-Development/issues/588" TargetMode="External"/><Relationship Id="rId731" Type="http://schemas.openxmlformats.org/officeDocument/2006/relationships/hyperlink" Target="https://github.com/cplreyes/ASPSI-DOH-UHC-CAPI-Development/issues/801" TargetMode="External"/><Relationship Id="rId98" Type="http://schemas.openxmlformats.org/officeDocument/2006/relationships/hyperlink" Target="https://github.com/cplreyes/ASPSI-DOH-UHC-CAPI-Development/issues/117" TargetMode="External"/><Relationship Id="rId163" Type="http://schemas.openxmlformats.org/officeDocument/2006/relationships/hyperlink" Target="https://github.com/cplreyes/ASPSI-DOH-UHC-CAPI-Development/issues/183" TargetMode="External"/><Relationship Id="rId370" Type="http://schemas.openxmlformats.org/officeDocument/2006/relationships/hyperlink" Target="https://github.com/cplreyes/ASPSI-DOH-UHC-CAPI-Development/issues/434" TargetMode="External"/><Relationship Id="rId230" Type="http://schemas.openxmlformats.org/officeDocument/2006/relationships/hyperlink" Target="https://github.com/cplreyes/ASPSI-DOH-UHC-CAPI-Development/issues/250" TargetMode="External"/><Relationship Id="rId468" Type="http://schemas.openxmlformats.org/officeDocument/2006/relationships/hyperlink" Target="https://github.com/cplreyes/ASPSI-DOH-UHC-CAPI-Development/issues/532" TargetMode="External"/><Relationship Id="rId675" Type="http://schemas.openxmlformats.org/officeDocument/2006/relationships/hyperlink" Target="https://github.com/cplreyes/ASPSI-DOH-UHC-CAPI-Development/issues/745" TargetMode="External"/><Relationship Id="rId25" Type="http://schemas.openxmlformats.org/officeDocument/2006/relationships/hyperlink" Target="https://github.com/cplreyes/ASPSI-DOH-UHC-CAPI-Development/issues/25" TargetMode="External"/><Relationship Id="rId328" Type="http://schemas.openxmlformats.org/officeDocument/2006/relationships/hyperlink" Target="https://github.com/cplreyes/ASPSI-DOH-UHC-CAPI-Development/issues/392" TargetMode="External"/><Relationship Id="rId535" Type="http://schemas.openxmlformats.org/officeDocument/2006/relationships/hyperlink" Target="https://github.com/cplreyes/ASPSI-DOH-UHC-CAPI-Development/issues/599" TargetMode="External"/><Relationship Id="rId174" Type="http://schemas.openxmlformats.org/officeDocument/2006/relationships/hyperlink" Target="https://github.com/cplreyes/ASPSI-DOH-UHC-CAPI-Development/issues/194" TargetMode="External"/><Relationship Id="rId381" Type="http://schemas.openxmlformats.org/officeDocument/2006/relationships/hyperlink" Target="https://github.com/cplreyes/ASPSI-DOH-UHC-CAPI-Development/issues/445" TargetMode="External"/><Relationship Id="rId602" Type="http://schemas.openxmlformats.org/officeDocument/2006/relationships/hyperlink" Target="https://github.com/cplreyes/ASPSI-DOH-UHC-CAPI-Development/issues/667" TargetMode="External"/><Relationship Id="rId241" Type="http://schemas.openxmlformats.org/officeDocument/2006/relationships/hyperlink" Target="https://github.com/cplreyes/ASPSI-DOH-UHC-CAPI-Development/issues/261" TargetMode="External"/><Relationship Id="rId479" Type="http://schemas.openxmlformats.org/officeDocument/2006/relationships/hyperlink" Target="https://github.com/cplreyes/ASPSI-DOH-UHC-CAPI-Development/issues/543" TargetMode="External"/><Relationship Id="rId686" Type="http://schemas.openxmlformats.org/officeDocument/2006/relationships/hyperlink" Target="https://github.com/cplreyes/ASPSI-DOH-UHC-CAPI-Development/issues/756" TargetMode="External"/><Relationship Id="rId36" Type="http://schemas.openxmlformats.org/officeDocument/2006/relationships/hyperlink" Target="https://github.com/cplreyes/ASPSI-DOH-UHC-CAPI-Development/issues/52" TargetMode="External"/><Relationship Id="rId339" Type="http://schemas.openxmlformats.org/officeDocument/2006/relationships/hyperlink" Target="https://github.com/cplreyes/ASPSI-DOH-UHC-CAPI-Development/issues/403" TargetMode="External"/><Relationship Id="rId546" Type="http://schemas.openxmlformats.org/officeDocument/2006/relationships/hyperlink" Target="https://github.com/cplreyes/ASPSI-DOH-UHC-CAPI-Development/issues/610" TargetMode="External"/><Relationship Id="rId101" Type="http://schemas.openxmlformats.org/officeDocument/2006/relationships/hyperlink" Target="https://github.com/cplreyes/ASPSI-DOH-UHC-CAPI-Development/issues/120" TargetMode="External"/><Relationship Id="rId185" Type="http://schemas.openxmlformats.org/officeDocument/2006/relationships/hyperlink" Target="https://github.com/cplreyes/ASPSI-DOH-UHC-CAPI-Development/issues/205" TargetMode="External"/><Relationship Id="rId406" Type="http://schemas.openxmlformats.org/officeDocument/2006/relationships/hyperlink" Target="https://github.com/cplreyes/ASPSI-DOH-UHC-CAPI-Development/issues/470" TargetMode="External"/><Relationship Id="rId392" Type="http://schemas.openxmlformats.org/officeDocument/2006/relationships/hyperlink" Target="https://github.com/cplreyes/ASPSI-DOH-UHC-CAPI-Development/issues/456" TargetMode="External"/><Relationship Id="rId613" Type="http://schemas.openxmlformats.org/officeDocument/2006/relationships/hyperlink" Target="https://github.com/cplreyes/ASPSI-DOH-UHC-CAPI-Development/issues/678" TargetMode="External"/><Relationship Id="rId697" Type="http://schemas.openxmlformats.org/officeDocument/2006/relationships/hyperlink" Target="https://github.com/cplreyes/ASPSI-DOH-UHC-CAPI-Development/issues/767" TargetMode="External"/><Relationship Id="rId252" Type="http://schemas.openxmlformats.org/officeDocument/2006/relationships/hyperlink" Target="https://github.com/cplreyes/ASPSI-DOH-UHC-CAPI-Development/issues/272" TargetMode="External"/><Relationship Id="rId47" Type="http://schemas.openxmlformats.org/officeDocument/2006/relationships/hyperlink" Target="https://github.com/cplreyes/ASPSI-DOH-UHC-CAPI-Development/issues/65" TargetMode="External"/><Relationship Id="rId112" Type="http://schemas.openxmlformats.org/officeDocument/2006/relationships/hyperlink" Target="https://github.com/cplreyes/ASPSI-DOH-UHC-CAPI-Development/issues/131" TargetMode="External"/><Relationship Id="rId557" Type="http://schemas.openxmlformats.org/officeDocument/2006/relationships/hyperlink" Target="https://github.com/cplreyes/ASPSI-DOH-UHC-CAPI-Development/issues/621" TargetMode="External"/><Relationship Id="rId196" Type="http://schemas.openxmlformats.org/officeDocument/2006/relationships/hyperlink" Target="https://github.com/cplreyes/ASPSI-DOH-UHC-CAPI-Development/issues/216" TargetMode="External"/><Relationship Id="rId417" Type="http://schemas.openxmlformats.org/officeDocument/2006/relationships/hyperlink" Target="https://github.com/cplreyes/ASPSI-DOH-UHC-CAPI-Development/issues/481" TargetMode="External"/><Relationship Id="rId624" Type="http://schemas.openxmlformats.org/officeDocument/2006/relationships/hyperlink" Target="https://github.com/cplreyes/ASPSI-DOH-UHC-CAPI-Development/issues/689" TargetMode="External"/><Relationship Id="rId263" Type="http://schemas.openxmlformats.org/officeDocument/2006/relationships/hyperlink" Target="https://github.com/cplreyes/ASPSI-DOH-UHC-CAPI-Development/issues/295" TargetMode="External"/><Relationship Id="rId470" Type="http://schemas.openxmlformats.org/officeDocument/2006/relationships/hyperlink" Target="https://github.com/cplreyes/ASPSI-DOH-UHC-CAPI-Development/issues/534" TargetMode="External"/><Relationship Id="rId58" Type="http://schemas.openxmlformats.org/officeDocument/2006/relationships/hyperlink" Target="https://github.com/cplreyes/ASPSI-DOH-UHC-CAPI-Development/issues/76" TargetMode="External"/><Relationship Id="rId123" Type="http://schemas.openxmlformats.org/officeDocument/2006/relationships/hyperlink" Target="https://github.com/cplreyes/ASPSI-DOH-UHC-CAPI-Development/issues/143" TargetMode="External"/><Relationship Id="rId330" Type="http://schemas.openxmlformats.org/officeDocument/2006/relationships/hyperlink" Target="https://github.com/cplreyes/ASPSI-DOH-UHC-CAPI-Development/issues/394" TargetMode="External"/><Relationship Id="rId568" Type="http://schemas.openxmlformats.org/officeDocument/2006/relationships/hyperlink" Target="https://github.com/cplreyes/ASPSI-DOH-UHC-CAPI-Development/issues/633" TargetMode="External"/><Relationship Id="rId428" Type="http://schemas.openxmlformats.org/officeDocument/2006/relationships/hyperlink" Target="https://github.com/cplreyes/ASPSI-DOH-UHC-CAPI-Development/issues/492" TargetMode="External"/><Relationship Id="rId635" Type="http://schemas.openxmlformats.org/officeDocument/2006/relationships/hyperlink" Target="https://github.com/cplreyes/ASPSI-DOH-UHC-CAPI-Development/issues/700" TargetMode="External"/><Relationship Id="rId274" Type="http://schemas.openxmlformats.org/officeDocument/2006/relationships/hyperlink" Target="https://github.com/cplreyes/ASPSI-DOH-UHC-CAPI-Development/issues/306" TargetMode="External"/><Relationship Id="rId481" Type="http://schemas.openxmlformats.org/officeDocument/2006/relationships/hyperlink" Target="https://github.com/cplreyes/ASPSI-DOH-UHC-CAPI-Development/issues/545" TargetMode="External"/><Relationship Id="rId702" Type="http://schemas.openxmlformats.org/officeDocument/2006/relationships/hyperlink" Target="https://github.com/cplreyes/ASPSI-DOH-UHC-CAPI-Development/issues/772" TargetMode="External"/><Relationship Id="rId69" Type="http://schemas.openxmlformats.org/officeDocument/2006/relationships/hyperlink" Target="https://github.com/cplreyes/ASPSI-DOH-UHC-CAPI-Development/issues/87" TargetMode="External"/><Relationship Id="rId134" Type="http://schemas.openxmlformats.org/officeDocument/2006/relationships/hyperlink" Target="https://github.com/cplreyes/ASPSI-DOH-UHC-CAPI-Development/issues/154" TargetMode="External"/><Relationship Id="rId579" Type="http://schemas.openxmlformats.org/officeDocument/2006/relationships/hyperlink" Target="https://github.com/cplreyes/ASPSI-DOH-UHC-CAPI-Development/issues/644" TargetMode="External"/><Relationship Id="rId341" Type="http://schemas.openxmlformats.org/officeDocument/2006/relationships/hyperlink" Target="https://github.com/cplreyes/ASPSI-DOH-UHC-CAPI-Development/issues/405" TargetMode="External"/><Relationship Id="rId439" Type="http://schemas.openxmlformats.org/officeDocument/2006/relationships/hyperlink" Target="https://github.com/cplreyes/ASPSI-DOH-UHC-CAPI-Development/issues/503" TargetMode="External"/><Relationship Id="rId646" Type="http://schemas.openxmlformats.org/officeDocument/2006/relationships/hyperlink" Target="https://github.com/cplreyes/ASPSI-DOH-UHC-CAPI-Development/issues/714" TargetMode="External"/><Relationship Id="rId201" Type="http://schemas.openxmlformats.org/officeDocument/2006/relationships/hyperlink" Target="https://github.com/cplreyes/ASPSI-DOH-UHC-CAPI-Development/issues/221" TargetMode="External"/><Relationship Id="rId285" Type="http://schemas.openxmlformats.org/officeDocument/2006/relationships/hyperlink" Target="https://github.com/cplreyes/ASPSI-DOH-UHC-CAPI-Development/issues/317" TargetMode="External"/><Relationship Id="rId506" Type="http://schemas.openxmlformats.org/officeDocument/2006/relationships/hyperlink" Target="https://github.com/cplreyes/ASPSI-DOH-UHC-CAPI-Development/issues/570" TargetMode="External"/><Relationship Id="rId492" Type="http://schemas.openxmlformats.org/officeDocument/2006/relationships/hyperlink" Target="https://github.com/cplreyes/ASPSI-DOH-UHC-CAPI-Development/issues/556" TargetMode="External"/><Relationship Id="rId713" Type="http://schemas.openxmlformats.org/officeDocument/2006/relationships/hyperlink" Target="https://github.com/cplreyes/ASPSI-DOH-UHC-CAPI-Development/issues/783" TargetMode="External"/><Relationship Id="rId145" Type="http://schemas.openxmlformats.org/officeDocument/2006/relationships/hyperlink" Target="https://github.com/cplreyes/ASPSI-DOH-UHC-CAPI-Development/issues/165" TargetMode="External"/><Relationship Id="rId352" Type="http://schemas.openxmlformats.org/officeDocument/2006/relationships/hyperlink" Target="https://github.com/cplreyes/ASPSI-DOH-UHC-CAPI-Development/issues/416" TargetMode="External"/><Relationship Id="rId212" Type="http://schemas.openxmlformats.org/officeDocument/2006/relationships/hyperlink" Target="https://github.com/cplreyes/ASPSI-DOH-UHC-CAPI-Development/issues/232" TargetMode="External"/><Relationship Id="rId657" Type="http://schemas.openxmlformats.org/officeDocument/2006/relationships/hyperlink" Target="https://github.com/cplreyes/ASPSI-DOH-UHC-CAPI-Development/issues/727" TargetMode="External"/><Relationship Id="rId296" Type="http://schemas.openxmlformats.org/officeDocument/2006/relationships/hyperlink" Target="https://github.com/cplreyes/ASPSI-DOH-UHC-CAPI-Development/issues/328" TargetMode="External"/><Relationship Id="rId517" Type="http://schemas.openxmlformats.org/officeDocument/2006/relationships/hyperlink" Target="https://github.com/cplreyes/ASPSI-DOH-UHC-CAPI-Development/issues/581" TargetMode="External"/><Relationship Id="rId724" Type="http://schemas.openxmlformats.org/officeDocument/2006/relationships/hyperlink" Target="https://github.com/cplreyes/ASPSI-DOH-UHC-CAPI-Development/issues/794" TargetMode="External"/><Relationship Id="rId60" Type="http://schemas.openxmlformats.org/officeDocument/2006/relationships/hyperlink" Target="https://github.com/cplreyes/ASPSI-DOH-UHC-CAPI-Development/issues/78" TargetMode="External"/><Relationship Id="rId156" Type="http://schemas.openxmlformats.org/officeDocument/2006/relationships/hyperlink" Target="https://github.com/cplreyes/ASPSI-DOH-UHC-CAPI-Development/issues/176" TargetMode="External"/><Relationship Id="rId363" Type="http://schemas.openxmlformats.org/officeDocument/2006/relationships/hyperlink" Target="https://github.com/cplreyes/ASPSI-DOH-UHC-CAPI-Development/issues/427" TargetMode="External"/><Relationship Id="rId570" Type="http://schemas.openxmlformats.org/officeDocument/2006/relationships/hyperlink" Target="https://github.com/cplreyes/ASPSI-DOH-UHC-CAPI-Development/issues/635" TargetMode="External"/><Relationship Id="rId223" Type="http://schemas.openxmlformats.org/officeDocument/2006/relationships/hyperlink" Target="https://github.com/cplreyes/ASPSI-DOH-UHC-CAPI-Development/issues/243" TargetMode="External"/><Relationship Id="rId430" Type="http://schemas.openxmlformats.org/officeDocument/2006/relationships/hyperlink" Target="https://github.com/cplreyes/ASPSI-DOH-UHC-CAPI-Development/issues/494" TargetMode="External"/><Relationship Id="rId668" Type="http://schemas.openxmlformats.org/officeDocument/2006/relationships/hyperlink" Target="https://github.com/cplreyes/ASPSI-DOH-UHC-CAPI-Development/issues/738" TargetMode="External"/><Relationship Id="rId18" Type="http://schemas.openxmlformats.org/officeDocument/2006/relationships/hyperlink" Target="https://github.com/cplreyes/ASPSI-DOH-UHC-CAPI-Development/issues/18" TargetMode="External"/><Relationship Id="rId528" Type="http://schemas.openxmlformats.org/officeDocument/2006/relationships/hyperlink" Target="https://github.com/cplreyes/ASPSI-DOH-UHC-CAPI-Development/issues/592" TargetMode="External"/><Relationship Id="rId735" Type="http://schemas.openxmlformats.org/officeDocument/2006/relationships/hyperlink" Target="https://github.com/cplreyes/ASPSI-DOH-UHC-CAPI-Development/issues/805" TargetMode="External"/><Relationship Id="rId167" Type="http://schemas.openxmlformats.org/officeDocument/2006/relationships/hyperlink" Target="https://github.com/cplreyes/ASPSI-DOH-UHC-CAPI-Development/issues/187" TargetMode="External"/><Relationship Id="rId374" Type="http://schemas.openxmlformats.org/officeDocument/2006/relationships/hyperlink" Target="https://github.com/cplreyes/ASPSI-DOH-UHC-CAPI-Development/issues/438" TargetMode="External"/><Relationship Id="rId581" Type="http://schemas.openxmlformats.org/officeDocument/2006/relationships/hyperlink" Target="https://github.com/cplreyes/ASPSI-DOH-UHC-CAPI-Development/issues/646" TargetMode="External"/><Relationship Id="rId71" Type="http://schemas.openxmlformats.org/officeDocument/2006/relationships/hyperlink" Target="https://github.com/cplreyes/ASPSI-DOH-UHC-CAPI-Development/issues/89" TargetMode="External"/><Relationship Id="rId234" Type="http://schemas.openxmlformats.org/officeDocument/2006/relationships/hyperlink" Target="https://github.com/cplreyes/ASPSI-DOH-UHC-CAPI-Development/issues/254" TargetMode="External"/><Relationship Id="rId679" Type="http://schemas.openxmlformats.org/officeDocument/2006/relationships/hyperlink" Target="https://github.com/cplreyes/ASPSI-DOH-UHC-CAPI-Development/issues/749" TargetMode="External"/><Relationship Id="rId2" Type="http://schemas.openxmlformats.org/officeDocument/2006/relationships/hyperlink" Target="https://github.com/cplreyes/ASPSI-DOH-UHC-CAPI-Development/issues/2" TargetMode="External"/><Relationship Id="rId29" Type="http://schemas.openxmlformats.org/officeDocument/2006/relationships/hyperlink" Target="https://github.com/cplreyes/ASPSI-DOH-UHC-CAPI-Development/issues/29" TargetMode="External"/><Relationship Id="rId441" Type="http://schemas.openxmlformats.org/officeDocument/2006/relationships/hyperlink" Target="https://github.com/cplreyes/ASPSI-DOH-UHC-CAPI-Development/issues/505" TargetMode="External"/><Relationship Id="rId539" Type="http://schemas.openxmlformats.org/officeDocument/2006/relationships/hyperlink" Target="https://github.com/cplreyes/ASPSI-DOH-UHC-CAPI-Development/issues/603" TargetMode="External"/><Relationship Id="rId178" Type="http://schemas.openxmlformats.org/officeDocument/2006/relationships/hyperlink" Target="https://github.com/cplreyes/ASPSI-DOH-UHC-CAPI-Development/issues/198" TargetMode="External"/><Relationship Id="rId301" Type="http://schemas.openxmlformats.org/officeDocument/2006/relationships/hyperlink" Target="https://github.com/cplreyes/ASPSI-DOH-UHC-CAPI-Development/issues/343" TargetMode="External"/><Relationship Id="rId82" Type="http://schemas.openxmlformats.org/officeDocument/2006/relationships/hyperlink" Target="https://github.com/cplreyes/ASPSI-DOH-UHC-CAPI-Development/issues/100" TargetMode="External"/><Relationship Id="rId385" Type="http://schemas.openxmlformats.org/officeDocument/2006/relationships/hyperlink" Target="https://github.com/cplreyes/ASPSI-DOH-UHC-CAPI-Development/issues/449" TargetMode="External"/><Relationship Id="rId592" Type="http://schemas.openxmlformats.org/officeDocument/2006/relationships/hyperlink" Target="https://github.com/cplreyes/ASPSI-DOH-UHC-CAPI-Development/issues/657" TargetMode="External"/><Relationship Id="rId606" Type="http://schemas.openxmlformats.org/officeDocument/2006/relationships/hyperlink" Target="https://github.com/cplreyes/ASPSI-DOH-UHC-CAPI-Development/issues/671" TargetMode="External"/><Relationship Id="rId245" Type="http://schemas.openxmlformats.org/officeDocument/2006/relationships/hyperlink" Target="https://github.com/cplreyes/ASPSI-DOH-UHC-CAPI-Development/issues/265" TargetMode="External"/><Relationship Id="rId452" Type="http://schemas.openxmlformats.org/officeDocument/2006/relationships/hyperlink" Target="https://github.com/cplreyes/ASPSI-DOH-UHC-CAPI-Development/issues/516" TargetMode="External"/><Relationship Id="rId105" Type="http://schemas.openxmlformats.org/officeDocument/2006/relationships/hyperlink" Target="https://github.com/cplreyes/ASPSI-DOH-UHC-CAPI-Development/issues/124" TargetMode="External"/><Relationship Id="rId312" Type="http://schemas.openxmlformats.org/officeDocument/2006/relationships/hyperlink" Target="https://github.com/cplreyes/ASPSI-DOH-UHC-CAPI-Development/issues/376" TargetMode="External"/><Relationship Id="rId51" Type="http://schemas.openxmlformats.org/officeDocument/2006/relationships/hyperlink" Target="https://github.com/cplreyes/ASPSI-DOH-UHC-CAPI-Development/issues/69" TargetMode="External"/><Relationship Id="rId93" Type="http://schemas.openxmlformats.org/officeDocument/2006/relationships/hyperlink" Target="https://github.com/cplreyes/ASPSI-DOH-UHC-CAPI-Development/issues/111" TargetMode="External"/><Relationship Id="rId189" Type="http://schemas.openxmlformats.org/officeDocument/2006/relationships/hyperlink" Target="https://github.com/cplreyes/ASPSI-DOH-UHC-CAPI-Development/issues/209" TargetMode="External"/><Relationship Id="rId396" Type="http://schemas.openxmlformats.org/officeDocument/2006/relationships/hyperlink" Target="https://github.com/cplreyes/ASPSI-DOH-UHC-CAPI-Development/issues/460" TargetMode="External"/><Relationship Id="rId561" Type="http://schemas.openxmlformats.org/officeDocument/2006/relationships/hyperlink" Target="https://github.com/cplreyes/ASPSI-DOH-UHC-CAPI-Development/issues/626" TargetMode="External"/><Relationship Id="rId617" Type="http://schemas.openxmlformats.org/officeDocument/2006/relationships/hyperlink" Target="https://github.com/cplreyes/ASPSI-DOH-UHC-CAPI-Development/issues/682" TargetMode="External"/><Relationship Id="rId659" Type="http://schemas.openxmlformats.org/officeDocument/2006/relationships/hyperlink" Target="https://github.com/cplreyes/ASPSI-DOH-UHC-CAPI-Development/issues/729" TargetMode="External"/><Relationship Id="rId214" Type="http://schemas.openxmlformats.org/officeDocument/2006/relationships/hyperlink" Target="https://github.com/cplreyes/ASPSI-DOH-UHC-CAPI-Development/issues/234" TargetMode="External"/><Relationship Id="rId256" Type="http://schemas.openxmlformats.org/officeDocument/2006/relationships/hyperlink" Target="https://github.com/cplreyes/ASPSI-DOH-UHC-CAPI-Development/issues/278" TargetMode="External"/><Relationship Id="rId298" Type="http://schemas.openxmlformats.org/officeDocument/2006/relationships/hyperlink" Target="https://github.com/cplreyes/ASPSI-DOH-UHC-CAPI-Development/issues/330" TargetMode="External"/><Relationship Id="rId421" Type="http://schemas.openxmlformats.org/officeDocument/2006/relationships/hyperlink" Target="https://github.com/cplreyes/ASPSI-DOH-UHC-CAPI-Development/issues/485" TargetMode="External"/><Relationship Id="rId463" Type="http://schemas.openxmlformats.org/officeDocument/2006/relationships/hyperlink" Target="https://github.com/cplreyes/ASPSI-DOH-UHC-CAPI-Development/issues/527" TargetMode="External"/><Relationship Id="rId519" Type="http://schemas.openxmlformats.org/officeDocument/2006/relationships/hyperlink" Target="https://github.com/cplreyes/ASPSI-DOH-UHC-CAPI-Development/issues/583" TargetMode="External"/><Relationship Id="rId670" Type="http://schemas.openxmlformats.org/officeDocument/2006/relationships/hyperlink" Target="https://github.com/cplreyes/ASPSI-DOH-UHC-CAPI-Development/issues/740" TargetMode="External"/><Relationship Id="rId116" Type="http://schemas.openxmlformats.org/officeDocument/2006/relationships/hyperlink" Target="https://github.com/cplreyes/ASPSI-DOH-UHC-CAPI-Development/issues/135" TargetMode="External"/><Relationship Id="rId158" Type="http://schemas.openxmlformats.org/officeDocument/2006/relationships/hyperlink" Target="https://github.com/cplreyes/ASPSI-DOH-UHC-CAPI-Development/issues/178" TargetMode="External"/><Relationship Id="rId323" Type="http://schemas.openxmlformats.org/officeDocument/2006/relationships/hyperlink" Target="https://github.com/cplreyes/ASPSI-DOH-UHC-CAPI-Development/issues/387" TargetMode="External"/><Relationship Id="rId530" Type="http://schemas.openxmlformats.org/officeDocument/2006/relationships/hyperlink" Target="https://github.com/cplreyes/ASPSI-DOH-UHC-CAPI-Development/issues/594" TargetMode="External"/><Relationship Id="rId726" Type="http://schemas.openxmlformats.org/officeDocument/2006/relationships/hyperlink" Target="https://github.com/cplreyes/ASPSI-DOH-UHC-CAPI-Development/issues/796" TargetMode="External"/><Relationship Id="rId20" Type="http://schemas.openxmlformats.org/officeDocument/2006/relationships/hyperlink" Target="https://github.com/cplreyes/ASPSI-DOH-UHC-CAPI-Development/issues/20" TargetMode="External"/><Relationship Id="rId62" Type="http://schemas.openxmlformats.org/officeDocument/2006/relationships/hyperlink" Target="https://github.com/cplreyes/ASPSI-DOH-UHC-CAPI-Development/issues/80" TargetMode="External"/><Relationship Id="rId365" Type="http://schemas.openxmlformats.org/officeDocument/2006/relationships/hyperlink" Target="https://github.com/cplreyes/ASPSI-DOH-UHC-CAPI-Development/issues/429" TargetMode="External"/><Relationship Id="rId572" Type="http://schemas.openxmlformats.org/officeDocument/2006/relationships/hyperlink" Target="https://github.com/cplreyes/ASPSI-DOH-UHC-CAPI-Development/issues/637" TargetMode="External"/><Relationship Id="rId628" Type="http://schemas.openxmlformats.org/officeDocument/2006/relationships/hyperlink" Target="https://github.com/cplreyes/ASPSI-DOH-UHC-CAPI-Development/issues/693" TargetMode="External"/><Relationship Id="rId225" Type="http://schemas.openxmlformats.org/officeDocument/2006/relationships/hyperlink" Target="https://github.com/cplreyes/ASPSI-DOH-UHC-CAPI-Development/issues/245" TargetMode="External"/><Relationship Id="rId267" Type="http://schemas.openxmlformats.org/officeDocument/2006/relationships/hyperlink" Target="https://github.com/cplreyes/ASPSI-DOH-UHC-CAPI-Development/issues/299" TargetMode="External"/><Relationship Id="rId432" Type="http://schemas.openxmlformats.org/officeDocument/2006/relationships/hyperlink" Target="https://github.com/cplreyes/ASPSI-DOH-UHC-CAPI-Development/issues/496" TargetMode="External"/><Relationship Id="rId474" Type="http://schemas.openxmlformats.org/officeDocument/2006/relationships/hyperlink" Target="https://github.com/cplreyes/ASPSI-DOH-UHC-CAPI-Development/issues/538" TargetMode="External"/><Relationship Id="rId127" Type="http://schemas.openxmlformats.org/officeDocument/2006/relationships/hyperlink" Target="https://github.com/cplreyes/ASPSI-DOH-UHC-CAPI-Development/issues/147" TargetMode="External"/><Relationship Id="rId681" Type="http://schemas.openxmlformats.org/officeDocument/2006/relationships/hyperlink" Target="https://github.com/cplreyes/ASPSI-DOH-UHC-CAPI-Development/issues/751" TargetMode="External"/><Relationship Id="rId31" Type="http://schemas.openxmlformats.org/officeDocument/2006/relationships/hyperlink" Target="https://github.com/cplreyes/ASPSI-DOH-UHC-CAPI-Development/issues/33" TargetMode="External"/><Relationship Id="rId73" Type="http://schemas.openxmlformats.org/officeDocument/2006/relationships/hyperlink" Target="https://github.com/cplreyes/ASPSI-DOH-UHC-CAPI-Development/issues/91" TargetMode="External"/><Relationship Id="rId169" Type="http://schemas.openxmlformats.org/officeDocument/2006/relationships/hyperlink" Target="https://github.com/cplreyes/ASPSI-DOH-UHC-CAPI-Development/issues/189" TargetMode="External"/><Relationship Id="rId334" Type="http://schemas.openxmlformats.org/officeDocument/2006/relationships/hyperlink" Target="https://github.com/cplreyes/ASPSI-DOH-UHC-CAPI-Development/issues/398" TargetMode="External"/><Relationship Id="rId376" Type="http://schemas.openxmlformats.org/officeDocument/2006/relationships/hyperlink" Target="https://github.com/cplreyes/ASPSI-DOH-UHC-CAPI-Development/issues/440" TargetMode="External"/><Relationship Id="rId541" Type="http://schemas.openxmlformats.org/officeDocument/2006/relationships/hyperlink" Target="https://github.com/cplreyes/ASPSI-DOH-UHC-CAPI-Development/issues/605" TargetMode="External"/><Relationship Id="rId583" Type="http://schemas.openxmlformats.org/officeDocument/2006/relationships/hyperlink" Target="https://github.com/cplreyes/ASPSI-DOH-UHC-CAPI-Development/issues/648" TargetMode="External"/><Relationship Id="rId639" Type="http://schemas.openxmlformats.org/officeDocument/2006/relationships/hyperlink" Target="https://github.com/cplreyes/ASPSI-DOH-UHC-CAPI-Development/issues/705" TargetMode="External"/><Relationship Id="rId4" Type="http://schemas.openxmlformats.org/officeDocument/2006/relationships/hyperlink" Target="https://github.com/cplreyes/ASPSI-DOH-UHC-CAPI-Development/issues/4" TargetMode="External"/><Relationship Id="rId180" Type="http://schemas.openxmlformats.org/officeDocument/2006/relationships/hyperlink" Target="https://github.com/cplreyes/ASPSI-DOH-UHC-CAPI-Development/issues/200" TargetMode="External"/><Relationship Id="rId236" Type="http://schemas.openxmlformats.org/officeDocument/2006/relationships/hyperlink" Target="https://github.com/cplreyes/ASPSI-DOH-UHC-CAPI-Development/issues/256" TargetMode="External"/><Relationship Id="rId278" Type="http://schemas.openxmlformats.org/officeDocument/2006/relationships/hyperlink" Target="https://github.com/cplreyes/ASPSI-DOH-UHC-CAPI-Development/issues/310" TargetMode="External"/><Relationship Id="rId401" Type="http://schemas.openxmlformats.org/officeDocument/2006/relationships/hyperlink" Target="https://github.com/cplreyes/ASPSI-DOH-UHC-CAPI-Development/issues/465" TargetMode="External"/><Relationship Id="rId443" Type="http://schemas.openxmlformats.org/officeDocument/2006/relationships/hyperlink" Target="https://github.com/cplreyes/ASPSI-DOH-UHC-CAPI-Development/issues/507" TargetMode="External"/><Relationship Id="rId650" Type="http://schemas.openxmlformats.org/officeDocument/2006/relationships/hyperlink" Target="https://github.com/cplreyes/ASPSI-DOH-UHC-CAPI-Development/issues/720" TargetMode="External"/><Relationship Id="rId303" Type="http://schemas.openxmlformats.org/officeDocument/2006/relationships/hyperlink" Target="https://github.com/cplreyes/ASPSI-DOH-UHC-CAPI-Development/issues/367" TargetMode="External"/><Relationship Id="rId485" Type="http://schemas.openxmlformats.org/officeDocument/2006/relationships/hyperlink" Target="https://github.com/cplreyes/ASPSI-DOH-UHC-CAPI-Development/issues/549" TargetMode="External"/><Relationship Id="rId692" Type="http://schemas.openxmlformats.org/officeDocument/2006/relationships/hyperlink" Target="https://github.com/cplreyes/ASPSI-DOH-UHC-CAPI-Development/issues/762" TargetMode="External"/><Relationship Id="rId706" Type="http://schemas.openxmlformats.org/officeDocument/2006/relationships/hyperlink" Target="https://github.com/cplreyes/ASPSI-DOH-UHC-CAPI-Development/issues/776" TargetMode="External"/><Relationship Id="rId42" Type="http://schemas.openxmlformats.org/officeDocument/2006/relationships/hyperlink" Target="https://github.com/cplreyes/ASPSI-DOH-UHC-CAPI-Development/issues/60" TargetMode="External"/><Relationship Id="rId84" Type="http://schemas.openxmlformats.org/officeDocument/2006/relationships/hyperlink" Target="https://github.com/cplreyes/ASPSI-DOH-UHC-CAPI-Development/issues/102" TargetMode="External"/><Relationship Id="rId138" Type="http://schemas.openxmlformats.org/officeDocument/2006/relationships/hyperlink" Target="https://github.com/cplreyes/ASPSI-DOH-UHC-CAPI-Development/issues/158" TargetMode="External"/><Relationship Id="rId345" Type="http://schemas.openxmlformats.org/officeDocument/2006/relationships/hyperlink" Target="https://github.com/cplreyes/ASPSI-DOH-UHC-CAPI-Development/issues/409" TargetMode="External"/><Relationship Id="rId387" Type="http://schemas.openxmlformats.org/officeDocument/2006/relationships/hyperlink" Target="https://github.com/cplreyes/ASPSI-DOH-UHC-CAPI-Development/issues/451" TargetMode="External"/><Relationship Id="rId510" Type="http://schemas.openxmlformats.org/officeDocument/2006/relationships/hyperlink" Target="https://github.com/cplreyes/ASPSI-DOH-UHC-CAPI-Development/issues/574" TargetMode="External"/><Relationship Id="rId552" Type="http://schemas.openxmlformats.org/officeDocument/2006/relationships/hyperlink" Target="https://github.com/cplreyes/ASPSI-DOH-UHC-CAPI-Development/issues/616" TargetMode="External"/><Relationship Id="rId594" Type="http://schemas.openxmlformats.org/officeDocument/2006/relationships/hyperlink" Target="https://github.com/cplreyes/ASPSI-DOH-UHC-CAPI-Development/issues/659" TargetMode="External"/><Relationship Id="rId608" Type="http://schemas.openxmlformats.org/officeDocument/2006/relationships/hyperlink" Target="https://github.com/cplreyes/ASPSI-DOH-UHC-CAPI-Development/issues/673" TargetMode="External"/><Relationship Id="rId191" Type="http://schemas.openxmlformats.org/officeDocument/2006/relationships/hyperlink" Target="https://github.com/cplreyes/ASPSI-DOH-UHC-CAPI-Development/issues/211" TargetMode="External"/><Relationship Id="rId205" Type="http://schemas.openxmlformats.org/officeDocument/2006/relationships/hyperlink" Target="https://github.com/cplreyes/ASPSI-DOH-UHC-CAPI-Development/issues/225" TargetMode="External"/><Relationship Id="rId247" Type="http://schemas.openxmlformats.org/officeDocument/2006/relationships/hyperlink" Target="https://github.com/cplreyes/ASPSI-DOH-UHC-CAPI-Development/issues/267" TargetMode="External"/><Relationship Id="rId412" Type="http://schemas.openxmlformats.org/officeDocument/2006/relationships/hyperlink" Target="https://github.com/cplreyes/ASPSI-DOH-UHC-CAPI-Development/issues/476" TargetMode="External"/><Relationship Id="rId107" Type="http://schemas.openxmlformats.org/officeDocument/2006/relationships/hyperlink" Target="https://github.com/cplreyes/ASPSI-DOH-UHC-CAPI-Development/issues/126" TargetMode="External"/><Relationship Id="rId289" Type="http://schemas.openxmlformats.org/officeDocument/2006/relationships/hyperlink" Target="https://github.com/cplreyes/ASPSI-DOH-UHC-CAPI-Development/issues/321" TargetMode="External"/><Relationship Id="rId454" Type="http://schemas.openxmlformats.org/officeDocument/2006/relationships/hyperlink" Target="https://github.com/cplreyes/ASPSI-DOH-UHC-CAPI-Development/issues/518" TargetMode="External"/><Relationship Id="rId496" Type="http://schemas.openxmlformats.org/officeDocument/2006/relationships/hyperlink" Target="https://github.com/cplreyes/ASPSI-DOH-UHC-CAPI-Development/issues/560" TargetMode="External"/><Relationship Id="rId661" Type="http://schemas.openxmlformats.org/officeDocument/2006/relationships/hyperlink" Target="https://github.com/cplreyes/ASPSI-DOH-UHC-CAPI-Development/issues/731" TargetMode="External"/><Relationship Id="rId717" Type="http://schemas.openxmlformats.org/officeDocument/2006/relationships/hyperlink" Target="https://github.com/cplreyes/ASPSI-DOH-UHC-CAPI-Development/issues/787" TargetMode="External"/><Relationship Id="rId11" Type="http://schemas.openxmlformats.org/officeDocument/2006/relationships/hyperlink" Target="https://github.com/cplreyes/ASPSI-DOH-UHC-CAPI-Development/issues/11" TargetMode="External"/><Relationship Id="rId53" Type="http://schemas.openxmlformats.org/officeDocument/2006/relationships/hyperlink" Target="https://github.com/cplreyes/ASPSI-DOH-UHC-CAPI-Development/issues/71" TargetMode="External"/><Relationship Id="rId149" Type="http://schemas.openxmlformats.org/officeDocument/2006/relationships/hyperlink" Target="https://github.com/cplreyes/ASPSI-DOH-UHC-CAPI-Development/issues/169" TargetMode="External"/><Relationship Id="rId314" Type="http://schemas.openxmlformats.org/officeDocument/2006/relationships/hyperlink" Target="https://github.com/cplreyes/ASPSI-DOH-UHC-CAPI-Development/issues/378" TargetMode="External"/><Relationship Id="rId356" Type="http://schemas.openxmlformats.org/officeDocument/2006/relationships/hyperlink" Target="https://github.com/cplreyes/ASPSI-DOH-UHC-CAPI-Development/issues/420" TargetMode="External"/><Relationship Id="rId398" Type="http://schemas.openxmlformats.org/officeDocument/2006/relationships/hyperlink" Target="https://github.com/cplreyes/ASPSI-DOH-UHC-CAPI-Development/issues/462" TargetMode="External"/><Relationship Id="rId521" Type="http://schemas.openxmlformats.org/officeDocument/2006/relationships/hyperlink" Target="https://github.com/cplreyes/ASPSI-DOH-UHC-CAPI-Development/issues/585" TargetMode="External"/><Relationship Id="rId563" Type="http://schemas.openxmlformats.org/officeDocument/2006/relationships/hyperlink" Target="https://github.com/cplreyes/ASPSI-DOH-UHC-CAPI-Development/issues/628" TargetMode="External"/><Relationship Id="rId619" Type="http://schemas.openxmlformats.org/officeDocument/2006/relationships/hyperlink" Target="https://github.com/cplreyes/ASPSI-DOH-UHC-CAPI-Development/issues/684" TargetMode="External"/><Relationship Id="rId95" Type="http://schemas.openxmlformats.org/officeDocument/2006/relationships/hyperlink" Target="https://github.com/cplreyes/ASPSI-DOH-UHC-CAPI-Development/issues/114" TargetMode="External"/><Relationship Id="rId160" Type="http://schemas.openxmlformats.org/officeDocument/2006/relationships/hyperlink" Target="https://github.com/cplreyes/ASPSI-DOH-UHC-CAPI-Development/issues/180" TargetMode="External"/><Relationship Id="rId216" Type="http://schemas.openxmlformats.org/officeDocument/2006/relationships/hyperlink" Target="https://github.com/cplreyes/ASPSI-DOH-UHC-CAPI-Development/issues/236" TargetMode="External"/><Relationship Id="rId423" Type="http://schemas.openxmlformats.org/officeDocument/2006/relationships/hyperlink" Target="https://github.com/cplreyes/ASPSI-DOH-UHC-CAPI-Development/issues/487" TargetMode="External"/><Relationship Id="rId258" Type="http://schemas.openxmlformats.org/officeDocument/2006/relationships/hyperlink" Target="https://github.com/cplreyes/ASPSI-DOH-UHC-CAPI-Development/issues/284" TargetMode="External"/><Relationship Id="rId465" Type="http://schemas.openxmlformats.org/officeDocument/2006/relationships/hyperlink" Target="https://github.com/cplreyes/ASPSI-DOH-UHC-CAPI-Development/issues/529" TargetMode="External"/><Relationship Id="rId630" Type="http://schemas.openxmlformats.org/officeDocument/2006/relationships/hyperlink" Target="https://github.com/cplreyes/ASPSI-DOH-UHC-CAPI-Development/issues/695" TargetMode="External"/><Relationship Id="rId672" Type="http://schemas.openxmlformats.org/officeDocument/2006/relationships/hyperlink" Target="https://github.com/cplreyes/ASPSI-DOH-UHC-CAPI-Development/issues/742" TargetMode="External"/><Relationship Id="rId728" Type="http://schemas.openxmlformats.org/officeDocument/2006/relationships/hyperlink" Target="https://github.com/cplreyes/ASPSI-DOH-UHC-CAPI-Development/issues/798" TargetMode="External"/><Relationship Id="rId22" Type="http://schemas.openxmlformats.org/officeDocument/2006/relationships/hyperlink" Target="https://github.com/cplreyes/ASPSI-DOH-UHC-CAPI-Development/issues/22" TargetMode="External"/><Relationship Id="rId64" Type="http://schemas.openxmlformats.org/officeDocument/2006/relationships/hyperlink" Target="https://github.com/cplreyes/ASPSI-DOH-UHC-CAPI-Development/issues/82" TargetMode="External"/><Relationship Id="rId118" Type="http://schemas.openxmlformats.org/officeDocument/2006/relationships/hyperlink" Target="https://github.com/cplreyes/ASPSI-DOH-UHC-CAPI-Development/issues/138" TargetMode="External"/><Relationship Id="rId325" Type="http://schemas.openxmlformats.org/officeDocument/2006/relationships/hyperlink" Target="https://github.com/cplreyes/ASPSI-DOH-UHC-CAPI-Development/issues/389" TargetMode="External"/><Relationship Id="rId367" Type="http://schemas.openxmlformats.org/officeDocument/2006/relationships/hyperlink" Target="https://github.com/cplreyes/ASPSI-DOH-UHC-CAPI-Development/issues/431" TargetMode="External"/><Relationship Id="rId532" Type="http://schemas.openxmlformats.org/officeDocument/2006/relationships/hyperlink" Target="https://github.com/cplreyes/ASPSI-DOH-UHC-CAPI-Development/issues/596" TargetMode="External"/><Relationship Id="rId574" Type="http://schemas.openxmlformats.org/officeDocument/2006/relationships/hyperlink" Target="https://github.com/cplreyes/ASPSI-DOH-UHC-CAPI-Development/issues/639" TargetMode="External"/><Relationship Id="rId171" Type="http://schemas.openxmlformats.org/officeDocument/2006/relationships/hyperlink" Target="https://github.com/cplreyes/ASPSI-DOH-UHC-CAPI-Development/issues/191" TargetMode="External"/><Relationship Id="rId227" Type="http://schemas.openxmlformats.org/officeDocument/2006/relationships/hyperlink" Target="https://github.com/cplreyes/ASPSI-DOH-UHC-CAPI-Development/issues/247" TargetMode="External"/><Relationship Id="rId269" Type="http://schemas.openxmlformats.org/officeDocument/2006/relationships/hyperlink" Target="https://github.com/cplreyes/ASPSI-DOH-UHC-CAPI-Development/issues/301" TargetMode="External"/><Relationship Id="rId434" Type="http://schemas.openxmlformats.org/officeDocument/2006/relationships/hyperlink" Target="https://github.com/cplreyes/ASPSI-DOH-UHC-CAPI-Development/issues/498" TargetMode="External"/><Relationship Id="rId476" Type="http://schemas.openxmlformats.org/officeDocument/2006/relationships/hyperlink" Target="https://github.com/cplreyes/ASPSI-DOH-UHC-CAPI-Development/issues/540" TargetMode="External"/><Relationship Id="rId641" Type="http://schemas.openxmlformats.org/officeDocument/2006/relationships/hyperlink" Target="https://github.com/cplreyes/ASPSI-DOH-UHC-CAPI-Development/issues/707" TargetMode="External"/><Relationship Id="rId683" Type="http://schemas.openxmlformats.org/officeDocument/2006/relationships/hyperlink" Target="https://github.com/cplreyes/ASPSI-DOH-UHC-CAPI-Development/issues/753" TargetMode="External"/><Relationship Id="rId33" Type="http://schemas.openxmlformats.org/officeDocument/2006/relationships/hyperlink" Target="https://github.com/cplreyes/ASPSI-DOH-UHC-CAPI-Development/issues/35" TargetMode="External"/><Relationship Id="rId129" Type="http://schemas.openxmlformats.org/officeDocument/2006/relationships/hyperlink" Target="https://github.com/cplreyes/ASPSI-DOH-UHC-CAPI-Development/issues/149" TargetMode="External"/><Relationship Id="rId280" Type="http://schemas.openxmlformats.org/officeDocument/2006/relationships/hyperlink" Target="https://github.com/cplreyes/ASPSI-DOH-UHC-CAPI-Development/issues/312" TargetMode="External"/><Relationship Id="rId336" Type="http://schemas.openxmlformats.org/officeDocument/2006/relationships/hyperlink" Target="https://github.com/cplreyes/ASPSI-DOH-UHC-CAPI-Development/issues/400" TargetMode="External"/><Relationship Id="rId501" Type="http://schemas.openxmlformats.org/officeDocument/2006/relationships/hyperlink" Target="https://github.com/cplreyes/ASPSI-DOH-UHC-CAPI-Development/issues/565" TargetMode="External"/><Relationship Id="rId543" Type="http://schemas.openxmlformats.org/officeDocument/2006/relationships/hyperlink" Target="https://github.com/cplreyes/ASPSI-DOH-UHC-CAPI-Development/issues/607" TargetMode="External"/><Relationship Id="rId75" Type="http://schemas.openxmlformats.org/officeDocument/2006/relationships/hyperlink" Target="https://github.com/cplreyes/ASPSI-DOH-UHC-CAPI-Development/issues/93" TargetMode="External"/><Relationship Id="rId140" Type="http://schemas.openxmlformats.org/officeDocument/2006/relationships/hyperlink" Target="https://github.com/cplreyes/ASPSI-DOH-UHC-CAPI-Development/issues/160" TargetMode="External"/><Relationship Id="rId182" Type="http://schemas.openxmlformats.org/officeDocument/2006/relationships/hyperlink" Target="https://github.com/cplreyes/ASPSI-DOH-UHC-CAPI-Development/issues/202" TargetMode="External"/><Relationship Id="rId378" Type="http://schemas.openxmlformats.org/officeDocument/2006/relationships/hyperlink" Target="https://github.com/cplreyes/ASPSI-DOH-UHC-CAPI-Development/issues/442" TargetMode="External"/><Relationship Id="rId403" Type="http://schemas.openxmlformats.org/officeDocument/2006/relationships/hyperlink" Target="https://github.com/cplreyes/ASPSI-DOH-UHC-CAPI-Development/issues/467" TargetMode="External"/><Relationship Id="rId585" Type="http://schemas.openxmlformats.org/officeDocument/2006/relationships/hyperlink" Target="https://github.com/cplreyes/ASPSI-DOH-UHC-CAPI-Development/issues/650" TargetMode="External"/><Relationship Id="rId6" Type="http://schemas.openxmlformats.org/officeDocument/2006/relationships/hyperlink" Target="https://github.com/cplreyes/ASPSI-DOH-UHC-CAPI-Development/issues/6" TargetMode="External"/><Relationship Id="rId238" Type="http://schemas.openxmlformats.org/officeDocument/2006/relationships/hyperlink" Target="https://github.com/cplreyes/ASPSI-DOH-UHC-CAPI-Development/issues/258" TargetMode="External"/><Relationship Id="rId445" Type="http://schemas.openxmlformats.org/officeDocument/2006/relationships/hyperlink" Target="https://github.com/cplreyes/ASPSI-DOH-UHC-CAPI-Development/issues/509" TargetMode="External"/><Relationship Id="rId487" Type="http://schemas.openxmlformats.org/officeDocument/2006/relationships/hyperlink" Target="https://github.com/cplreyes/ASPSI-DOH-UHC-CAPI-Development/issues/551" TargetMode="External"/><Relationship Id="rId610" Type="http://schemas.openxmlformats.org/officeDocument/2006/relationships/hyperlink" Target="https://github.com/cplreyes/ASPSI-DOH-UHC-CAPI-Development/issues/675" TargetMode="External"/><Relationship Id="rId652" Type="http://schemas.openxmlformats.org/officeDocument/2006/relationships/hyperlink" Target="https://github.com/cplreyes/ASPSI-DOH-UHC-CAPI-Development/issues/722" TargetMode="External"/><Relationship Id="rId694" Type="http://schemas.openxmlformats.org/officeDocument/2006/relationships/hyperlink" Target="https://github.com/cplreyes/ASPSI-DOH-UHC-CAPI-Development/issues/764" TargetMode="External"/><Relationship Id="rId708" Type="http://schemas.openxmlformats.org/officeDocument/2006/relationships/hyperlink" Target="https://github.com/cplreyes/ASPSI-DOH-UHC-CAPI-Development/issues/778" TargetMode="External"/><Relationship Id="rId291" Type="http://schemas.openxmlformats.org/officeDocument/2006/relationships/hyperlink" Target="https://github.com/cplreyes/ASPSI-DOH-UHC-CAPI-Development/issues/323" TargetMode="External"/><Relationship Id="rId305" Type="http://schemas.openxmlformats.org/officeDocument/2006/relationships/hyperlink" Target="https://github.com/cplreyes/ASPSI-DOH-UHC-CAPI-Development/issues/369" TargetMode="External"/><Relationship Id="rId347" Type="http://schemas.openxmlformats.org/officeDocument/2006/relationships/hyperlink" Target="https://github.com/cplreyes/ASPSI-DOH-UHC-CAPI-Development/issues/411" TargetMode="External"/><Relationship Id="rId512" Type="http://schemas.openxmlformats.org/officeDocument/2006/relationships/hyperlink" Target="https://github.com/cplreyes/ASPSI-DOH-UHC-CAPI-Development/issues/576" TargetMode="External"/><Relationship Id="rId44" Type="http://schemas.openxmlformats.org/officeDocument/2006/relationships/hyperlink" Target="https://github.com/cplreyes/ASPSI-DOH-UHC-CAPI-Development/issues/62" TargetMode="External"/><Relationship Id="rId86" Type="http://schemas.openxmlformats.org/officeDocument/2006/relationships/hyperlink" Target="https://github.com/cplreyes/ASPSI-DOH-UHC-CAPI-Development/issues/104" TargetMode="External"/><Relationship Id="rId151" Type="http://schemas.openxmlformats.org/officeDocument/2006/relationships/hyperlink" Target="https://github.com/cplreyes/ASPSI-DOH-UHC-CAPI-Development/issues/171" TargetMode="External"/><Relationship Id="rId389" Type="http://schemas.openxmlformats.org/officeDocument/2006/relationships/hyperlink" Target="https://github.com/cplreyes/ASPSI-DOH-UHC-CAPI-Development/issues/453" TargetMode="External"/><Relationship Id="rId554" Type="http://schemas.openxmlformats.org/officeDocument/2006/relationships/hyperlink" Target="https://github.com/cplreyes/ASPSI-DOH-UHC-CAPI-Development/issues/618" TargetMode="External"/><Relationship Id="rId596" Type="http://schemas.openxmlformats.org/officeDocument/2006/relationships/hyperlink" Target="https://github.com/cplreyes/ASPSI-DOH-UHC-CAPI-Development/issues/661" TargetMode="External"/><Relationship Id="rId193" Type="http://schemas.openxmlformats.org/officeDocument/2006/relationships/hyperlink" Target="https://github.com/cplreyes/ASPSI-DOH-UHC-CAPI-Development/issues/213" TargetMode="External"/><Relationship Id="rId207" Type="http://schemas.openxmlformats.org/officeDocument/2006/relationships/hyperlink" Target="https://github.com/cplreyes/ASPSI-DOH-UHC-CAPI-Development/issues/227" TargetMode="External"/><Relationship Id="rId249" Type="http://schemas.openxmlformats.org/officeDocument/2006/relationships/hyperlink" Target="https://github.com/cplreyes/ASPSI-DOH-UHC-CAPI-Development/issues/269" TargetMode="External"/><Relationship Id="rId414" Type="http://schemas.openxmlformats.org/officeDocument/2006/relationships/hyperlink" Target="https://github.com/cplreyes/ASPSI-DOH-UHC-CAPI-Development/issues/478" TargetMode="External"/><Relationship Id="rId456" Type="http://schemas.openxmlformats.org/officeDocument/2006/relationships/hyperlink" Target="https://github.com/cplreyes/ASPSI-DOH-UHC-CAPI-Development/issues/520" TargetMode="External"/><Relationship Id="rId498" Type="http://schemas.openxmlformats.org/officeDocument/2006/relationships/hyperlink" Target="https://github.com/cplreyes/ASPSI-DOH-UHC-CAPI-Development/issues/562" TargetMode="External"/><Relationship Id="rId621" Type="http://schemas.openxmlformats.org/officeDocument/2006/relationships/hyperlink" Target="https://github.com/cplreyes/ASPSI-DOH-UHC-CAPI-Development/issues/686" TargetMode="External"/><Relationship Id="rId663" Type="http://schemas.openxmlformats.org/officeDocument/2006/relationships/hyperlink" Target="https://github.com/cplreyes/ASPSI-DOH-UHC-CAPI-Development/issues/733" TargetMode="External"/><Relationship Id="rId13" Type="http://schemas.openxmlformats.org/officeDocument/2006/relationships/hyperlink" Target="https://github.com/cplreyes/ASPSI-DOH-UHC-CAPI-Development/issues/13" TargetMode="External"/><Relationship Id="rId109" Type="http://schemas.openxmlformats.org/officeDocument/2006/relationships/hyperlink" Target="https://github.com/cplreyes/ASPSI-DOH-UHC-CAPI-Development/issues/128" TargetMode="External"/><Relationship Id="rId260" Type="http://schemas.openxmlformats.org/officeDocument/2006/relationships/hyperlink" Target="https://github.com/cplreyes/ASPSI-DOH-UHC-CAPI-Development/issues/287" TargetMode="External"/><Relationship Id="rId316" Type="http://schemas.openxmlformats.org/officeDocument/2006/relationships/hyperlink" Target="https://github.com/cplreyes/ASPSI-DOH-UHC-CAPI-Development/issues/380" TargetMode="External"/><Relationship Id="rId523" Type="http://schemas.openxmlformats.org/officeDocument/2006/relationships/hyperlink" Target="https://github.com/cplreyes/ASPSI-DOH-UHC-CAPI-Development/issues/587" TargetMode="External"/><Relationship Id="rId719" Type="http://schemas.openxmlformats.org/officeDocument/2006/relationships/hyperlink" Target="https://github.com/cplreyes/ASPSI-DOH-UHC-CAPI-Development/issues/789" TargetMode="External"/><Relationship Id="rId55" Type="http://schemas.openxmlformats.org/officeDocument/2006/relationships/hyperlink" Target="https://github.com/cplreyes/ASPSI-DOH-UHC-CAPI-Development/issues/73" TargetMode="External"/><Relationship Id="rId97" Type="http://schemas.openxmlformats.org/officeDocument/2006/relationships/hyperlink" Target="https://github.com/cplreyes/ASPSI-DOH-UHC-CAPI-Development/issues/116" TargetMode="External"/><Relationship Id="rId120" Type="http://schemas.openxmlformats.org/officeDocument/2006/relationships/hyperlink" Target="https://github.com/cplreyes/ASPSI-DOH-UHC-CAPI-Development/issues/140" TargetMode="External"/><Relationship Id="rId358" Type="http://schemas.openxmlformats.org/officeDocument/2006/relationships/hyperlink" Target="https://github.com/cplreyes/ASPSI-DOH-UHC-CAPI-Development/issues/422" TargetMode="External"/><Relationship Id="rId565" Type="http://schemas.openxmlformats.org/officeDocument/2006/relationships/hyperlink" Target="https://github.com/cplreyes/ASPSI-DOH-UHC-CAPI-Development/issues/630" TargetMode="External"/><Relationship Id="rId730" Type="http://schemas.openxmlformats.org/officeDocument/2006/relationships/hyperlink" Target="https://github.com/cplreyes/ASPSI-DOH-UHC-CAPI-Development/issues/800" TargetMode="External"/><Relationship Id="rId162" Type="http://schemas.openxmlformats.org/officeDocument/2006/relationships/hyperlink" Target="https://github.com/cplreyes/ASPSI-DOH-UHC-CAPI-Development/issues/182" TargetMode="External"/><Relationship Id="rId218" Type="http://schemas.openxmlformats.org/officeDocument/2006/relationships/hyperlink" Target="https://github.com/cplreyes/ASPSI-DOH-UHC-CAPI-Development/issues/238" TargetMode="External"/><Relationship Id="rId425" Type="http://schemas.openxmlformats.org/officeDocument/2006/relationships/hyperlink" Target="https://github.com/cplreyes/ASPSI-DOH-UHC-CAPI-Development/issues/489" TargetMode="External"/><Relationship Id="rId467" Type="http://schemas.openxmlformats.org/officeDocument/2006/relationships/hyperlink" Target="https://github.com/cplreyes/ASPSI-DOH-UHC-CAPI-Development/issues/531" TargetMode="External"/><Relationship Id="rId632" Type="http://schemas.openxmlformats.org/officeDocument/2006/relationships/hyperlink" Target="https://github.com/cplreyes/ASPSI-DOH-UHC-CAPI-Development/issues/697" TargetMode="External"/><Relationship Id="rId271" Type="http://schemas.openxmlformats.org/officeDocument/2006/relationships/hyperlink" Target="https://github.com/cplreyes/ASPSI-DOH-UHC-CAPI-Development/issues/303" TargetMode="External"/><Relationship Id="rId674" Type="http://schemas.openxmlformats.org/officeDocument/2006/relationships/hyperlink" Target="https://github.com/cplreyes/ASPSI-DOH-UHC-CAPI-Development/issues/744" TargetMode="External"/><Relationship Id="rId24" Type="http://schemas.openxmlformats.org/officeDocument/2006/relationships/hyperlink" Target="https://github.com/cplreyes/ASPSI-DOH-UHC-CAPI-Development/issues/24" TargetMode="External"/><Relationship Id="rId66" Type="http://schemas.openxmlformats.org/officeDocument/2006/relationships/hyperlink" Target="https://github.com/cplreyes/ASPSI-DOH-UHC-CAPI-Development/issues/84" TargetMode="External"/><Relationship Id="rId131" Type="http://schemas.openxmlformats.org/officeDocument/2006/relationships/hyperlink" Target="https://github.com/cplreyes/ASPSI-DOH-UHC-CAPI-Development/issues/151" TargetMode="External"/><Relationship Id="rId327" Type="http://schemas.openxmlformats.org/officeDocument/2006/relationships/hyperlink" Target="https://github.com/cplreyes/ASPSI-DOH-UHC-CAPI-Development/issues/391" TargetMode="External"/><Relationship Id="rId369" Type="http://schemas.openxmlformats.org/officeDocument/2006/relationships/hyperlink" Target="https://github.com/cplreyes/ASPSI-DOH-UHC-CAPI-Development/issues/433" TargetMode="External"/><Relationship Id="rId534" Type="http://schemas.openxmlformats.org/officeDocument/2006/relationships/hyperlink" Target="https://github.com/cplreyes/ASPSI-DOH-UHC-CAPI-Development/issues/598" TargetMode="External"/><Relationship Id="rId576" Type="http://schemas.openxmlformats.org/officeDocument/2006/relationships/hyperlink" Target="https://github.com/cplreyes/ASPSI-DOH-UHC-CAPI-Development/issues/641" TargetMode="External"/><Relationship Id="rId173" Type="http://schemas.openxmlformats.org/officeDocument/2006/relationships/hyperlink" Target="https://github.com/cplreyes/ASPSI-DOH-UHC-CAPI-Development/issues/193" TargetMode="External"/><Relationship Id="rId229" Type="http://schemas.openxmlformats.org/officeDocument/2006/relationships/hyperlink" Target="https://github.com/cplreyes/ASPSI-DOH-UHC-CAPI-Development/issues/249" TargetMode="External"/><Relationship Id="rId380" Type="http://schemas.openxmlformats.org/officeDocument/2006/relationships/hyperlink" Target="https://github.com/cplreyes/ASPSI-DOH-UHC-CAPI-Development/issues/444" TargetMode="External"/><Relationship Id="rId436" Type="http://schemas.openxmlformats.org/officeDocument/2006/relationships/hyperlink" Target="https://github.com/cplreyes/ASPSI-DOH-UHC-CAPI-Development/issues/500" TargetMode="External"/><Relationship Id="rId601" Type="http://schemas.openxmlformats.org/officeDocument/2006/relationships/hyperlink" Target="https://github.com/cplreyes/ASPSI-DOH-UHC-CAPI-Development/issues/666" TargetMode="External"/><Relationship Id="rId643" Type="http://schemas.openxmlformats.org/officeDocument/2006/relationships/hyperlink" Target="https://github.com/cplreyes/ASPSI-DOH-UHC-CAPI-Development/issues/709" TargetMode="External"/><Relationship Id="rId240" Type="http://schemas.openxmlformats.org/officeDocument/2006/relationships/hyperlink" Target="https://github.com/cplreyes/ASPSI-DOH-UHC-CAPI-Development/issues/260" TargetMode="External"/><Relationship Id="rId478" Type="http://schemas.openxmlformats.org/officeDocument/2006/relationships/hyperlink" Target="https://github.com/cplreyes/ASPSI-DOH-UHC-CAPI-Development/issues/542" TargetMode="External"/><Relationship Id="rId685" Type="http://schemas.openxmlformats.org/officeDocument/2006/relationships/hyperlink" Target="https://github.com/cplreyes/ASPSI-DOH-UHC-CAPI-Development/issues/755" TargetMode="External"/><Relationship Id="rId35" Type="http://schemas.openxmlformats.org/officeDocument/2006/relationships/hyperlink" Target="https://github.com/cplreyes/ASPSI-DOH-UHC-CAPI-Development/issues/46" TargetMode="External"/><Relationship Id="rId77" Type="http://schemas.openxmlformats.org/officeDocument/2006/relationships/hyperlink" Target="https://github.com/cplreyes/ASPSI-DOH-UHC-CAPI-Development/issues/95" TargetMode="External"/><Relationship Id="rId100" Type="http://schemas.openxmlformats.org/officeDocument/2006/relationships/hyperlink" Target="https://github.com/cplreyes/ASPSI-DOH-UHC-CAPI-Development/issues/119" TargetMode="External"/><Relationship Id="rId282" Type="http://schemas.openxmlformats.org/officeDocument/2006/relationships/hyperlink" Target="https://github.com/cplreyes/ASPSI-DOH-UHC-CAPI-Development/issues/314" TargetMode="External"/><Relationship Id="rId338" Type="http://schemas.openxmlformats.org/officeDocument/2006/relationships/hyperlink" Target="https://github.com/cplreyes/ASPSI-DOH-UHC-CAPI-Development/issues/402" TargetMode="External"/><Relationship Id="rId503" Type="http://schemas.openxmlformats.org/officeDocument/2006/relationships/hyperlink" Target="https://github.com/cplreyes/ASPSI-DOH-UHC-CAPI-Development/issues/567" TargetMode="External"/><Relationship Id="rId545" Type="http://schemas.openxmlformats.org/officeDocument/2006/relationships/hyperlink" Target="https://github.com/cplreyes/ASPSI-DOH-UHC-CAPI-Development/issues/609" TargetMode="External"/><Relationship Id="rId587" Type="http://schemas.openxmlformats.org/officeDocument/2006/relationships/hyperlink" Target="https://github.com/cplreyes/ASPSI-DOH-UHC-CAPI-Development/issues/652" TargetMode="External"/><Relationship Id="rId710" Type="http://schemas.openxmlformats.org/officeDocument/2006/relationships/hyperlink" Target="https://github.com/cplreyes/ASPSI-DOH-UHC-CAPI-Development/issues/780" TargetMode="External"/><Relationship Id="rId8" Type="http://schemas.openxmlformats.org/officeDocument/2006/relationships/hyperlink" Target="https://github.com/cplreyes/ASPSI-DOH-UHC-CAPI-Development/issues/8" TargetMode="External"/><Relationship Id="rId142" Type="http://schemas.openxmlformats.org/officeDocument/2006/relationships/hyperlink" Target="https://github.com/cplreyes/ASPSI-DOH-UHC-CAPI-Development/issues/162" TargetMode="External"/><Relationship Id="rId184" Type="http://schemas.openxmlformats.org/officeDocument/2006/relationships/hyperlink" Target="https://github.com/cplreyes/ASPSI-DOH-UHC-CAPI-Development/issues/204" TargetMode="External"/><Relationship Id="rId391" Type="http://schemas.openxmlformats.org/officeDocument/2006/relationships/hyperlink" Target="https://github.com/cplreyes/ASPSI-DOH-UHC-CAPI-Development/issues/455" TargetMode="External"/><Relationship Id="rId405" Type="http://schemas.openxmlformats.org/officeDocument/2006/relationships/hyperlink" Target="https://github.com/cplreyes/ASPSI-DOH-UHC-CAPI-Development/issues/469" TargetMode="External"/><Relationship Id="rId447" Type="http://schemas.openxmlformats.org/officeDocument/2006/relationships/hyperlink" Target="https://github.com/cplreyes/ASPSI-DOH-UHC-CAPI-Development/issues/511" TargetMode="External"/><Relationship Id="rId612" Type="http://schemas.openxmlformats.org/officeDocument/2006/relationships/hyperlink" Target="https://github.com/cplreyes/ASPSI-DOH-UHC-CAPI-Development/issues/677" TargetMode="External"/><Relationship Id="rId251" Type="http://schemas.openxmlformats.org/officeDocument/2006/relationships/hyperlink" Target="https://github.com/cplreyes/ASPSI-DOH-UHC-CAPI-Development/issues/271" TargetMode="External"/><Relationship Id="rId489" Type="http://schemas.openxmlformats.org/officeDocument/2006/relationships/hyperlink" Target="https://github.com/cplreyes/ASPSI-DOH-UHC-CAPI-Development/issues/553" TargetMode="External"/><Relationship Id="rId654" Type="http://schemas.openxmlformats.org/officeDocument/2006/relationships/hyperlink" Target="https://github.com/cplreyes/ASPSI-DOH-UHC-CAPI-Development/issues/724" TargetMode="External"/><Relationship Id="rId696" Type="http://schemas.openxmlformats.org/officeDocument/2006/relationships/hyperlink" Target="https://github.com/cplreyes/ASPSI-DOH-UHC-CAPI-Development/issues/766" TargetMode="External"/><Relationship Id="rId46" Type="http://schemas.openxmlformats.org/officeDocument/2006/relationships/hyperlink" Target="https://github.com/cplreyes/ASPSI-DOH-UHC-CAPI-Development/issues/64" TargetMode="External"/><Relationship Id="rId293" Type="http://schemas.openxmlformats.org/officeDocument/2006/relationships/hyperlink" Target="https://github.com/cplreyes/ASPSI-DOH-UHC-CAPI-Development/issues/325" TargetMode="External"/><Relationship Id="rId307" Type="http://schemas.openxmlformats.org/officeDocument/2006/relationships/hyperlink" Target="https://github.com/cplreyes/ASPSI-DOH-UHC-CAPI-Development/issues/371" TargetMode="External"/><Relationship Id="rId349" Type="http://schemas.openxmlformats.org/officeDocument/2006/relationships/hyperlink" Target="https://github.com/cplreyes/ASPSI-DOH-UHC-CAPI-Development/issues/413" TargetMode="External"/><Relationship Id="rId514" Type="http://schemas.openxmlformats.org/officeDocument/2006/relationships/hyperlink" Target="https://github.com/cplreyes/ASPSI-DOH-UHC-CAPI-Development/issues/578" TargetMode="External"/><Relationship Id="rId556" Type="http://schemas.openxmlformats.org/officeDocument/2006/relationships/hyperlink" Target="https://github.com/cplreyes/ASPSI-DOH-UHC-CAPI-Development/issues/620" TargetMode="External"/><Relationship Id="rId721" Type="http://schemas.openxmlformats.org/officeDocument/2006/relationships/hyperlink" Target="https://github.com/cplreyes/ASPSI-DOH-UHC-CAPI-Development/issues/791" TargetMode="External"/><Relationship Id="rId88" Type="http://schemas.openxmlformats.org/officeDocument/2006/relationships/hyperlink" Target="https://github.com/cplreyes/ASPSI-DOH-UHC-CAPI-Development/issues/106" TargetMode="External"/><Relationship Id="rId111" Type="http://schemas.openxmlformats.org/officeDocument/2006/relationships/hyperlink" Target="https://github.com/cplreyes/ASPSI-DOH-UHC-CAPI-Development/issues/130" TargetMode="External"/><Relationship Id="rId153" Type="http://schemas.openxmlformats.org/officeDocument/2006/relationships/hyperlink" Target="https://github.com/cplreyes/ASPSI-DOH-UHC-CAPI-Development/issues/173" TargetMode="External"/><Relationship Id="rId195" Type="http://schemas.openxmlformats.org/officeDocument/2006/relationships/hyperlink" Target="https://github.com/cplreyes/ASPSI-DOH-UHC-CAPI-Development/issues/215" TargetMode="External"/><Relationship Id="rId209" Type="http://schemas.openxmlformats.org/officeDocument/2006/relationships/hyperlink" Target="https://github.com/cplreyes/ASPSI-DOH-UHC-CAPI-Development/issues/229" TargetMode="External"/><Relationship Id="rId360" Type="http://schemas.openxmlformats.org/officeDocument/2006/relationships/hyperlink" Target="https://github.com/cplreyes/ASPSI-DOH-UHC-CAPI-Development/issues/424" TargetMode="External"/><Relationship Id="rId416" Type="http://schemas.openxmlformats.org/officeDocument/2006/relationships/hyperlink" Target="https://github.com/cplreyes/ASPSI-DOH-UHC-CAPI-Development/issues/480" TargetMode="External"/><Relationship Id="rId598" Type="http://schemas.openxmlformats.org/officeDocument/2006/relationships/hyperlink" Target="https://github.com/cplreyes/ASPSI-DOH-UHC-CAPI-Development/issues/663" TargetMode="External"/><Relationship Id="rId220" Type="http://schemas.openxmlformats.org/officeDocument/2006/relationships/hyperlink" Target="https://github.com/cplreyes/ASPSI-DOH-UHC-CAPI-Development/issues/240" TargetMode="External"/><Relationship Id="rId458" Type="http://schemas.openxmlformats.org/officeDocument/2006/relationships/hyperlink" Target="https://github.com/cplreyes/ASPSI-DOH-UHC-CAPI-Development/issues/522" TargetMode="External"/><Relationship Id="rId623" Type="http://schemas.openxmlformats.org/officeDocument/2006/relationships/hyperlink" Target="https://github.com/cplreyes/ASPSI-DOH-UHC-CAPI-Development/issues/688" TargetMode="External"/><Relationship Id="rId665" Type="http://schemas.openxmlformats.org/officeDocument/2006/relationships/hyperlink" Target="https://github.com/cplreyes/ASPSI-DOH-UHC-CAPI-Development/issues/735" TargetMode="External"/><Relationship Id="rId15" Type="http://schemas.openxmlformats.org/officeDocument/2006/relationships/hyperlink" Target="https://github.com/cplreyes/ASPSI-DOH-UHC-CAPI-Development/issues/15" TargetMode="External"/><Relationship Id="rId57" Type="http://schemas.openxmlformats.org/officeDocument/2006/relationships/hyperlink" Target="https://github.com/cplreyes/ASPSI-DOH-UHC-CAPI-Development/issues/75" TargetMode="External"/><Relationship Id="rId262" Type="http://schemas.openxmlformats.org/officeDocument/2006/relationships/hyperlink" Target="https://github.com/cplreyes/ASPSI-DOH-UHC-CAPI-Development/issues/294" TargetMode="External"/><Relationship Id="rId318" Type="http://schemas.openxmlformats.org/officeDocument/2006/relationships/hyperlink" Target="https://github.com/cplreyes/ASPSI-DOH-UHC-CAPI-Development/issues/382" TargetMode="External"/><Relationship Id="rId525" Type="http://schemas.openxmlformats.org/officeDocument/2006/relationships/hyperlink" Target="https://github.com/cplreyes/ASPSI-DOH-UHC-CAPI-Development/issues/589" TargetMode="External"/><Relationship Id="rId567" Type="http://schemas.openxmlformats.org/officeDocument/2006/relationships/hyperlink" Target="https://github.com/cplreyes/ASPSI-DOH-UHC-CAPI-Development/issues/632" TargetMode="External"/><Relationship Id="rId732" Type="http://schemas.openxmlformats.org/officeDocument/2006/relationships/hyperlink" Target="https://github.com/cplreyes/ASPSI-DOH-UHC-CAPI-Development/issues/802" TargetMode="External"/><Relationship Id="rId99" Type="http://schemas.openxmlformats.org/officeDocument/2006/relationships/hyperlink" Target="https://github.com/cplreyes/ASPSI-DOH-UHC-CAPI-Development/issues/118" TargetMode="External"/><Relationship Id="rId122" Type="http://schemas.openxmlformats.org/officeDocument/2006/relationships/hyperlink" Target="https://github.com/cplreyes/ASPSI-DOH-UHC-CAPI-Development/issues/142" TargetMode="External"/><Relationship Id="rId164" Type="http://schemas.openxmlformats.org/officeDocument/2006/relationships/hyperlink" Target="https://github.com/cplreyes/ASPSI-DOH-UHC-CAPI-Development/issues/184" TargetMode="External"/><Relationship Id="rId371" Type="http://schemas.openxmlformats.org/officeDocument/2006/relationships/hyperlink" Target="https://github.com/cplreyes/ASPSI-DOH-UHC-CAPI-Development/issues/435" TargetMode="External"/><Relationship Id="rId427" Type="http://schemas.openxmlformats.org/officeDocument/2006/relationships/hyperlink" Target="https://github.com/cplreyes/ASPSI-DOH-UHC-CAPI-Development/issues/491" TargetMode="External"/><Relationship Id="rId469" Type="http://schemas.openxmlformats.org/officeDocument/2006/relationships/hyperlink" Target="https://github.com/cplreyes/ASPSI-DOH-UHC-CAPI-Development/issues/533" TargetMode="External"/><Relationship Id="rId634" Type="http://schemas.openxmlformats.org/officeDocument/2006/relationships/hyperlink" Target="https://github.com/cplreyes/ASPSI-DOH-UHC-CAPI-Development/issues/699" TargetMode="External"/><Relationship Id="rId676" Type="http://schemas.openxmlformats.org/officeDocument/2006/relationships/hyperlink" Target="https://github.com/cplreyes/ASPSI-DOH-UHC-CAPI-Development/issues/746" TargetMode="External"/><Relationship Id="rId26" Type="http://schemas.openxmlformats.org/officeDocument/2006/relationships/hyperlink" Target="https://github.com/cplreyes/ASPSI-DOH-UHC-CAPI-Development/issues/26" TargetMode="External"/><Relationship Id="rId231" Type="http://schemas.openxmlformats.org/officeDocument/2006/relationships/hyperlink" Target="https://github.com/cplreyes/ASPSI-DOH-UHC-CAPI-Development/issues/251" TargetMode="External"/><Relationship Id="rId273" Type="http://schemas.openxmlformats.org/officeDocument/2006/relationships/hyperlink" Target="https://github.com/cplreyes/ASPSI-DOH-UHC-CAPI-Development/issues/305" TargetMode="External"/><Relationship Id="rId329" Type="http://schemas.openxmlformats.org/officeDocument/2006/relationships/hyperlink" Target="https://github.com/cplreyes/ASPSI-DOH-UHC-CAPI-Development/issues/393" TargetMode="External"/><Relationship Id="rId480" Type="http://schemas.openxmlformats.org/officeDocument/2006/relationships/hyperlink" Target="https://github.com/cplreyes/ASPSI-DOH-UHC-CAPI-Development/issues/544" TargetMode="External"/><Relationship Id="rId536" Type="http://schemas.openxmlformats.org/officeDocument/2006/relationships/hyperlink" Target="https://github.com/cplreyes/ASPSI-DOH-UHC-CAPI-Development/issues/600" TargetMode="External"/><Relationship Id="rId701" Type="http://schemas.openxmlformats.org/officeDocument/2006/relationships/hyperlink" Target="https://github.com/cplreyes/ASPSI-DOH-UHC-CAPI-Development/issues/771" TargetMode="External"/><Relationship Id="rId68" Type="http://schemas.openxmlformats.org/officeDocument/2006/relationships/hyperlink" Target="https://github.com/cplreyes/ASPSI-DOH-UHC-CAPI-Development/issues/86" TargetMode="External"/><Relationship Id="rId133" Type="http://schemas.openxmlformats.org/officeDocument/2006/relationships/hyperlink" Target="https://github.com/cplreyes/ASPSI-DOH-UHC-CAPI-Development/issues/153" TargetMode="External"/><Relationship Id="rId175" Type="http://schemas.openxmlformats.org/officeDocument/2006/relationships/hyperlink" Target="https://github.com/cplreyes/ASPSI-DOH-UHC-CAPI-Development/issues/195" TargetMode="External"/><Relationship Id="rId340" Type="http://schemas.openxmlformats.org/officeDocument/2006/relationships/hyperlink" Target="https://github.com/cplreyes/ASPSI-DOH-UHC-CAPI-Development/issues/404" TargetMode="External"/><Relationship Id="rId578" Type="http://schemas.openxmlformats.org/officeDocument/2006/relationships/hyperlink" Target="https://github.com/cplreyes/ASPSI-DOH-UHC-CAPI-Development/issues/643" TargetMode="External"/><Relationship Id="rId200" Type="http://schemas.openxmlformats.org/officeDocument/2006/relationships/hyperlink" Target="https://github.com/cplreyes/ASPSI-DOH-UHC-CAPI-Development/issues/220" TargetMode="External"/><Relationship Id="rId382" Type="http://schemas.openxmlformats.org/officeDocument/2006/relationships/hyperlink" Target="https://github.com/cplreyes/ASPSI-DOH-UHC-CAPI-Development/issues/446" TargetMode="External"/><Relationship Id="rId438" Type="http://schemas.openxmlformats.org/officeDocument/2006/relationships/hyperlink" Target="https://github.com/cplreyes/ASPSI-DOH-UHC-CAPI-Development/issues/502" TargetMode="External"/><Relationship Id="rId603" Type="http://schemas.openxmlformats.org/officeDocument/2006/relationships/hyperlink" Target="https://github.com/cplreyes/ASPSI-DOH-UHC-CAPI-Development/issues/668" TargetMode="External"/><Relationship Id="rId645" Type="http://schemas.openxmlformats.org/officeDocument/2006/relationships/hyperlink" Target="https://github.com/cplreyes/ASPSI-DOH-UHC-CAPI-Development/issues/713" TargetMode="External"/><Relationship Id="rId687" Type="http://schemas.openxmlformats.org/officeDocument/2006/relationships/hyperlink" Target="https://github.com/cplreyes/ASPSI-DOH-UHC-CAPI-Development/issues/757" TargetMode="External"/><Relationship Id="rId242" Type="http://schemas.openxmlformats.org/officeDocument/2006/relationships/hyperlink" Target="https://github.com/cplreyes/ASPSI-DOH-UHC-CAPI-Development/issues/262" TargetMode="External"/><Relationship Id="rId284" Type="http://schemas.openxmlformats.org/officeDocument/2006/relationships/hyperlink" Target="https://github.com/cplreyes/ASPSI-DOH-UHC-CAPI-Development/issues/316" TargetMode="External"/><Relationship Id="rId491" Type="http://schemas.openxmlformats.org/officeDocument/2006/relationships/hyperlink" Target="https://github.com/cplreyes/ASPSI-DOH-UHC-CAPI-Development/issues/555" TargetMode="External"/><Relationship Id="rId505" Type="http://schemas.openxmlformats.org/officeDocument/2006/relationships/hyperlink" Target="https://github.com/cplreyes/ASPSI-DOH-UHC-CAPI-Development/issues/569" TargetMode="External"/><Relationship Id="rId712" Type="http://schemas.openxmlformats.org/officeDocument/2006/relationships/hyperlink" Target="https://github.com/cplreyes/ASPSI-DOH-UHC-CAPI-Development/issues/782" TargetMode="External"/><Relationship Id="rId37" Type="http://schemas.openxmlformats.org/officeDocument/2006/relationships/hyperlink" Target="https://github.com/cplreyes/ASPSI-DOH-UHC-CAPI-Development/issues/55" TargetMode="External"/><Relationship Id="rId79" Type="http://schemas.openxmlformats.org/officeDocument/2006/relationships/hyperlink" Target="https://github.com/cplreyes/ASPSI-DOH-UHC-CAPI-Development/issues/97" TargetMode="External"/><Relationship Id="rId102" Type="http://schemas.openxmlformats.org/officeDocument/2006/relationships/hyperlink" Target="https://github.com/cplreyes/ASPSI-DOH-UHC-CAPI-Development/issues/121" TargetMode="External"/><Relationship Id="rId144" Type="http://schemas.openxmlformats.org/officeDocument/2006/relationships/hyperlink" Target="https://github.com/cplreyes/ASPSI-DOH-UHC-CAPI-Development/issues/164" TargetMode="External"/><Relationship Id="rId547" Type="http://schemas.openxmlformats.org/officeDocument/2006/relationships/hyperlink" Target="https://github.com/cplreyes/ASPSI-DOH-UHC-CAPI-Development/issues/611" TargetMode="External"/><Relationship Id="rId589" Type="http://schemas.openxmlformats.org/officeDocument/2006/relationships/hyperlink" Target="https://github.com/cplreyes/ASPSI-DOH-UHC-CAPI-Development/issues/654" TargetMode="External"/><Relationship Id="rId90" Type="http://schemas.openxmlformats.org/officeDocument/2006/relationships/hyperlink" Target="https://github.com/cplreyes/ASPSI-DOH-UHC-CAPI-Development/issues/108" TargetMode="External"/><Relationship Id="rId186" Type="http://schemas.openxmlformats.org/officeDocument/2006/relationships/hyperlink" Target="https://github.com/cplreyes/ASPSI-DOH-UHC-CAPI-Development/issues/206" TargetMode="External"/><Relationship Id="rId351" Type="http://schemas.openxmlformats.org/officeDocument/2006/relationships/hyperlink" Target="https://github.com/cplreyes/ASPSI-DOH-UHC-CAPI-Development/issues/415" TargetMode="External"/><Relationship Id="rId393" Type="http://schemas.openxmlformats.org/officeDocument/2006/relationships/hyperlink" Target="https://github.com/cplreyes/ASPSI-DOH-UHC-CAPI-Development/issues/457" TargetMode="External"/><Relationship Id="rId407" Type="http://schemas.openxmlformats.org/officeDocument/2006/relationships/hyperlink" Target="https://github.com/cplreyes/ASPSI-DOH-UHC-CAPI-Development/issues/471" TargetMode="External"/><Relationship Id="rId449" Type="http://schemas.openxmlformats.org/officeDocument/2006/relationships/hyperlink" Target="https://github.com/cplreyes/ASPSI-DOH-UHC-CAPI-Development/issues/513" TargetMode="External"/><Relationship Id="rId614" Type="http://schemas.openxmlformats.org/officeDocument/2006/relationships/hyperlink" Target="https://github.com/cplreyes/ASPSI-DOH-UHC-CAPI-Development/issues/679" TargetMode="External"/><Relationship Id="rId656" Type="http://schemas.openxmlformats.org/officeDocument/2006/relationships/hyperlink" Target="https://github.com/cplreyes/ASPSI-DOH-UHC-CAPI-Development/issues/726" TargetMode="External"/><Relationship Id="rId211" Type="http://schemas.openxmlformats.org/officeDocument/2006/relationships/hyperlink" Target="https://github.com/cplreyes/ASPSI-DOH-UHC-CAPI-Development/issues/231" TargetMode="External"/><Relationship Id="rId253" Type="http://schemas.openxmlformats.org/officeDocument/2006/relationships/hyperlink" Target="https://github.com/cplreyes/ASPSI-DOH-UHC-CAPI-Development/issues/273" TargetMode="External"/><Relationship Id="rId295" Type="http://schemas.openxmlformats.org/officeDocument/2006/relationships/hyperlink" Target="https://github.com/cplreyes/ASPSI-DOH-UHC-CAPI-Development/issues/327" TargetMode="External"/><Relationship Id="rId309" Type="http://schemas.openxmlformats.org/officeDocument/2006/relationships/hyperlink" Target="https://github.com/cplreyes/ASPSI-DOH-UHC-CAPI-Development/issues/373" TargetMode="External"/><Relationship Id="rId460" Type="http://schemas.openxmlformats.org/officeDocument/2006/relationships/hyperlink" Target="https://github.com/cplreyes/ASPSI-DOH-UHC-CAPI-Development/issues/524" TargetMode="External"/><Relationship Id="rId516" Type="http://schemas.openxmlformats.org/officeDocument/2006/relationships/hyperlink" Target="https://github.com/cplreyes/ASPSI-DOH-UHC-CAPI-Development/issues/580" TargetMode="External"/><Relationship Id="rId698" Type="http://schemas.openxmlformats.org/officeDocument/2006/relationships/hyperlink" Target="https://github.com/cplreyes/ASPSI-DOH-UHC-CAPI-Development/issues/768" TargetMode="External"/><Relationship Id="rId48" Type="http://schemas.openxmlformats.org/officeDocument/2006/relationships/hyperlink" Target="https://github.com/cplreyes/ASPSI-DOH-UHC-CAPI-Development/issues/66" TargetMode="External"/><Relationship Id="rId113" Type="http://schemas.openxmlformats.org/officeDocument/2006/relationships/hyperlink" Target="https://github.com/cplreyes/ASPSI-DOH-UHC-CAPI-Development/issues/132" TargetMode="External"/><Relationship Id="rId320" Type="http://schemas.openxmlformats.org/officeDocument/2006/relationships/hyperlink" Target="https://github.com/cplreyes/ASPSI-DOH-UHC-CAPI-Development/issues/384" TargetMode="External"/><Relationship Id="rId558" Type="http://schemas.openxmlformats.org/officeDocument/2006/relationships/hyperlink" Target="https://github.com/cplreyes/ASPSI-DOH-UHC-CAPI-Development/issues/622" TargetMode="External"/><Relationship Id="rId723" Type="http://schemas.openxmlformats.org/officeDocument/2006/relationships/hyperlink" Target="https://github.com/cplreyes/ASPSI-DOH-UHC-CAPI-Development/issues/793" TargetMode="External"/><Relationship Id="rId155" Type="http://schemas.openxmlformats.org/officeDocument/2006/relationships/hyperlink" Target="https://github.com/cplreyes/ASPSI-DOH-UHC-CAPI-Development/issues/175" TargetMode="External"/><Relationship Id="rId197" Type="http://schemas.openxmlformats.org/officeDocument/2006/relationships/hyperlink" Target="https://github.com/cplreyes/ASPSI-DOH-UHC-CAPI-Development/issues/217" TargetMode="External"/><Relationship Id="rId362" Type="http://schemas.openxmlformats.org/officeDocument/2006/relationships/hyperlink" Target="https://github.com/cplreyes/ASPSI-DOH-UHC-CAPI-Development/issues/426" TargetMode="External"/><Relationship Id="rId418" Type="http://schemas.openxmlformats.org/officeDocument/2006/relationships/hyperlink" Target="https://github.com/cplreyes/ASPSI-DOH-UHC-CAPI-Development/issues/482" TargetMode="External"/><Relationship Id="rId625" Type="http://schemas.openxmlformats.org/officeDocument/2006/relationships/hyperlink" Target="https://github.com/cplreyes/ASPSI-DOH-UHC-CAPI-Development/issues/690" TargetMode="External"/><Relationship Id="rId222" Type="http://schemas.openxmlformats.org/officeDocument/2006/relationships/hyperlink" Target="https://github.com/cplreyes/ASPSI-DOH-UHC-CAPI-Development/issues/242" TargetMode="External"/><Relationship Id="rId264" Type="http://schemas.openxmlformats.org/officeDocument/2006/relationships/hyperlink" Target="https://github.com/cplreyes/ASPSI-DOH-UHC-CAPI-Development/issues/296" TargetMode="External"/><Relationship Id="rId471" Type="http://schemas.openxmlformats.org/officeDocument/2006/relationships/hyperlink" Target="https://github.com/cplreyes/ASPSI-DOH-UHC-CAPI-Development/issues/535" TargetMode="External"/><Relationship Id="rId667" Type="http://schemas.openxmlformats.org/officeDocument/2006/relationships/hyperlink" Target="https://github.com/cplreyes/ASPSI-DOH-UHC-CAPI-Development/issues/737" TargetMode="External"/><Relationship Id="rId17" Type="http://schemas.openxmlformats.org/officeDocument/2006/relationships/hyperlink" Target="https://github.com/cplreyes/ASPSI-DOH-UHC-CAPI-Development/issues/17" TargetMode="External"/><Relationship Id="rId59" Type="http://schemas.openxmlformats.org/officeDocument/2006/relationships/hyperlink" Target="https://github.com/cplreyes/ASPSI-DOH-UHC-CAPI-Development/issues/77" TargetMode="External"/><Relationship Id="rId124" Type="http://schemas.openxmlformats.org/officeDocument/2006/relationships/hyperlink" Target="https://github.com/cplreyes/ASPSI-DOH-UHC-CAPI-Development/issues/144" TargetMode="External"/><Relationship Id="rId527" Type="http://schemas.openxmlformats.org/officeDocument/2006/relationships/hyperlink" Target="https://github.com/cplreyes/ASPSI-DOH-UHC-CAPI-Development/issues/591" TargetMode="External"/><Relationship Id="rId569" Type="http://schemas.openxmlformats.org/officeDocument/2006/relationships/hyperlink" Target="https://github.com/cplreyes/ASPSI-DOH-UHC-CAPI-Development/issues/634" TargetMode="External"/><Relationship Id="rId734" Type="http://schemas.openxmlformats.org/officeDocument/2006/relationships/hyperlink" Target="https://github.com/cplreyes/ASPSI-DOH-UHC-CAPI-Development/issues/804" TargetMode="External"/><Relationship Id="rId70" Type="http://schemas.openxmlformats.org/officeDocument/2006/relationships/hyperlink" Target="https://github.com/cplreyes/ASPSI-DOH-UHC-CAPI-Development/issues/88" TargetMode="External"/><Relationship Id="rId166" Type="http://schemas.openxmlformats.org/officeDocument/2006/relationships/hyperlink" Target="https://github.com/cplreyes/ASPSI-DOH-UHC-CAPI-Development/issues/186" TargetMode="External"/><Relationship Id="rId331" Type="http://schemas.openxmlformats.org/officeDocument/2006/relationships/hyperlink" Target="https://github.com/cplreyes/ASPSI-DOH-UHC-CAPI-Development/issues/395" TargetMode="External"/><Relationship Id="rId373" Type="http://schemas.openxmlformats.org/officeDocument/2006/relationships/hyperlink" Target="https://github.com/cplreyes/ASPSI-DOH-UHC-CAPI-Development/issues/437" TargetMode="External"/><Relationship Id="rId429" Type="http://schemas.openxmlformats.org/officeDocument/2006/relationships/hyperlink" Target="https://github.com/cplreyes/ASPSI-DOH-UHC-CAPI-Development/issues/493" TargetMode="External"/><Relationship Id="rId580" Type="http://schemas.openxmlformats.org/officeDocument/2006/relationships/hyperlink" Target="https://github.com/cplreyes/ASPSI-DOH-UHC-CAPI-Development/issues/645" TargetMode="External"/><Relationship Id="rId636" Type="http://schemas.openxmlformats.org/officeDocument/2006/relationships/hyperlink" Target="https://github.com/cplreyes/ASPSI-DOH-UHC-CAPI-Development/issues/701" TargetMode="External"/><Relationship Id="rId1" Type="http://schemas.openxmlformats.org/officeDocument/2006/relationships/hyperlink" Target="https://github.com/cplreyes/ASPSI-DOH-UHC-CAPI-Development/issues/1" TargetMode="External"/><Relationship Id="rId233" Type="http://schemas.openxmlformats.org/officeDocument/2006/relationships/hyperlink" Target="https://github.com/cplreyes/ASPSI-DOH-UHC-CAPI-Development/issues/253" TargetMode="External"/><Relationship Id="rId440" Type="http://schemas.openxmlformats.org/officeDocument/2006/relationships/hyperlink" Target="https://github.com/cplreyes/ASPSI-DOH-UHC-CAPI-Development/issues/504" TargetMode="External"/><Relationship Id="rId678" Type="http://schemas.openxmlformats.org/officeDocument/2006/relationships/hyperlink" Target="https://github.com/cplreyes/ASPSI-DOH-UHC-CAPI-Development/issues/748" TargetMode="External"/><Relationship Id="rId28" Type="http://schemas.openxmlformats.org/officeDocument/2006/relationships/hyperlink" Target="https://github.com/cplreyes/ASPSI-DOH-UHC-CAPI-Development/issues/28" TargetMode="External"/><Relationship Id="rId275" Type="http://schemas.openxmlformats.org/officeDocument/2006/relationships/hyperlink" Target="https://github.com/cplreyes/ASPSI-DOH-UHC-CAPI-Development/issues/307" TargetMode="External"/><Relationship Id="rId300" Type="http://schemas.openxmlformats.org/officeDocument/2006/relationships/hyperlink" Target="https://github.com/cplreyes/ASPSI-DOH-UHC-CAPI-Development/issues/340" TargetMode="External"/><Relationship Id="rId482" Type="http://schemas.openxmlformats.org/officeDocument/2006/relationships/hyperlink" Target="https://github.com/cplreyes/ASPSI-DOH-UHC-CAPI-Development/issues/546" TargetMode="External"/><Relationship Id="rId538" Type="http://schemas.openxmlformats.org/officeDocument/2006/relationships/hyperlink" Target="https://github.com/cplreyes/ASPSI-DOH-UHC-CAPI-Development/issues/602" TargetMode="External"/><Relationship Id="rId703" Type="http://schemas.openxmlformats.org/officeDocument/2006/relationships/hyperlink" Target="https://github.com/cplreyes/ASPSI-DOH-UHC-CAPI-Development/issues/773" TargetMode="External"/><Relationship Id="rId81" Type="http://schemas.openxmlformats.org/officeDocument/2006/relationships/hyperlink" Target="https://github.com/cplreyes/ASPSI-DOH-UHC-CAPI-Development/issues/99" TargetMode="External"/><Relationship Id="rId135" Type="http://schemas.openxmlformats.org/officeDocument/2006/relationships/hyperlink" Target="https://github.com/cplreyes/ASPSI-DOH-UHC-CAPI-Development/issues/155" TargetMode="External"/><Relationship Id="rId177" Type="http://schemas.openxmlformats.org/officeDocument/2006/relationships/hyperlink" Target="https://github.com/cplreyes/ASPSI-DOH-UHC-CAPI-Development/issues/197" TargetMode="External"/><Relationship Id="rId342" Type="http://schemas.openxmlformats.org/officeDocument/2006/relationships/hyperlink" Target="https://github.com/cplreyes/ASPSI-DOH-UHC-CAPI-Development/issues/406" TargetMode="External"/><Relationship Id="rId384" Type="http://schemas.openxmlformats.org/officeDocument/2006/relationships/hyperlink" Target="https://github.com/cplreyes/ASPSI-DOH-UHC-CAPI-Development/issues/448" TargetMode="External"/><Relationship Id="rId591" Type="http://schemas.openxmlformats.org/officeDocument/2006/relationships/hyperlink" Target="https://github.com/cplreyes/ASPSI-DOH-UHC-CAPI-Development/issues/656" TargetMode="External"/><Relationship Id="rId605" Type="http://schemas.openxmlformats.org/officeDocument/2006/relationships/hyperlink" Target="https://github.com/cplreyes/ASPSI-DOH-UHC-CAPI-Development/issues/670" TargetMode="External"/><Relationship Id="rId202" Type="http://schemas.openxmlformats.org/officeDocument/2006/relationships/hyperlink" Target="https://github.com/cplreyes/ASPSI-DOH-UHC-CAPI-Development/issues/222" TargetMode="External"/><Relationship Id="rId244" Type="http://schemas.openxmlformats.org/officeDocument/2006/relationships/hyperlink" Target="https://github.com/cplreyes/ASPSI-DOH-UHC-CAPI-Development/issues/264" TargetMode="External"/><Relationship Id="rId647" Type="http://schemas.openxmlformats.org/officeDocument/2006/relationships/hyperlink" Target="https://github.com/cplreyes/ASPSI-DOH-UHC-CAPI-Development/issues/715" TargetMode="External"/><Relationship Id="rId689" Type="http://schemas.openxmlformats.org/officeDocument/2006/relationships/hyperlink" Target="https://github.com/cplreyes/ASPSI-DOH-UHC-CAPI-Development/issues/759" TargetMode="External"/><Relationship Id="rId39" Type="http://schemas.openxmlformats.org/officeDocument/2006/relationships/hyperlink" Target="https://github.com/cplreyes/ASPSI-DOH-UHC-CAPI-Development/issues/57" TargetMode="External"/><Relationship Id="rId286" Type="http://schemas.openxmlformats.org/officeDocument/2006/relationships/hyperlink" Target="https://github.com/cplreyes/ASPSI-DOH-UHC-CAPI-Development/issues/318" TargetMode="External"/><Relationship Id="rId451" Type="http://schemas.openxmlformats.org/officeDocument/2006/relationships/hyperlink" Target="https://github.com/cplreyes/ASPSI-DOH-UHC-CAPI-Development/issues/515" TargetMode="External"/><Relationship Id="rId493" Type="http://schemas.openxmlformats.org/officeDocument/2006/relationships/hyperlink" Target="https://github.com/cplreyes/ASPSI-DOH-UHC-CAPI-Development/issues/557" TargetMode="External"/><Relationship Id="rId507" Type="http://schemas.openxmlformats.org/officeDocument/2006/relationships/hyperlink" Target="https://github.com/cplreyes/ASPSI-DOH-UHC-CAPI-Development/issues/571" TargetMode="External"/><Relationship Id="rId549" Type="http://schemas.openxmlformats.org/officeDocument/2006/relationships/hyperlink" Target="https://github.com/cplreyes/ASPSI-DOH-UHC-CAPI-Development/issues/613" TargetMode="External"/><Relationship Id="rId714" Type="http://schemas.openxmlformats.org/officeDocument/2006/relationships/hyperlink" Target="https://github.com/cplreyes/ASPSI-DOH-UHC-CAPI-Development/issues/784" TargetMode="External"/><Relationship Id="rId50" Type="http://schemas.openxmlformats.org/officeDocument/2006/relationships/hyperlink" Target="https://github.com/cplreyes/ASPSI-DOH-UHC-CAPI-Development/issues/68" TargetMode="External"/><Relationship Id="rId104" Type="http://schemas.openxmlformats.org/officeDocument/2006/relationships/hyperlink" Target="https://github.com/cplreyes/ASPSI-DOH-UHC-CAPI-Development/issues/123" TargetMode="External"/><Relationship Id="rId146" Type="http://schemas.openxmlformats.org/officeDocument/2006/relationships/hyperlink" Target="https://github.com/cplreyes/ASPSI-DOH-UHC-CAPI-Development/issues/166" TargetMode="External"/><Relationship Id="rId188" Type="http://schemas.openxmlformats.org/officeDocument/2006/relationships/hyperlink" Target="https://github.com/cplreyes/ASPSI-DOH-UHC-CAPI-Development/issues/208" TargetMode="External"/><Relationship Id="rId311" Type="http://schemas.openxmlformats.org/officeDocument/2006/relationships/hyperlink" Target="https://github.com/cplreyes/ASPSI-DOH-UHC-CAPI-Development/issues/375" TargetMode="External"/><Relationship Id="rId353" Type="http://schemas.openxmlformats.org/officeDocument/2006/relationships/hyperlink" Target="https://github.com/cplreyes/ASPSI-DOH-UHC-CAPI-Development/issues/417" TargetMode="External"/><Relationship Id="rId395" Type="http://schemas.openxmlformats.org/officeDocument/2006/relationships/hyperlink" Target="https://github.com/cplreyes/ASPSI-DOH-UHC-CAPI-Development/issues/459" TargetMode="External"/><Relationship Id="rId409" Type="http://schemas.openxmlformats.org/officeDocument/2006/relationships/hyperlink" Target="https://github.com/cplreyes/ASPSI-DOH-UHC-CAPI-Development/issues/473" TargetMode="External"/><Relationship Id="rId560" Type="http://schemas.openxmlformats.org/officeDocument/2006/relationships/hyperlink" Target="https://github.com/cplreyes/ASPSI-DOH-UHC-CAPI-Development/issues/625" TargetMode="External"/><Relationship Id="rId92" Type="http://schemas.openxmlformats.org/officeDocument/2006/relationships/hyperlink" Target="https://github.com/cplreyes/ASPSI-DOH-UHC-CAPI-Development/issues/110" TargetMode="External"/><Relationship Id="rId213" Type="http://schemas.openxmlformats.org/officeDocument/2006/relationships/hyperlink" Target="https://github.com/cplreyes/ASPSI-DOH-UHC-CAPI-Development/issues/233" TargetMode="External"/><Relationship Id="rId420" Type="http://schemas.openxmlformats.org/officeDocument/2006/relationships/hyperlink" Target="https://github.com/cplreyes/ASPSI-DOH-UHC-CAPI-Development/issues/484" TargetMode="External"/><Relationship Id="rId616" Type="http://schemas.openxmlformats.org/officeDocument/2006/relationships/hyperlink" Target="https://github.com/cplreyes/ASPSI-DOH-UHC-CAPI-Development/issues/681" TargetMode="External"/><Relationship Id="rId658" Type="http://schemas.openxmlformats.org/officeDocument/2006/relationships/hyperlink" Target="https://github.com/cplreyes/ASPSI-DOH-UHC-CAPI-Development/issues/728" TargetMode="External"/><Relationship Id="rId255" Type="http://schemas.openxmlformats.org/officeDocument/2006/relationships/hyperlink" Target="https://github.com/cplreyes/ASPSI-DOH-UHC-CAPI-Development/issues/277" TargetMode="External"/><Relationship Id="rId297" Type="http://schemas.openxmlformats.org/officeDocument/2006/relationships/hyperlink" Target="https://github.com/cplreyes/ASPSI-DOH-UHC-CAPI-Development/issues/329" TargetMode="External"/><Relationship Id="rId462" Type="http://schemas.openxmlformats.org/officeDocument/2006/relationships/hyperlink" Target="https://github.com/cplreyes/ASPSI-DOH-UHC-CAPI-Development/issues/526" TargetMode="External"/><Relationship Id="rId518" Type="http://schemas.openxmlformats.org/officeDocument/2006/relationships/hyperlink" Target="https://github.com/cplreyes/ASPSI-DOH-UHC-CAPI-Development/issues/582" TargetMode="External"/><Relationship Id="rId725" Type="http://schemas.openxmlformats.org/officeDocument/2006/relationships/hyperlink" Target="https://github.com/cplreyes/ASPSI-DOH-UHC-CAPI-Development/issues/795" TargetMode="External"/><Relationship Id="rId115" Type="http://schemas.openxmlformats.org/officeDocument/2006/relationships/hyperlink" Target="https://github.com/cplreyes/ASPSI-DOH-UHC-CAPI-Development/issues/134" TargetMode="External"/><Relationship Id="rId157" Type="http://schemas.openxmlformats.org/officeDocument/2006/relationships/hyperlink" Target="https://github.com/cplreyes/ASPSI-DOH-UHC-CAPI-Development/issues/177" TargetMode="External"/><Relationship Id="rId322" Type="http://schemas.openxmlformats.org/officeDocument/2006/relationships/hyperlink" Target="https://github.com/cplreyes/ASPSI-DOH-UHC-CAPI-Development/issues/386" TargetMode="External"/><Relationship Id="rId364" Type="http://schemas.openxmlformats.org/officeDocument/2006/relationships/hyperlink" Target="https://github.com/cplreyes/ASPSI-DOH-UHC-CAPI-Development/issues/428" TargetMode="External"/><Relationship Id="rId61" Type="http://schemas.openxmlformats.org/officeDocument/2006/relationships/hyperlink" Target="https://github.com/cplreyes/ASPSI-DOH-UHC-CAPI-Development/issues/79" TargetMode="External"/><Relationship Id="rId199" Type="http://schemas.openxmlformats.org/officeDocument/2006/relationships/hyperlink" Target="https://github.com/cplreyes/ASPSI-DOH-UHC-CAPI-Development/issues/219" TargetMode="External"/><Relationship Id="rId571" Type="http://schemas.openxmlformats.org/officeDocument/2006/relationships/hyperlink" Target="https://github.com/cplreyes/ASPSI-DOH-UHC-CAPI-Development/issues/636" TargetMode="External"/><Relationship Id="rId627" Type="http://schemas.openxmlformats.org/officeDocument/2006/relationships/hyperlink" Target="https://github.com/cplreyes/ASPSI-DOH-UHC-CAPI-Development/issues/692" TargetMode="External"/><Relationship Id="rId669" Type="http://schemas.openxmlformats.org/officeDocument/2006/relationships/hyperlink" Target="https://github.com/cplreyes/ASPSI-DOH-UHC-CAPI-Development/issues/739" TargetMode="External"/><Relationship Id="rId19" Type="http://schemas.openxmlformats.org/officeDocument/2006/relationships/hyperlink" Target="https://github.com/cplreyes/ASPSI-DOH-UHC-CAPI-Development/issues/19" TargetMode="External"/><Relationship Id="rId224" Type="http://schemas.openxmlformats.org/officeDocument/2006/relationships/hyperlink" Target="https://github.com/cplreyes/ASPSI-DOH-UHC-CAPI-Development/issues/244" TargetMode="External"/><Relationship Id="rId266" Type="http://schemas.openxmlformats.org/officeDocument/2006/relationships/hyperlink" Target="https://github.com/cplreyes/ASPSI-DOH-UHC-CAPI-Development/issues/298" TargetMode="External"/><Relationship Id="rId431" Type="http://schemas.openxmlformats.org/officeDocument/2006/relationships/hyperlink" Target="https://github.com/cplreyes/ASPSI-DOH-UHC-CAPI-Development/issues/495" TargetMode="External"/><Relationship Id="rId473" Type="http://schemas.openxmlformats.org/officeDocument/2006/relationships/hyperlink" Target="https://github.com/cplreyes/ASPSI-DOH-UHC-CAPI-Development/issues/537" TargetMode="External"/><Relationship Id="rId529" Type="http://schemas.openxmlformats.org/officeDocument/2006/relationships/hyperlink" Target="https://github.com/cplreyes/ASPSI-DOH-UHC-CAPI-Development/issues/593" TargetMode="External"/><Relationship Id="rId680" Type="http://schemas.openxmlformats.org/officeDocument/2006/relationships/hyperlink" Target="https://github.com/cplreyes/ASPSI-DOH-UHC-CAPI-Development/issues/750" TargetMode="External"/><Relationship Id="rId736" Type="http://schemas.openxmlformats.org/officeDocument/2006/relationships/hyperlink" Target="https://github.com/cplreyes/ASPSI-DOH-UHC-CAPI-Development/issues/806" TargetMode="External"/><Relationship Id="rId30" Type="http://schemas.openxmlformats.org/officeDocument/2006/relationships/hyperlink" Target="https://github.com/cplreyes/ASPSI-DOH-UHC-CAPI-Development/issues/30" TargetMode="External"/><Relationship Id="rId126" Type="http://schemas.openxmlformats.org/officeDocument/2006/relationships/hyperlink" Target="https://github.com/cplreyes/ASPSI-DOH-UHC-CAPI-Development/issues/146" TargetMode="External"/><Relationship Id="rId168" Type="http://schemas.openxmlformats.org/officeDocument/2006/relationships/hyperlink" Target="https://github.com/cplreyes/ASPSI-DOH-UHC-CAPI-Development/issues/188" TargetMode="External"/><Relationship Id="rId333" Type="http://schemas.openxmlformats.org/officeDocument/2006/relationships/hyperlink" Target="https://github.com/cplreyes/ASPSI-DOH-UHC-CAPI-Development/issues/397" TargetMode="External"/><Relationship Id="rId540" Type="http://schemas.openxmlformats.org/officeDocument/2006/relationships/hyperlink" Target="https://github.com/cplreyes/ASPSI-DOH-UHC-CAPI-Development/issues/604" TargetMode="External"/><Relationship Id="rId72" Type="http://schemas.openxmlformats.org/officeDocument/2006/relationships/hyperlink" Target="https://github.com/cplreyes/ASPSI-DOH-UHC-CAPI-Development/issues/90" TargetMode="External"/><Relationship Id="rId375" Type="http://schemas.openxmlformats.org/officeDocument/2006/relationships/hyperlink" Target="https://github.com/cplreyes/ASPSI-DOH-UHC-CAPI-Development/issues/439" TargetMode="External"/><Relationship Id="rId582" Type="http://schemas.openxmlformats.org/officeDocument/2006/relationships/hyperlink" Target="https://github.com/cplreyes/ASPSI-DOH-UHC-CAPI-Development/issues/647" TargetMode="External"/><Relationship Id="rId638" Type="http://schemas.openxmlformats.org/officeDocument/2006/relationships/hyperlink" Target="https://github.com/cplreyes/ASPSI-DOH-UHC-CAPI-Development/issues/703" TargetMode="External"/><Relationship Id="rId3" Type="http://schemas.openxmlformats.org/officeDocument/2006/relationships/hyperlink" Target="https://github.com/cplreyes/ASPSI-DOH-UHC-CAPI-Development/issues/3" TargetMode="External"/><Relationship Id="rId235" Type="http://schemas.openxmlformats.org/officeDocument/2006/relationships/hyperlink" Target="https://github.com/cplreyes/ASPSI-DOH-UHC-CAPI-Development/issues/255" TargetMode="External"/><Relationship Id="rId277" Type="http://schemas.openxmlformats.org/officeDocument/2006/relationships/hyperlink" Target="https://github.com/cplreyes/ASPSI-DOH-UHC-CAPI-Development/issues/309" TargetMode="External"/><Relationship Id="rId400" Type="http://schemas.openxmlformats.org/officeDocument/2006/relationships/hyperlink" Target="https://github.com/cplreyes/ASPSI-DOH-UHC-CAPI-Development/issues/464" TargetMode="External"/><Relationship Id="rId442" Type="http://schemas.openxmlformats.org/officeDocument/2006/relationships/hyperlink" Target="https://github.com/cplreyes/ASPSI-DOH-UHC-CAPI-Development/issues/506" TargetMode="External"/><Relationship Id="rId484" Type="http://schemas.openxmlformats.org/officeDocument/2006/relationships/hyperlink" Target="https://github.com/cplreyes/ASPSI-DOH-UHC-CAPI-Development/issues/548" TargetMode="External"/><Relationship Id="rId705" Type="http://schemas.openxmlformats.org/officeDocument/2006/relationships/hyperlink" Target="https://github.com/cplreyes/ASPSI-DOH-UHC-CAPI-Development/issues/775" TargetMode="External"/><Relationship Id="rId137" Type="http://schemas.openxmlformats.org/officeDocument/2006/relationships/hyperlink" Target="https://github.com/cplreyes/ASPSI-DOH-UHC-CAPI-Development/issues/157" TargetMode="External"/><Relationship Id="rId302" Type="http://schemas.openxmlformats.org/officeDocument/2006/relationships/hyperlink" Target="https://github.com/cplreyes/ASPSI-DOH-UHC-CAPI-Development/issues/344" TargetMode="External"/><Relationship Id="rId344" Type="http://schemas.openxmlformats.org/officeDocument/2006/relationships/hyperlink" Target="https://github.com/cplreyes/ASPSI-DOH-UHC-CAPI-Development/issues/408" TargetMode="External"/><Relationship Id="rId691" Type="http://schemas.openxmlformats.org/officeDocument/2006/relationships/hyperlink" Target="https://github.com/cplreyes/ASPSI-DOH-UHC-CAPI-Development/issues/761" TargetMode="External"/><Relationship Id="rId41" Type="http://schemas.openxmlformats.org/officeDocument/2006/relationships/hyperlink" Target="https://github.com/cplreyes/ASPSI-DOH-UHC-CAPI-Development/issues/59" TargetMode="External"/><Relationship Id="rId83" Type="http://schemas.openxmlformats.org/officeDocument/2006/relationships/hyperlink" Target="https://github.com/cplreyes/ASPSI-DOH-UHC-CAPI-Development/issues/101" TargetMode="External"/><Relationship Id="rId179" Type="http://schemas.openxmlformats.org/officeDocument/2006/relationships/hyperlink" Target="https://github.com/cplreyes/ASPSI-DOH-UHC-CAPI-Development/issues/199" TargetMode="External"/><Relationship Id="rId386" Type="http://schemas.openxmlformats.org/officeDocument/2006/relationships/hyperlink" Target="https://github.com/cplreyes/ASPSI-DOH-UHC-CAPI-Development/issues/450" TargetMode="External"/><Relationship Id="rId551" Type="http://schemas.openxmlformats.org/officeDocument/2006/relationships/hyperlink" Target="https://github.com/cplreyes/ASPSI-DOH-UHC-CAPI-Development/issues/615" TargetMode="External"/><Relationship Id="rId593" Type="http://schemas.openxmlformats.org/officeDocument/2006/relationships/hyperlink" Target="https://github.com/cplreyes/ASPSI-DOH-UHC-CAPI-Development/issues/658" TargetMode="External"/><Relationship Id="rId607" Type="http://schemas.openxmlformats.org/officeDocument/2006/relationships/hyperlink" Target="https://github.com/cplreyes/ASPSI-DOH-UHC-CAPI-Development/issues/672" TargetMode="External"/><Relationship Id="rId649" Type="http://schemas.openxmlformats.org/officeDocument/2006/relationships/hyperlink" Target="https://github.com/cplreyes/ASPSI-DOH-UHC-CAPI-Development/issues/719" TargetMode="External"/><Relationship Id="rId190" Type="http://schemas.openxmlformats.org/officeDocument/2006/relationships/hyperlink" Target="https://github.com/cplreyes/ASPSI-DOH-UHC-CAPI-Development/issues/210" TargetMode="External"/><Relationship Id="rId204" Type="http://schemas.openxmlformats.org/officeDocument/2006/relationships/hyperlink" Target="https://github.com/cplreyes/ASPSI-DOH-UHC-CAPI-Development/issues/224" TargetMode="External"/><Relationship Id="rId246" Type="http://schemas.openxmlformats.org/officeDocument/2006/relationships/hyperlink" Target="https://github.com/cplreyes/ASPSI-DOH-UHC-CAPI-Development/issues/266" TargetMode="External"/><Relationship Id="rId288" Type="http://schemas.openxmlformats.org/officeDocument/2006/relationships/hyperlink" Target="https://github.com/cplreyes/ASPSI-DOH-UHC-CAPI-Development/issues/320" TargetMode="External"/><Relationship Id="rId411" Type="http://schemas.openxmlformats.org/officeDocument/2006/relationships/hyperlink" Target="https://github.com/cplreyes/ASPSI-DOH-UHC-CAPI-Development/issues/475" TargetMode="External"/><Relationship Id="rId453" Type="http://schemas.openxmlformats.org/officeDocument/2006/relationships/hyperlink" Target="https://github.com/cplreyes/ASPSI-DOH-UHC-CAPI-Development/issues/517" TargetMode="External"/><Relationship Id="rId509" Type="http://schemas.openxmlformats.org/officeDocument/2006/relationships/hyperlink" Target="https://github.com/cplreyes/ASPSI-DOH-UHC-CAPI-Development/issues/573" TargetMode="External"/><Relationship Id="rId660" Type="http://schemas.openxmlformats.org/officeDocument/2006/relationships/hyperlink" Target="https://github.com/cplreyes/ASPSI-DOH-UHC-CAPI-Development/issues/730" TargetMode="External"/><Relationship Id="rId106" Type="http://schemas.openxmlformats.org/officeDocument/2006/relationships/hyperlink" Target="https://github.com/cplreyes/ASPSI-DOH-UHC-CAPI-Development/issues/125" TargetMode="External"/><Relationship Id="rId313" Type="http://schemas.openxmlformats.org/officeDocument/2006/relationships/hyperlink" Target="https://github.com/cplreyes/ASPSI-DOH-UHC-CAPI-Development/issues/377" TargetMode="External"/><Relationship Id="rId495" Type="http://schemas.openxmlformats.org/officeDocument/2006/relationships/hyperlink" Target="https://github.com/cplreyes/ASPSI-DOH-UHC-CAPI-Development/issues/559" TargetMode="External"/><Relationship Id="rId716" Type="http://schemas.openxmlformats.org/officeDocument/2006/relationships/hyperlink" Target="https://github.com/cplreyes/ASPSI-DOH-UHC-CAPI-Development/issues/786" TargetMode="External"/><Relationship Id="rId10" Type="http://schemas.openxmlformats.org/officeDocument/2006/relationships/hyperlink" Target="https://github.com/cplreyes/ASPSI-DOH-UHC-CAPI-Development/issues/10" TargetMode="External"/><Relationship Id="rId52" Type="http://schemas.openxmlformats.org/officeDocument/2006/relationships/hyperlink" Target="https://github.com/cplreyes/ASPSI-DOH-UHC-CAPI-Development/issues/70" TargetMode="External"/><Relationship Id="rId94" Type="http://schemas.openxmlformats.org/officeDocument/2006/relationships/hyperlink" Target="https://github.com/cplreyes/ASPSI-DOH-UHC-CAPI-Development/issues/112" TargetMode="External"/><Relationship Id="rId148" Type="http://schemas.openxmlformats.org/officeDocument/2006/relationships/hyperlink" Target="https://github.com/cplreyes/ASPSI-DOH-UHC-CAPI-Development/issues/168" TargetMode="External"/><Relationship Id="rId355" Type="http://schemas.openxmlformats.org/officeDocument/2006/relationships/hyperlink" Target="https://github.com/cplreyes/ASPSI-DOH-UHC-CAPI-Development/issues/419" TargetMode="External"/><Relationship Id="rId397" Type="http://schemas.openxmlformats.org/officeDocument/2006/relationships/hyperlink" Target="https://github.com/cplreyes/ASPSI-DOH-UHC-CAPI-Development/issues/461" TargetMode="External"/><Relationship Id="rId520" Type="http://schemas.openxmlformats.org/officeDocument/2006/relationships/hyperlink" Target="https://github.com/cplreyes/ASPSI-DOH-UHC-CAPI-Development/issues/584" TargetMode="External"/><Relationship Id="rId562" Type="http://schemas.openxmlformats.org/officeDocument/2006/relationships/hyperlink" Target="https://github.com/cplreyes/ASPSI-DOH-UHC-CAPI-Development/issues/627" TargetMode="External"/><Relationship Id="rId618" Type="http://schemas.openxmlformats.org/officeDocument/2006/relationships/hyperlink" Target="https://github.com/cplreyes/ASPSI-DOH-UHC-CAPI-Development/issues/683" TargetMode="External"/><Relationship Id="rId215" Type="http://schemas.openxmlformats.org/officeDocument/2006/relationships/hyperlink" Target="https://github.com/cplreyes/ASPSI-DOH-UHC-CAPI-Development/issues/235" TargetMode="External"/><Relationship Id="rId257" Type="http://schemas.openxmlformats.org/officeDocument/2006/relationships/hyperlink" Target="https://github.com/cplreyes/ASPSI-DOH-UHC-CAPI-Development/issues/282" TargetMode="External"/><Relationship Id="rId422" Type="http://schemas.openxmlformats.org/officeDocument/2006/relationships/hyperlink" Target="https://github.com/cplreyes/ASPSI-DOH-UHC-CAPI-Development/issues/486" TargetMode="External"/><Relationship Id="rId464" Type="http://schemas.openxmlformats.org/officeDocument/2006/relationships/hyperlink" Target="https://github.com/cplreyes/ASPSI-DOH-UHC-CAPI-Development/issues/528" TargetMode="External"/><Relationship Id="rId299" Type="http://schemas.openxmlformats.org/officeDocument/2006/relationships/hyperlink" Target="https://github.com/cplreyes/ASPSI-DOH-UHC-CAPI-Development/issues/331" TargetMode="External"/><Relationship Id="rId727" Type="http://schemas.openxmlformats.org/officeDocument/2006/relationships/hyperlink" Target="https://github.com/cplreyes/ASPSI-DOH-UHC-CAPI-Development/issues/797" TargetMode="External"/><Relationship Id="rId63" Type="http://schemas.openxmlformats.org/officeDocument/2006/relationships/hyperlink" Target="https://github.com/cplreyes/ASPSI-DOH-UHC-CAPI-Development/issues/81" TargetMode="External"/><Relationship Id="rId159" Type="http://schemas.openxmlformats.org/officeDocument/2006/relationships/hyperlink" Target="https://github.com/cplreyes/ASPSI-DOH-UHC-CAPI-Development/issues/179" TargetMode="External"/><Relationship Id="rId366" Type="http://schemas.openxmlformats.org/officeDocument/2006/relationships/hyperlink" Target="https://github.com/cplreyes/ASPSI-DOH-UHC-CAPI-Development/issues/430" TargetMode="External"/><Relationship Id="rId573" Type="http://schemas.openxmlformats.org/officeDocument/2006/relationships/hyperlink" Target="https://github.com/cplreyes/ASPSI-DOH-UHC-CAPI-Development/issues/638" TargetMode="External"/><Relationship Id="rId226" Type="http://schemas.openxmlformats.org/officeDocument/2006/relationships/hyperlink" Target="https://github.com/cplreyes/ASPSI-DOH-UHC-CAPI-Development/issues/246" TargetMode="External"/><Relationship Id="rId433" Type="http://schemas.openxmlformats.org/officeDocument/2006/relationships/hyperlink" Target="https://github.com/cplreyes/ASPSI-DOH-UHC-CAPI-Development/issues/497" TargetMode="External"/><Relationship Id="rId640" Type="http://schemas.openxmlformats.org/officeDocument/2006/relationships/hyperlink" Target="https://github.com/cplreyes/ASPSI-DOH-UHC-CAPI-Development/issues/706" TargetMode="External"/><Relationship Id="rId74" Type="http://schemas.openxmlformats.org/officeDocument/2006/relationships/hyperlink" Target="https://github.com/cplreyes/ASPSI-DOH-UHC-CAPI-Development/issues/92" TargetMode="External"/><Relationship Id="rId377" Type="http://schemas.openxmlformats.org/officeDocument/2006/relationships/hyperlink" Target="https://github.com/cplreyes/ASPSI-DOH-UHC-CAPI-Development/issues/441" TargetMode="External"/><Relationship Id="rId500" Type="http://schemas.openxmlformats.org/officeDocument/2006/relationships/hyperlink" Target="https://github.com/cplreyes/ASPSI-DOH-UHC-CAPI-Development/issues/564" TargetMode="External"/><Relationship Id="rId584" Type="http://schemas.openxmlformats.org/officeDocument/2006/relationships/hyperlink" Target="https://github.com/cplreyes/ASPSI-DOH-UHC-CAPI-Development/issues/649" TargetMode="External"/><Relationship Id="rId5" Type="http://schemas.openxmlformats.org/officeDocument/2006/relationships/hyperlink" Target="https://github.com/cplreyes/ASPSI-DOH-UHC-CAPI-Development/issues/5" TargetMode="External"/><Relationship Id="rId237" Type="http://schemas.openxmlformats.org/officeDocument/2006/relationships/hyperlink" Target="https://github.com/cplreyes/ASPSI-DOH-UHC-CAPI-Development/issues/257" TargetMode="External"/><Relationship Id="rId444" Type="http://schemas.openxmlformats.org/officeDocument/2006/relationships/hyperlink" Target="https://github.com/cplreyes/ASPSI-DOH-UHC-CAPI-Development/issues/508" TargetMode="External"/><Relationship Id="rId651" Type="http://schemas.openxmlformats.org/officeDocument/2006/relationships/hyperlink" Target="https://github.com/cplreyes/ASPSI-DOH-UHC-CAPI-Development/issues/721" TargetMode="External"/><Relationship Id="rId290" Type="http://schemas.openxmlformats.org/officeDocument/2006/relationships/hyperlink" Target="https://github.com/cplreyes/ASPSI-DOH-UHC-CAPI-Development/issues/322" TargetMode="External"/><Relationship Id="rId304" Type="http://schemas.openxmlformats.org/officeDocument/2006/relationships/hyperlink" Target="https://github.com/cplreyes/ASPSI-DOH-UHC-CAPI-Development/issues/368" TargetMode="External"/><Relationship Id="rId388" Type="http://schemas.openxmlformats.org/officeDocument/2006/relationships/hyperlink" Target="https://github.com/cplreyes/ASPSI-DOH-UHC-CAPI-Development/issues/452" TargetMode="External"/><Relationship Id="rId511" Type="http://schemas.openxmlformats.org/officeDocument/2006/relationships/hyperlink" Target="https://github.com/cplreyes/ASPSI-DOH-UHC-CAPI-Development/issues/575" TargetMode="External"/><Relationship Id="rId609" Type="http://schemas.openxmlformats.org/officeDocument/2006/relationships/hyperlink" Target="https://github.com/cplreyes/ASPSI-DOH-UHC-CAPI-Development/issues/674" TargetMode="External"/><Relationship Id="rId85" Type="http://schemas.openxmlformats.org/officeDocument/2006/relationships/hyperlink" Target="https://github.com/cplreyes/ASPSI-DOH-UHC-CAPI-Development/issues/103" TargetMode="External"/><Relationship Id="rId150" Type="http://schemas.openxmlformats.org/officeDocument/2006/relationships/hyperlink" Target="https://github.com/cplreyes/ASPSI-DOH-UHC-CAPI-Development/issues/170" TargetMode="External"/><Relationship Id="rId595" Type="http://schemas.openxmlformats.org/officeDocument/2006/relationships/hyperlink" Target="https://github.com/cplreyes/ASPSI-DOH-UHC-CAPI-Development/issues/660" TargetMode="External"/><Relationship Id="rId248" Type="http://schemas.openxmlformats.org/officeDocument/2006/relationships/hyperlink" Target="https://github.com/cplreyes/ASPSI-DOH-UHC-CAPI-Development/issues/268" TargetMode="External"/><Relationship Id="rId455" Type="http://schemas.openxmlformats.org/officeDocument/2006/relationships/hyperlink" Target="https://github.com/cplreyes/ASPSI-DOH-UHC-CAPI-Development/issues/519" TargetMode="External"/><Relationship Id="rId662" Type="http://schemas.openxmlformats.org/officeDocument/2006/relationships/hyperlink" Target="https://github.com/cplreyes/ASPSI-DOH-UHC-CAPI-Development/issues/732" TargetMode="External"/><Relationship Id="rId12" Type="http://schemas.openxmlformats.org/officeDocument/2006/relationships/hyperlink" Target="https://github.com/cplreyes/ASPSI-DOH-UHC-CAPI-Development/issues/12" TargetMode="External"/><Relationship Id="rId108" Type="http://schemas.openxmlformats.org/officeDocument/2006/relationships/hyperlink" Target="https://github.com/cplreyes/ASPSI-DOH-UHC-CAPI-Development/issues/127" TargetMode="External"/><Relationship Id="rId315" Type="http://schemas.openxmlformats.org/officeDocument/2006/relationships/hyperlink" Target="https://github.com/cplreyes/ASPSI-DOH-UHC-CAPI-Development/issues/379" TargetMode="External"/><Relationship Id="rId522" Type="http://schemas.openxmlformats.org/officeDocument/2006/relationships/hyperlink" Target="https://github.com/cplreyes/ASPSI-DOH-UHC-CAPI-Development/issues/586" TargetMode="External"/><Relationship Id="rId96" Type="http://schemas.openxmlformats.org/officeDocument/2006/relationships/hyperlink" Target="https://github.com/cplreyes/ASPSI-DOH-UHC-CAPI-Development/issues/115" TargetMode="External"/><Relationship Id="rId161" Type="http://schemas.openxmlformats.org/officeDocument/2006/relationships/hyperlink" Target="https://github.com/cplreyes/ASPSI-DOH-UHC-CAPI-Development/issues/181" TargetMode="External"/><Relationship Id="rId399" Type="http://schemas.openxmlformats.org/officeDocument/2006/relationships/hyperlink" Target="https://github.com/cplreyes/ASPSI-DOH-UHC-CAPI-Development/issues/463" TargetMode="External"/><Relationship Id="rId259" Type="http://schemas.openxmlformats.org/officeDocument/2006/relationships/hyperlink" Target="https://github.com/cplreyes/ASPSI-DOH-UHC-CAPI-Development/issues/286" TargetMode="External"/><Relationship Id="rId466" Type="http://schemas.openxmlformats.org/officeDocument/2006/relationships/hyperlink" Target="https://github.com/cplreyes/ASPSI-DOH-UHC-CAPI-Development/issues/530" TargetMode="External"/><Relationship Id="rId673" Type="http://schemas.openxmlformats.org/officeDocument/2006/relationships/hyperlink" Target="https://github.com/cplreyes/ASPSI-DOH-UHC-CAPI-Development/issues/743" TargetMode="External"/><Relationship Id="rId23" Type="http://schemas.openxmlformats.org/officeDocument/2006/relationships/hyperlink" Target="https://github.com/cplreyes/ASPSI-DOH-UHC-CAPI-Development/issues/23" TargetMode="External"/><Relationship Id="rId119" Type="http://schemas.openxmlformats.org/officeDocument/2006/relationships/hyperlink" Target="https://github.com/cplreyes/ASPSI-DOH-UHC-CAPI-Development/issues/139" TargetMode="External"/><Relationship Id="rId326" Type="http://schemas.openxmlformats.org/officeDocument/2006/relationships/hyperlink" Target="https://github.com/cplreyes/ASPSI-DOH-UHC-CAPI-Development/issues/390" TargetMode="External"/><Relationship Id="rId533" Type="http://schemas.openxmlformats.org/officeDocument/2006/relationships/hyperlink" Target="https://github.com/cplreyes/ASPSI-DOH-UHC-CAPI-Development/issues/597" TargetMode="External"/><Relationship Id="rId172" Type="http://schemas.openxmlformats.org/officeDocument/2006/relationships/hyperlink" Target="https://github.com/cplreyes/ASPSI-DOH-UHC-CAPI-Development/issues/192" TargetMode="External"/><Relationship Id="rId477" Type="http://schemas.openxmlformats.org/officeDocument/2006/relationships/hyperlink" Target="https://github.com/cplreyes/ASPSI-DOH-UHC-CAPI-Development/issues/541" TargetMode="External"/><Relationship Id="rId600" Type="http://schemas.openxmlformats.org/officeDocument/2006/relationships/hyperlink" Target="https://github.com/cplreyes/ASPSI-DOH-UHC-CAPI-Development/issues/665" TargetMode="External"/><Relationship Id="rId684" Type="http://schemas.openxmlformats.org/officeDocument/2006/relationships/hyperlink" Target="https://github.com/cplreyes/ASPSI-DOH-UHC-CAPI-Development/issues/754" TargetMode="External"/><Relationship Id="rId337" Type="http://schemas.openxmlformats.org/officeDocument/2006/relationships/hyperlink" Target="https://github.com/cplreyes/ASPSI-DOH-UHC-CAPI-Development/issues/401" TargetMode="External"/><Relationship Id="rId34" Type="http://schemas.openxmlformats.org/officeDocument/2006/relationships/hyperlink" Target="https://github.com/cplreyes/ASPSI-DOH-UHC-CAPI-Development/issues/45" TargetMode="External"/><Relationship Id="rId544" Type="http://schemas.openxmlformats.org/officeDocument/2006/relationships/hyperlink" Target="https://github.com/cplreyes/ASPSI-DOH-UHC-CAPI-Development/issues/608" TargetMode="External"/><Relationship Id="rId183" Type="http://schemas.openxmlformats.org/officeDocument/2006/relationships/hyperlink" Target="https://github.com/cplreyes/ASPSI-DOH-UHC-CAPI-Development/issues/203" TargetMode="External"/><Relationship Id="rId390" Type="http://schemas.openxmlformats.org/officeDocument/2006/relationships/hyperlink" Target="https://github.com/cplreyes/ASPSI-DOH-UHC-CAPI-Development/issues/454" TargetMode="External"/><Relationship Id="rId404" Type="http://schemas.openxmlformats.org/officeDocument/2006/relationships/hyperlink" Target="https://github.com/cplreyes/ASPSI-DOH-UHC-CAPI-Development/issues/468" TargetMode="External"/><Relationship Id="rId611" Type="http://schemas.openxmlformats.org/officeDocument/2006/relationships/hyperlink" Target="https://github.com/cplreyes/ASPSI-DOH-UHC-CAPI-Development/issues/676" TargetMode="External"/><Relationship Id="rId250" Type="http://schemas.openxmlformats.org/officeDocument/2006/relationships/hyperlink" Target="https://github.com/cplreyes/ASPSI-DOH-UHC-CAPI-Development/issues/270" TargetMode="External"/><Relationship Id="rId488" Type="http://schemas.openxmlformats.org/officeDocument/2006/relationships/hyperlink" Target="https://github.com/cplreyes/ASPSI-DOH-UHC-CAPI-Development/issues/552" TargetMode="External"/><Relationship Id="rId695" Type="http://schemas.openxmlformats.org/officeDocument/2006/relationships/hyperlink" Target="https://github.com/cplreyes/ASPSI-DOH-UHC-CAPI-Development/issues/765" TargetMode="External"/><Relationship Id="rId709" Type="http://schemas.openxmlformats.org/officeDocument/2006/relationships/hyperlink" Target="https://github.com/cplreyes/ASPSI-DOH-UHC-CAPI-Development/issues/779" TargetMode="External"/><Relationship Id="rId45" Type="http://schemas.openxmlformats.org/officeDocument/2006/relationships/hyperlink" Target="https://github.com/cplreyes/ASPSI-DOH-UHC-CAPI-Development/issues/63" TargetMode="External"/><Relationship Id="rId110" Type="http://schemas.openxmlformats.org/officeDocument/2006/relationships/hyperlink" Target="https://github.com/cplreyes/ASPSI-DOH-UHC-CAPI-Development/issues/129" TargetMode="External"/><Relationship Id="rId348" Type="http://schemas.openxmlformats.org/officeDocument/2006/relationships/hyperlink" Target="https://github.com/cplreyes/ASPSI-DOH-UHC-CAPI-Development/issues/412" TargetMode="External"/><Relationship Id="rId555" Type="http://schemas.openxmlformats.org/officeDocument/2006/relationships/hyperlink" Target="https://github.com/cplreyes/ASPSI-DOH-UHC-CAPI-Development/issues/619" TargetMode="External"/><Relationship Id="rId194" Type="http://schemas.openxmlformats.org/officeDocument/2006/relationships/hyperlink" Target="https://github.com/cplreyes/ASPSI-DOH-UHC-CAPI-Development/issues/214" TargetMode="External"/><Relationship Id="rId208" Type="http://schemas.openxmlformats.org/officeDocument/2006/relationships/hyperlink" Target="https://github.com/cplreyes/ASPSI-DOH-UHC-CAPI-Development/issues/228" TargetMode="External"/><Relationship Id="rId415" Type="http://schemas.openxmlformats.org/officeDocument/2006/relationships/hyperlink" Target="https://github.com/cplreyes/ASPSI-DOH-UHC-CAPI-Development/issues/479" TargetMode="External"/><Relationship Id="rId622" Type="http://schemas.openxmlformats.org/officeDocument/2006/relationships/hyperlink" Target="https://github.com/cplreyes/ASPSI-DOH-UHC-CAPI-Development/issues/687" TargetMode="External"/><Relationship Id="rId261" Type="http://schemas.openxmlformats.org/officeDocument/2006/relationships/hyperlink" Target="https://github.com/cplreyes/ASPSI-DOH-UHC-CAPI-Development/issues/289" TargetMode="External"/><Relationship Id="rId499" Type="http://schemas.openxmlformats.org/officeDocument/2006/relationships/hyperlink" Target="https://github.com/cplreyes/ASPSI-DOH-UHC-CAPI-Development/issues/563" TargetMode="External"/><Relationship Id="rId56" Type="http://schemas.openxmlformats.org/officeDocument/2006/relationships/hyperlink" Target="https://github.com/cplreyes/ASPSI-DOH-UHC-CAPI-Development/issues/74" TargetMode="External"/><Relationship Id="rId359" Type="http://schemas.openxmlformats.org/officeDocument/2006/relationships/hyperlink" Target="https://github.com/cplreyes/ASPSI-DOH-UHC-CAPI-Development/issues/423" TargetMode="External"/><Relationship Id="rId566" Type="http://schemas.openxmlformats.org/officeDocument/2006/relationships/hyperlink" Target="https://github.com/cplreyes/ASPSI-DOH-UHC-CAPI-Development/issues/631" TargetMode="External"/><Relationship Id="rId121" Type="http://schemas.openxmlformats.org/officeDocument/2006/relationships/hyperlink" Target="https://github.com/cplreyes/ASPSI-DOH-UHC-CAPI-Development/issues/141" TargetMode="External"/><Relationship Id="rId219" Type="http://schemas.openxmlformats.org/officeDocument/2006/relationships/hyperlink" Target="https://github.com/cplreyes/ASPSI-DOH-UHC-CAPI-Development/issues/239" TargetMode="External"/><Relationship Id="rId426" Type="http://schemas.openxmlformats.org/officeDocument/2006/relationships/hyperlink" Target="https://github.com/cplreyes/ASPSI-DOH-UHC-CAPI-Development/issues/490" TargetMode="External"/><Relationship Id="rId633" Type="http://schemas.openxmlformats.org/officeDocument/2006/relationships/hyperlink" Target="https://github.com/cplreyes/ASPSI-DOH-UHC-CAPI-Development/issues/698" TargetMode="External"/><Relationship Id="rId67" Type="http://schemas.openxmlformats.org/officeDocument/2006/relationships/hyperlink" Target="https://github.com/cplreyes/ASPSI-DOH-UHC-CAPI-Development/issues/85" TargetMode="External"/><Relationship Id="rId272" Type="http://schemas.openxmlformats.org/officeDocument/2006/relationships/hyperlink" Target="https://github.com/cplreyes/ASPSI-DOH-UHC-CAPI-Development/issues/304" TargetMode="External"/><Relationship Id="rId577" Type="http://schemas.openxmlformats.org/officeDocument/2006/relationships/hyperlink" Target="https://github.com/cplreyes/ASPSI-DOH-UHC-CAPI-Development/issues/642" TargetMode="External"/><Relationship Id="rId700" Type="http://schemas.openxmlformats.org/officeDocument/2006/relationships/hyperlink" Target="https://github.com/cplreyes/ASPSI-DOH-UHC-CAPI-Development/issues/770" TargetMode="External"/><Relationship Id="rId132" Type="http://schemas.openxmlformats.org/officeDocument/2006/relationships/hyperlink" Target="https://github.com/cplreyes/ASPSI-DOH-UHC-CAPI-Development/issues/152" TargetMode="External"/><Relationship Id="rId437" Type="http://schemas.openxmlformats.org/officeDocument/2006/relationships/hyperlink" Target="https://github.com/cplreyes/ASPSI-DOH-UHC-CAPI-Development/issues/501" TargetMode="External"/><Relationship Id="rId644" Type="http://schemas.openxmlformats.org/officeDocument/2006/relationships/hyperlink" Target="https://github.com/cplreyes/ASPSI-DOH-UHC-CAPI-Development/issues/712" TargetMode="External"/><Relationship Id="rId283" Type="http://schemas.openxmlformats.org/officeDocument/2006/relationships/hyperlink" Target="https://github.com/cplreyes/ASPSI-DOH-UHC-CAPI-Development/issues/315" TargetMode="External"/><Relationship Id="rId490" Type="http://schemas.openxmlformats.org/officeDocument/2006/relationships/hyperlink" Target="https://github.com/cplreyes/ASPSI-DOH-UHC-CAPI-Development/issues/554" TargetMode="External"/><Relationship Id="rId504" Type="http://schemas.openxmlformats.org/officeDocument/2006/relationships/hyperlink" Target="https://github.com/cplreyes/ASPSI-DOH-UHC-CAPI-Development/issues/568" TargetMode="External"/><Relationship Id="rId711" Type="http://schemas.openxmlformats.org/officeDocument/2006/relationships/hyperlink" Target="https://github.com/cplreyes/ASPSI-DOH-UHC-CAPI-Development/issues/781" TargetMode="External"/><Relationship Id="rId78" Type="http://schemas.openxmlformats.org/officeDocument/2006/relationships/hyperlink" Target="https://github.com/cplreyes/ASPSI-DOH-UHC-CAPI-Development/issues/96" TargetMode="External"/><Relationship Id="rId143" Type="http://schemas.openxmlformats.org/officeDocument/2006/relationships/hyperlink" Target="https://github.com/cplreyes/ASPSI-DOH-UHC-CAPI-Development/issues/163" TargetMode="External"/><Relationship Id="rId350" Type="http://schemas.openxmlformats.org/officeDocument/2006/relationships/hyperlink" Target="https://github.com/cplreyes/ASPSI-DOH-UHC-CAPI-Development/issues/414" TargetMode="External"/><Relationship Id="rId588" Type="http://schemas.openxmlformats.org/officeDocument/2006/relationships/hyperlink" Target="https://github.com/cplreyes/ASPSI-DOH-UHC-CAPI-Development/issues/653" TargetMode="External"/><Relationship Id="rId9" Type="http://schemas.openxmlformats.org/officeDocument/2006/relationships/hyperlink" Target="https://github.com/cplreyes/ASPSI-DOH-UHC-CAPI-Development/issues/9" TargetMode="External"/><Relationship Id="rId210" Type="http://schemas.openxmlformats.org/officeDocument/2006/relationships/hyperlink" Target="https://github.com/cplreyes/ASPSI-DOH-UHC-CAPI-Development/issues/230" TargetMode="External"/><Relationship Id="rId448" Type="http://schemas.openxmlformats.org/officeDocument/2006/relationships/hyperlink" Target="https://github.com/cplreyes/ASPSI-DOH-UHC-CAPI-Development/issues/512" TargetMode="External"/><Relationship Id="rId655" Type="http://schemas.openxmlformats.org/officeDocument/2006/relationships/hyperlink" Target="https://github.com/cplreyes/ASPSI-DOH-UHC-CAPI-Development/issues/725" TargetMode="External"/><Relationship Id="rId294" Type="http://schemas.openxmlformats.org/officeDocument/2006/relationships/hyperlink" Target="https://github.com/cplreyes/ASPSI-DOH-UHC-CAPI-Development/issues/326" TargetMode="External"/><Relationship Id="rId308" Type="http://schemas.openxmlformats.org/officeDocument/2006/relationships/hyperlink" Target="https://github.com/cplreyes/ASPSI-DOH-UHC-CAPI-Development/issues/372" TargetMode="External"/><Relationship Id="rId515" Type="http://schemas.openxmlformats.org/officeDocument/2006/relationships/hyperlink" Target="https://github.com/cplreyes/ASPSI-DOH-UHC-CAPI-Development/issues/579" TargetMode="External"/><Relationship Id="rId722" Type="http://schemas.openxmlformats.org/officeDocument/2006/relationships/hyperlink" Target="https://github.com/cplreyes/ASPSI-DOH-UHC-CAPI-Development/issues/792" TargetMode="External"/><Relationship Id="rId89" Type="http://schemas.openxmlformats.org/officeDocument/2006/relationships/hyperlink" Target="https://github.com/cplreyes/ASPSI-DOH-UHC-CAPI-Development/issues/107" TargetMode="External"/><Relationship Id="rId154" Type="http://schemas.openxmlformats.org/officeDocument/2006/relationships/hyperlink" Target="https://github.com/cplreyes/ASPSI-DOH-UHC-CAPI-Development/issues/174" TargetMode="External"/><Relationship Id="rId361" Type="http://schemas.openxmlformats.org/officeDocument/2006/relationships/hyperlink" Target="https://github.com/cplreyes/ASPSI-DOH-UHC-CAPI-Development/issues/425" TargetMode="External"/><Relationship Id="rId599" Type="http://schemas.openxmlformats.org/officeDocument/2006/relationships/hyperlink" Target="https://github.com/cplreyes/ASPSI-DOH-UHC-CAPI-Development/issues/664" TargetMode="External"/><Relationship Id="rId459" Type="http://schemas.openxmlformats.org/officeDocument/2006/relationships/hyperlink" Target="https://github.com/cplreyes/ASPSI-DOH-UHC-CAPI-Development/issues/523" TargetMode="External"/><Relationship Id="rId666" Type="http://schemas.openxmlformats.org/officeDocument/2006/relationships/hyperlink" Target="https://github.com/cplreyes/ASPSI-DOH-UHC-CAPI-Development/issues/736" TargetMode="External"/><Relationship Id="rId16" Type="http://schemas.openxmlformats.org/officeDocument/2006/relationships/hyperlink" Target="https://github.com/cplreyes/ASPSI-DOH-UHC-CAPI-Development/issues/16" TargetMode="External"/><Relationship Id="rId221" Type="http://schemas.openxmlformats.org/officeDocument/2006/relationships/hyperlink" Target="https://github.com/cplreyes/ASPSI-DOH-UHC-CAPI-Development/issues/241" TargetMode="External"/><Relationship Id="rId319" Type="http://schemas.openxmlformats.org/officeDocument/2006/relationships/hyperlink" Target="https://github.com/cplreyes/ASPSI-DOH-UHC-CAPI-Development/issues/383" TargetMode="External"/><Relationship Id="rId526" Type="http://schemas.openxmlformats.org/officeDocument/2006/relationships/hyperlink" Target="https://github.com/cplreyes/ASPSI-DOH-UHC-CAPI-Development/issues/590" TargetMode="External"/><Relationship Id="rId733" Type="http://schemas.openxmlformats.org/officeDocument/2006/relationships/hyperlink" Target="https://github.com/cplreyes/ASPSI-DOH-UHC-CAPI-Development/issues/803" TargetMode="External"/><Relationship Id="rId165" Type="http://schemas.openxmlformats.org/officeDocument/2006/relationships/hyperlink" Target="https://github.com/cplreyes/ASPSI-DOH-UHC-CAPI-Development/issues/185" TargetMode="External"/><Relationship Id="rId372" Type="http://schemas.openxmlformats.org/officeDocument/2006/relationships/hyperlink" Target="https://github.com/cplreyes/ASPSI-DOH-UHC-CAPI-Development/issues/436" TargetMode="External"/><Relationship Id="rId677" Type="http://schemas.openxmlformats.org/officeDocument/2006/relationships/hyperlink" Target="https://github.com/cplreyes/ASPSI-DOH-UHC-CAPI-Development/issues/747" TargetMode="External"/><Relationship Id="rId232" Type="http://schemas.openxmlformats.org/officeDocument/2006/relationships/hyperlink" Target="https://github.com/cplreyes/ASPSI-DOH-UHC-CAPI-Development/issues/252" TargetMode="External"/><Relationship Id="rId27" Type="http://schemas.openxmlformats.org/officeDocument/2006/relationships/hyperlink" Target="https://github.com/cplreyes/ASPSI-DOH-UHC-CAPI-Development/issues/27" TargetMode="External"/><Relationship Id="rId537" Type="http://schemas.openxmlformats.org/officeDocument/2006/relationships/hyperlink" Target="https://github.com/cplreyes/ASPSI-DOH-UHC-CAPI-Development/issues/601" TargetMode="External"/><Relationship Id="rId80" Type="http://schemas.openxmlformats.org/officeDocument/2006/relationships/hyperlink" Target="https://github.com/cplreyes/ASPSI-DOH-UHC-CAPI-Development/issues/98" TargetMode="External"/><Relationship Id="rId176" Type="http://schemas.openxmlformats.org/officeDocument/2006/relationships/hyperlink" Target="https://github.com/cplreyes/ASPSI-DOH-UHC-CAPI-Development/issues/196" TargetMode="External"/><Relationship Id="rId383" Type="http://schemas.openxmlformats.org/officeDocument/2006/relationships/hyperlink" Target="https://github.com/cplreyes/ASPSI-DOH-UHC-CAPI-Development/issues/447" TargetMode="External"/><Relationship Id="rId590" Type="http://schemas.openxmlformats.org/officeDocument/2006/relationships/hyperlink" Target="https://github.com/cplreyes/ASPSI-DOH-UHC-CAPI-Development/issues/655" TargetMode="External"/><Relationship Id="rId604" Type="http://schemas.openxmlformats.org/officeDocument/2006/relationships/hyperlink" Target="https://github.com/cplreyes/ASPSI-DOH-UHC-CAPI-Development/issues/669" TargetMode="External"/><Relationship Id="rId243" Type="http://schemas.openxmlformats.org/officeDocument/2006/relationships/hyperlink" Target="https://github.com/cplreyes/ASPSI-DOH-UHC-CAPI-Development/issues/263" TargetMode="External"/><Relationship Id="rId450" Type="http://schemas.openxmlformats.org/officeDocument/2006/relationships/hyperlink" Target="https://github.com/cplreyes/ASPSI-DOH-UHC-CAPI-Development/issues/514" TargetMode="External"/><Relationship Id="rId688" Type="http://schemas.openxmlformats.org/officeDocument/2006/relationships/hyperlink" Target="https://github.com/cplreyes/ASPSI-DOH-UHC-CAPI-Development/issues/758" TargetMode="External"/><Relationship Id="rId38" Type="http://schemas.openxmlformats.org/officeDocument/2006/relationships/hyperlink" Target="https://github.com/cplreyes/ASPSI-DOH-UHC-CAPI-Development/issues/56" TargetMode="External"/><Relationship Id="rId103" Type="http://schemas.openxmlformats.org/officeDocument/2006/relationships/hyperlink" Target="https://github.com/cplreyes/ASPSI-DOH-UHC-CAPI-Development/issues/122" TargetMode="External"/><Relationship Id="rId310" Type="http://schemas.openxmlformats.org/officeDocument/2006/relationships/hyperlink" Target="https://github.com/cplreyes/ASPSI-DOH-UHC-CAPI-Development/issues/374" TargetMode="External"/><Relationship Id="rId548" Type="http://schemas.openxmlformats.org/officeDocument/2006/relationships/hyperlink" Target="https://github.com/cplreyes/ASPSI-DOH-UHC-CAPI-Development/issues/612" TargetMode="External"/><Relationship Id="rId91" Type="http://schemas.openxmlformats.org/officeDocument/2006/relationships/hyperlink" Target="https://github.com/cplreyes/ASPSI-DOH-UHC-CAPI-Development/issues/109" TargetMode="External"/><Relationship Id="rId187" Type="http://schemas.openxmlformats.org/officeDocument/2006/relationships/hyperlink" Target="https://github.com/cplreyes/ASPSI-DOH-UHC-CAPI-Development/issues/207" TargetMode="External"/><Relationship Id="rId394" Type="http://schemas.openxmlformats.org/officeDocument/2006/relationships/hyperlink" Target="https://github.com/cplreyes/ASPSI-DOH-UHC-CAPI-Development/issues/458" TargetMode="External"/><Relationship Id="rId408" Type="http://schemas.openxmlformats.org/officeDocument/2006/relationships/hyperlink" Target="https://github.com/cplreyes/ASPSI-DOH-UHC-CAPI-Development/issues/472" TargetMode="External"/><Relationship Id="rId615" Type="http://schemas.openxmlformats.org/officeDocument/2006/relationships/hyperlink" Target="https://github.com/cplreyes/ASPSI-DOH-UHC-CAPI-Development/issues/680" TargetMode="External"/><Relationship Id="rId254" Type="http://schemas.openxmlformats.org/officeDocument/2006/relationships/hyperlink" Target="https://github.com/cplreyes/ASPSI-DOH-UHC-CAPI-Development/issues/275" TargetMode="External"/><Relationship Id="rId699" Type="http://schemas.openxmlformats.org/officeDocument/2006/relationships/hyperlink" Target="https://github.com/cplreyes/ASPSI-DOH-UHC-CAPI-Development/issues/769" TargetMode="External"/><Relationship Id="rId49" Type="http://schemas.openxmlformats.org/officeDocument/2006/relationships/hyperlink" Target="https://github.com/cplreyes/ASPSI-DOH-UHC-CAPI-Development/issues/67" TargetMode="External"/><Relationship Id="rId114" Type="http://schemas.openxmlformats.org/officeDocument/2006/relationships/hyperlink" Target="https://github.com/cplreyes/ASPSI-DOH-UHC-CAPI-Development/issues/133" TargetMode="External"/><Relationship Id="rId461" Type="http://schemas.openxmlformats.org/officeDocument/2006/relationships/hyperlink" Target="https://github.com/cplreyes/ASPSI-DOH-UHC-CAPI-Development/issues/525" TargetMode="External"/><Relationship Id="rId559" Type="http://schemas.openxmlformats.org/officeDocument/2006/relationships/hyperlink" Target="https://github.com/cplreyes/ASPSI-DOH-UHC-CAPI-Development/issues/624" TargetMode="External"/><Relationship Id="rId198" Type="http://schemas.openxmlformats.org/officeDocument/2006/relationships/hyperlink" Target="https://github.com/cplreyes/ASPSI-DOH-UHC-CAPI-Development/issues/218" TargetMode="External"/><Relationship Id="rId321" Type="http://schemas.openxmlformats.org/officeDocument/2006/relationships/hyperlink" Target="https://github.com/cplreyes/ASPSI-DOH-UHC-CAPI-Development/issues/385" TargetMode="External"/><Relationship Id="rId419" Type="http://schemas.openxmlformats.org/officeDocument/2006/relationships/hyperlink" Target="https://github.com/cplreyes/ASPSI-DOH-UHC-CAPI-Development/issues/483" TargetMode="External"/><Relationship Id="rId626" Type="http://schemas.openxmlformats.org/officeDocument/2006/relationships/hyperlink" Target="https://github.com/cplreyes/ASPSI-DOH-UHC-CAPI-Development/issues/691" TargetMode="External"/><Relationship Id="rId265" Type="http://schemas.openxmlformats.org/officeDocument/2006/relationships/hyperlink" Target="https://github.com/cplreyes/ASPSI-DOH-UHC-CAPI-Development/issues/297" TargetMode="External"/><Relationship Id="rId472" Type="http://schemas.openxmlformats.org/officeDocument/2006/relationships/hyperlink" Target="https://github.com/cplreyes/ASPSI-DOH-UHC-CAPI-Development/issues/536" TargetMode="External"/><Relationship Id="rId125" Type="http://schemas.openxmlformats.org/officeDocument/2006/relationships/hyperlink" Target="https://github.com/cplreyes/ASPSI-DOH-UHC-CAPI-Development/issues/145" TargetMode="External"/><Relationship Id="rId332" Type="http://schemas.openxmlformats.org/officeDocument/2006/relationships/hyperlink" Target="https://github.com/cplreyes/ASPSI-DOH-UHC-CAPI-Development/issues/396" TargetMode="External"/><Relationship Id="rId637" Type="http://schemas.openxmlformats.org/officeDocument/2006/relationships/hyperlink" Target="https://github.com/cplreyes/ASPSI-DOH-UHC-CAPI-Development/issues/702" TargetMode="External"/><Relationship Id="rId276" Type="http://schemas.openxmlformats.org/officeDocument/2006/relationships/hyperlink" Target="https://github.com/cplreyes/ASPSI-DOH-UHC-CAPI-Development/issues/308" TargetMode="External"/><Relationship Id="rId483" Type="http://schemas.openxmlformats.org/officeDocument/2006/relationships/hyperlink" Target="https://github.com/cplreyes/ASPSI-DOH-UHC-CAPI-Development/issues/547" TargetMode="External"/><Relationship Id="rId690" Type="http://schemas.openxmlformats.org/officeDocument/2006/relationships/hyperlink" Target="https://github.com/cplreyes/ASPSI-DOH-UHC-CAPI-Development/issues/760" TargetMode="External"/><Relationship Id="rId704" Type="http://schemas.openxmlformats.org/officeDocument/2006/relationships/hyperlink" Target="https://github.com/cplreyes/ASPSI-DOH-UHC-CAPI-Development/issues/774" TargetMode="External"/><Relationship Id="rId40" Type="http://schemas.openxmlformats.org/officeDocument/2006/relationships/hyperlink" Target="https://github.com/cplreyes/ASPSI-DOH-UHC-CAPI-Development/issues/58" TargetMode="External"/><Relationship Id="rId136" Type="http://schemas.openxmlformats.org/officeDocument/2006/relationships/hyperlink" Target="https://github.com/cplreyes/ASPSI-DOH-UHC-CAPI-Development/issues/156" TargetMode="External"/><Relationship Id="rId343" Type="http://schemas.openxmlformats.org/officeDocument/2006/relationships/hyperlink" Target="https://github.com/cplreyes/ASPSI-DOH-UHC-CAPI-Development/issues/407" TargetMode="External"/><Relationship Id="rId550" Type="http://schemas.openxmlformats.org/officeDocument/2006/relationships/hyperlink" Target="https://github.com/cplreyes/ASPSI-DOH-UHC-CAPI-Development/issues/614" TargetMode="External"/><Relationship Id="rId203" Type="http://schemas.openxmlformats.org/officeDocument/2006/relationships/hyperlink" Target="https://github.com/cplreyes/ASPSI-DOH-UHC-CAPI-Development/issues/223" TargetMode="External"/><Relationship Id="rId648" Type="http://schemas.openxmlformats.org/officeDocument/2006/relationships/hyperlink" Target="https://github.com/cplreyes/ASPSI-DOH-UHC-CAPI-Development/issues/716" TargetMode="External"/><Relationship Id="rId287" Type="http://schemas.openxmlformats.org/officeDocument/2006/relationships/hyperlink" Target="https://github.com/cplreyes/ASPSI-DOH-UHC-CAPI-Development/issues/319" TargetMode="External"/><Relationship Id="rId410" Type="http://schemas.openxmlformats.org/officeDocument/2006/relationships/hyperlink" Target="https://github.com/cplreyes/ASPSI-DOH-UHC-CAPI-Development/issues/474" TargetMode="External"/><Relationship Id="rId494" Type="http://schemas.openxmlformats.org/officeDocument/2006/relationships/hyperlink" Target="https://github.com/cplreyes/ASPSI-DOH-UHC-CAPI-Development/issues/558" TargetMode="External"/><Relationship Id="rId508" Type="http://schemas.openxmlformats.org/officeDocument/2006/relationships/hyperlink" Target="https://github.com/cplreyes/ASPSI-DOH-UHC-CAPI-Development/issues/572" TargetMode="External"/><Relationship Id="rId715" Type="http://schemas.openxmlformats.org/officeDocument/2006/relationships/hyperlink" Target="https://github.com/cplreyes/ASPSI-DOH-UHC-CAPI-Development/issues/785" TargetMode="External"/><Relationship Id="rId147" Type="http://schemas.openxmlformats.org/officeDocument/2006/relationships/hyperlink" Target="https://github.com/cplreyes/ASPSI-DOH-UHC-CAPI-Development/issues/167" TargetMode="External"/><Relationship Id="rId354" Type="http://schemas.openxmlformats.org/officeDocument/2006/relationships/hyperlink" Target="https://github.com/cplreyes/ASPSI-DOH-UHC-CAPI-Development/issues/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zoomScaleNormal="100" workbookViewId="0">
      <selection activeCell="B4" sqref="B4"/>
    </sheetView>
  </sheetViews>
  <sheetFormatPr defaultColWidth="8.7109375" defaultRowHeight="15" customHeight="1" x14ac:dyDescent="0.25"/>
  <cols>
    <col min="1" max="1" width="26" customWidth="1"/>
    <col min="2" max="2" width="95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1546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>
        <v>736</v>
      </c>
    </row>
    <row r="9" spans="1:2" x14ac:dyDescent="0.25">
      <c r="A9" s="3" t="s">
        <v>10</v>
      </c>
      <c r="B9" s="4">
        <v>381</v>
      </c>
    </row>
    <row r="10" spans="1:2" x14ac:dyDescent="0.25">
      <c r="A10" s="3" t="s">
        <v>11</v>
      </c>
      <c r="B10" s="4">
        <v>355</v>
      </c>
    </row>
    <row r="11" spans="1:2" x14ac:dyDescent="0.25">
      <c r="A11" s="3" t="s">
        <v>12</v>
      </c>
      <c r="B11" s="4">
        <v>0</v>
      </c>
    </row>
    <row r="13" spans="1:2" x14ac:dyDescent="0.25">
      <c r="A13" s="3" t="s">
        <v>13</v>
      </c>
    </row>
    <row r="14" spans="1:2" x14ac:dyDescent="0.25">
      <c r="A14" s="4" t="s">
        <v>14</v>
      </c>
      <c r="B14" s="4" t="s">
        <v>15</v>
      </c>
    </row>
    <row r="15" spans="1:2" x14ac:dyDescent="0.25">
      <c r="A15" s="4" t="s">
        <v>16</v>
      </c>
      <c r="B15" s="4" t="s">
        <v>17</v>
      </c>
    </row>
    <row r="16" spans="1:2" x14ac:dyDescent="0.25">
      <c r="A16" s="4" t="s">
        <v>18</v>
      </c>
      <c r="B16" s="4" t="s">
        <v>19</v>
      </c>
    </row>
    <row r="18" spans="1:8" x14ac:dyDescent="0.25">
      <c r="A18" s="3" t="s">
        <v>20</v>
      </c>
    </row>
    <row r="19" spans="1:8" x14ac:dyDescent="0.25">
      <c r="A19" s="4" t="s">
        <v>21</v>
      </c>
      <c r="B19" s="4" t="s">
        <v>22</v>
      </c>
    </row>
    <row r="20" spans="1:8" x14ac:dyDescent="0.25">
      <c r="A20" s="4" t="s">
        <v>23</v>
      </c>
      <c r="B20" s="4" t="s">
        <v>24</v>
      </c>
    </row>
    <row r="21" spans="1:8" x14ac:dyDescent="0.25">
      <c r="A21" s="4" t="s">
        <v>25</v>
      </c>
      <c r="B21" s="4" t="s">
        <v>26</v>
      </c>
    </row>
    <row r="23" spans="1:8" x14ac:dyDescent="0.25">
      <c r="A23" s="3" t="s">
        <v>27</v>
      </c>
    </row>
    <row r="24" spans="1:8" ht="15" customHeight="1" x14ac:dyDescent="0.25">
      <c r="A24" s="19" t="s">
        <v>28</v>
      </c>
      <c r="B24" s="19"/>
      <c r="C24" s="19"/>
      <c r="D24" s="19"/>
      <c r="E24" s="19"/>
      <c r="F24" s="19"/>
      <c r="G24" s="19"/>
      <c r="H24" s="19"/>
    </row>
    <row r="25" spans="1:8" ht="15" customHeight="1" x14ac:dyDescent="0.25">
      <c r="A25" s="19" t="s">
        <v>29</v>
      </c>
      <c r="B25" s="19"/>
      <c r="C25" s="19"/>
      <c r="D25" s="19"/>
      <c r="E25" s="19"/>
      <c r="F25" s="19"/>
      <c r="G25" s="19"/>
      <c r="H25" s="19"/>
    </row>
    <row r="26" spans="1:8" ht="15" customHeight="1" x14ac:dyDescent="0.25">
      <c r="A26" s="19" t="s">
        <v>30</v>
      </c>
      <c r="B26" s="19"/>
      <c r="C26" s="19"/>
      <c r="D26" s="19"/>
      <c r="E26" s="19"/>
      <c r="F26" s="19"/>
      <c r="G26" s="19"/>
      <c r="H26" s="19"/>
    </row>
    <row r="27" spans="1:8" ht="15" customHeight="1" x14ac:dyDescent="0.25">
      <c r="A27" s="19" t="s">
        <v>31</v>
      </c>
      <c r="B27" s="19"/>
      <c r="C27" s="19"/>
      <c r="D27" s="19"/>
      <c r="E27" s="19"/>
      <c r="F27" s="19"/>
      <c r="G27" s="19"/>
      <c r="H27" s="19"/>
    </row>
  </sheetData>
  <mergeCells count="4">
    <mergeCell ref="A24:H24"/>
    <mergeCell ref="A25:H25"/>
    <mergeCell ref="A26:H26"/>
    <mergeCell ref="A27:H27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8" customWidth="1"/>
    <col min="2" max="2" width="26" customWidth="1"/>
    <col min="3" max="3" width="30" customWidth="1"/>
    <col min="4" max="4" width="13" customWidth="1"/>
    <col min="5" max="5" width="9" customWidth="1"/>
    <col min="6" max="6" width="10" customWidth="1"/>
    <col min="7" max="7" width="13" customWidth="1"/>
    <col min="8" max="10" width="7" customWidth="1"/>
    <col min="11" max="12" width="9" customWidth="1"/>
    <col min="13" max="13" width="8" customWidth="1"/>
  </cols>
  <sheetData>
    <row r="1" spans="1:13" ht="18" x14ac:dyDescent="0.25">
      <c r="A1" s="1" t="s">
        <v>32</v>
      </c>
    </row>
    <row r="2" spans="1:13" x14ac:dyDescent="0.25">
      <c r="A2" s="2" t="s">
        <v>33</v>
      </c>
    </row>
    <row r="4" spans="1:13" ht="25.5" x14ac:dyDescent="0.25">
      <c r="A4" s="5" t="s">
        <v>34</v>
      </c>
      <c r="B4" s="5" t="s">
        <v>35</v>
      </c>
      <c r="C4" s="5" t="s">
        <v>36</v>
      </c>
      <c r="D4" s="5" t="s">
        <v>37</v>
      </c>
      <c r="E4" s="5" t="s">
        <v>21</v>
      </c>
      <c r="F4" s="5" t="s">
        <v>23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</row>
    <row r="5" spans="1:13" x14ac:dyDescent="0.25">
      <c r="A5" s="6" t="s">
        <v>45</v>
      </c>
      <c r="B5" s="7" t="s">
        <v>46</v>
      </c>
      <c r="C5" s="7" t="s">
        <v>47</v>
      </c>
      <c r="D5" s="8">
        <f>COUNTIF('UAT Tickets'!$A:$A,A5)</f>
        <v>11</v>
      </c>
      <c r="E5" s="8">
        <f>COUNTIFS('UAT Tickets'!$A:$A,A5,'UAT Tickets'!$L:$L,"Fixed")</f>
        <v>11</v>
      </c>
      <c r="F5" s="8">
        <f>COUNTIFS('UAT Tickets'!$A:$A,A5,'UAT Tickets'!$L:$L,"Deferred")</f>
        <v>0</v>
      </c>
      <c r="G5" s="8">
        <f>COUNTIFS('UAT Tickets'!$A:$A,A5,'UAT Tickets'!$I:$I,"UAT form")</f>
        <v>0</v>
      </c>
      <c r="H5" s="8">
        <f>COUNTIFS('UAT Tickets'!$A:$A,A5,'UAT Tickets'!$C:$C,"F1 — Facility Head")</f>
        <v>0</v>
      </c>
      <c r="I5" s="8">
        <f>COUNTIFS('UAT Tickets'!$A:$A,A5,'UAT Tickets'!$C:$C,"F3 — Patient")</f>
        <v>0</v>
      </c>
      <c r="J5" s="8">
        <f>COUNTIFS('UAT Tickets'!$A:$A,A5,'UAT Tickets'!$C:$C,"F4 — Household")</f>
        <v>0</v>
      </c>
      <c r="K5" s="8">
        <f>COUNTIFS('UAT Tickets'!$A:$A,A5,'UAT Tickets'!$C:$C,"F2 — HCW (PWA)")</f>
        <v>11</v>
      </c>
      <c r="L5" s="8">
        <f>COUNTIFS('UAT Tickets'!$A:$A,A5,'UAT Tickets'!$C:$C,"F2 Admin Portal")</f>
        <v>0</v>
      </c>
      <c r="M5" s="8">
        <f>COUNTIFS('UAT Tickets'!$A:$A,A5,'UAT Tickets'!$C:$C,"CSWeb")</f>
        <v>0</v>
      </c>
    </row>
    <row r="6" spans="1:13" x14ac:dyDescent="0.25">
      <c r="A6" s="6" t="s">
        <v>48</v>
      </c>
      <c r="B6" s="7" t="s">
        <v>46</v>
      </c>
      <c r="C6" s="7" t="s">
        <v>49</v>
      </c>
      <c r="D6" s="8">
        <f>COUNTIF('UAT Tickets'!$A:$A,A6)</f>
        <v>52</v>
      </c>
      <c r="E6" s="8">
        <f>COUNTIFS('UAT Tickets'!$A:$A,A6,'UAT Tickets'!$L:$L,"Fixed")</f>
        <v>50</v>
      </c>
      <c r="F6" s="8">
        <f>COUNTIFS('UAT Tickets'!$A:$A,A6,'UAT Tickets'!$L:$L,"Deferred")</f>
        <v>2</v>
      </c>
      <c r="G6" s="8">
        <f>COUNTIFS('UAT Tickets'!$A:$A,A6,'UAT Tickets'!$I:$I,"UAT form")</f>
        <v>0</v>
      </c>
      <c r="H6" s="8">
        <f>COUNTIFS('UAT Tickets'!$A:$A,A6,'UAT Tickets'!$C:$C,"F1 — Facility Head")</f>
        <v>0</v>
      </c>
      <c r="I6" s="8">
        <f>COUNTIFS('UAT Tickets'!$A:$A,A6,'UAT Tickets'!$C:$C,"F3 — Patient")</f>
        <v>0</v>
      </c>
      <c r="J6" s="8">
        <f>COUNTIFS('UAT Tickets'!$A:$A,A6,'UAT Tickets'!$C:$C,"F4 — Household")</f>
        <v>0</v>
      </c>
      <c r="K6" s="8">
        <f>COUNTIFS('UAT Tickets'!$A:$A,A6,'UAT Tickets'!$C:$C,"F2 — HCW (PWA)")</f>
        <v>19</v>
      </c>
      <c r="L6" s="8">
        <f>COUNTIFS('UAT Tickets'!$A:$A,A6,'UAT Tickets'!$C:$C,"F2 Admin Portal")</f>
        <v>33</v>
      </c>
      <c r="M6" s="8">
        <f>COUNTIFS('UAT Tickets'!$A:$A,A6,'UAT Tickets'!$C:$C,"CSWeb")</f>
        <v>0</v>
      </c>
    </row>
    <row r="7" spans="1:13" x14ac:dyDescent="0.25">
      <c r="A7" s="6" t="s">
        <v>50</v>
      </c>
      <c r="B7" s="7" t="s">
        <v>46</v>
      </c>
      <c r="C7" s="7" t="s">
        <v>51</v>
      </c>
      <c r="D7" s="8">
        <f>COUNTIF('UAT Tickets'!$A:$A,A7)</f>
        <v>35</v>
      </c>
      <c r="E7" s="8">
        <f>COUNTIFS('UAT Tickets'!$A:$A,A7,'UAT Tickets'!$L:$L,"Fixed")</f>
        <v>33</v>
      </c>
      <c r="F7" s="8">
        <f>COUNTIFS('UAT Tickets'!$A:$A,A7,'UAT Tickets'!$L:$L,"Deferred")</f>
        <v>2</v>
      </c>
      <c r="G7" s="8">
        <f>COUNTIFS('UAT Tickets'!$A:$A,A7,'UAT Tickets'!$I:$I,"UAT form")</f>
        <v>0</v>
      </c>
      <c r="H7" s="8">
        <f>COUNTIFS('UAT Tickets'!$A:$A,A7,'UAT Tickets'!$C:$C,"F1 — Facility Head")</f>
        <v>0</v>
      </c>
      <c r="I7" s="8">
        <f>COUNTIFS('UAT Tickets'!$A:$A,A7,'UAT Tickets'!$C:$C,"F3 — Patient")</f>
        <v>0</v>
      </c>
      <c r="J7" s="8">
        <f>COUNTIFS('UAT Tickets'!$A:$A,A7,'UAT Tickets'!$C:$C,"F4 — Household")</f>
        <v>0</v>
      </c>
      <c r="K7" s="8">
        <f>COUNTIFS('UAT Tickets'!$A:$A,A7,'UAT Tickets'!$C:$C,"F2 — HCW (PWA)")</f>
        <v>35</v>
      </c>
      <c r="L7" s="8">
        <f>COUNTIFS('UAT Tickets'!$A:$A,A7,'UAT Tickets'!$C:$C,"F2 Admin Portal")</f>
        <v>0</v>
      </c>
      <c r="M7" s="8">
        <f>COUNTIFS('UAT Tickets'!$A:$A,A7,'UAT Tickets'!$C:$C,"CSWeb")</f>
        <v>0</v>
      </c>
    </row>
    <row r="8" spans="1:13" x14ac:dyDescent="0.25">
      <c r="A8" s="6" t="s">
        <v>16</v>
      </c>
      <c r="B8" s="7" t="s">
        <v>52</v>
      </c>
      <c r="C8" s="7" t="s">
        <v>53</v>
      </c>
      <c r="D8" s="8">
        <f>COUNTIF('UAT Tickets'!$A:$A,A8)</f>
        <v>204</v>
      </c>
      <c r="E8" s="8">
        <f>COUNTIFS('UAT Tickets'!$A:$A,A8,'UAT Tickets'!$L:$L,"Fixed")</f>
        <v>199</v>
      </c>
      <c r="F8" s="8">
        <f>COUNTIFS('UAT Tickets'!$A:$A,A8,'UAT Tickets'!$L:$L,"Deferred")</f>
        <v>5</v>
      </c>
      <c r="G8" s="8">
        <f>COUNTIFS('UAT Tickets'!$A:$A,A8,'UAT Tickets'!$I:$I,"UAT form")</f>
        <v>96</v>
      </c>
      <c r="H8" s="8">
        <f>COUNTIFS('UAT Tickets'!$A:$A,A8,'UAT Tickets'!$C:$C,"F1 — Facility Head")</f>
        <v>28</v>
      </c>
      <c r="I8" s="8">
        <f>COUNTIFS('UAT Tickets'!$A:$A,A8,'UAT Tickets'!$C:$C,"F3 — Patient")</f>
        <v>38</v>
      </c>
      <c r="J8" s="8">
        <f>COUNTIFS('UAT Tickets'!$A:$A,A8,'UAT Tickets'!$C:$C,"F4 — Household")</f>
        <v>93</v>
      </c>
      <c r="K8" s="8">
        <f>COUNTIFS('UAT Tickets'!$A:$A,A8,'UAT Tickets'!$C:$C,"F2 — HCW (PWA)")</f>
        <v>0</v>
      </c>
      <c r="L8" s="8">
        <f>COUNTIFS('UAT Tickets'!$A:$A,A8,'UAT Tickets'!$C:$C,"F2 Admin Portal")</f>
        <v>0</v>
      </c>
      <c r="M8" s="8">
        <f>COUNTIFS('UAT Tickets'!$A:$A,A8,'UAT Tickets'!$C:$C,"CSWeb")</f>
        <v>0</v>
      </c>
    </row>
    <row r="9" spans="1:13" x14ac:dyDescent="0.25">
      <c r="A9" s="6" t="s">
        <v>18</v>
      </c>
      <c r="B9" s="7" t="s">
        <v>52</v>
      </c>
      <c r="C9" s="7" t="s">
        <v>54</v>
      </c>
      <c r="D9" s="8">
        <f>COUNTIF('UAT Tickets'!$A:$A,A9)</f>
        <v>79</v>
      </c>
      <c r="E9" s="8">
        <f>COUNTIFS('UAT Tickets'!$A:$A,A9,'UAT Tickets'!$L:$L,"Fixed")</f>
        <v>78</v>
      </c>
      <c r="F9" s="8">
        <f>COUNTIFS('UAT Tickets'!$A:$A,A9,'UAT Tickets'!$L:$L,"Deferred")</f>
        <v>1</v>
      </c>
      <c r="G9" s="8">
        <f>COUNTIFS('UAT Tickets'!$A:$A,A9,'UAT Tickets'!$I:$I,"UAT form")</f>
        <v>4</v>
      </c>
      <c r="H9" s="8">
        <f>COUNTIFS('UAT Tickets'!$A:$A,A9,'UAT Tickets'!$C:$C,"F1 — Facility Head")</f>
        <v>5</v>
      </c>
      <c r="I9" s="8">
        <f>COUNTIFS('UAT Tickets'!$A:$A,A9,'UAT Tickets'!$C:$C,"F3 — Patient")</f>
        <v>39</v>
      </c>
      <c r="J9" s="8">
        <f>COUNTIFS('UAT Tickets'!$A:$A,A9,'UAT Tickets'!$C:$C,"F4 — Household")</f>
        <v>27</v>
      </c>
      <c r="K9" s="8">
        <f>COUNTIFS('UAT Tickets'!$A:$A,A9,'UAT Tickets'!$C:$C,"F2 — HCW (PWA)")</f>
        <v>2</v>
      </c>
      <c r="L9" s="8">
        <f>COUNTIFS('UAT Tickets'!$A:$A,A9,'UAT Tickets'!$C:$C,"F2 Admin Portal")</f>
        <v>0</v>
      </c>
      <c r="M9" s="8">
        <f>COUNTIFS('UAT Tickets'!$A:$A,A9,'UAT Tickets'!$C:$C,"CSWeb")</f>
        <v>0</v>
      </c>
    </row>
    <row r="10" spans="1:13" x14ac:dyDescent="0.25">
      <c r="A10" s="9" t="s">
        <v>55</v>
      </c>
      <c r="B10" s="10" t="s">
        <v>56</v>
      </c>
      <c r="C10" s="11"/>
      <c r="D10" s="12">
        <f t="shared" ref="D10:M10" si="0">SUM(D5:D9)</f>
        <v>381</v>
      </c>
      <c r="E10" s="12">
        <f t="shared" si="0"/>
        <v>371</v>
      </c>
      <c r="F10" s="12">
        <f t="shared" si="0"/>
        <v>10</v>
      </c>
      <c r="G10" s="12">
        <f t="shared" si="0"/>
        <v>100</v>
      </c>
      <c r="H10" s="12">
        <f t="shared" si="0"/>
        <v>33</v>
      </c>
      <c r="I10" s="12">
        <f t="shared" si="0"/>
        <v>77</v>
      </c>
      <c r="J10" s="12">
        <f t="shared" si="0"/>
        <v>120</v>
      </c>
      <c r="K10" s="12">
        <f t="shared" si="0"/>
        <v>67</v>
      </c>
      <c r="L10" s="12">
        <f t="shared" si="0"/>
        <v>33</v>
      </c>
      <c r="M10" s="12">
        <f t="shared" si="0"/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4"/>
  <sheetViews>
    <sheetView showGridLines="0" topLeftCell="B1" zoomScaleNormal="100" workbookViewId="0">
      <pane ySplit="3" topLeftCell="A4" activePane="bottomLeft" state="frozen"/>
      <selection pane="bottomLeft" activeCell="N11" sqref="N11"/>
    </sheetView>
  </sheetViews>
  <sheetFormatPr defaultColWidth="8.7109375" defaultRowHeight="15" customHeight="1" x14ac:dyDescent="0.25"/>
  <cols>
    <col min="1" max="1" width="8" customWidth="1"/>
    <col min="2" max="2" width="26" customWidth="1"/>
    <col min="3" max="3" width="20" customWidth="1"/>
    <col min="4" max="4" width="9" customWidth="1"/>
    <col min="5" max="5" width="60" customWidth="1"/>
    <col min="6" max="6" width="15" customWidth="1"/>
    <col min="7" max="7" width="12" customWidth="1"/>
    <col min="8" max="8" width="10" customWidth="1"/>
    <col min="9" max="9" width="14" customWidth="1"/>
    <col min="10" max="12" width="12" customWidth="1"/>
    <col min="13" max="13" width="32" customWidth="1"/>
    <col min="14" max="14" width="46" customWidth="1"/>
  </cols>
  <sheetData>
    <row r="1" spans="1:14" ht="18" x14ac:dyDescent="0.25">
      <c r="A1" s="18" t="s">
        <v>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25">
      <c r="A3" s="5" t="s">
        <v>34</v>
      </c>
      <c r="B3" s="5" t="s">
        <v>35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  <c r="I3" s="5" t="s">
        <v>64</v>
      </c>
      <c r="J3" s="5" t="s">
        <v>65</v>
      </c>
      <c r="K3" s="5" t="s">
        <v>66</v>
      </c>
      <c r="L3" s="5" t="s">
        <v>67</v>
      </c>
      <c r="M3" s="5" t="s">
        <v>68</v>
      </c>
      <c r="N3" s="5" t="s">
        <v>69</v>
      </c>
    </row>
    <row r="4" spans="1:14" ht="25.5" x14ac:dyDescent="0.25">
      <c r="A4" s="8" t="s">
        <v>45</v>
      </c>
      <c r="B4" s="13" t="s">
        <v>46</v>
      </c>
      <c r="C4" s="13" t="s">
        <v>70</v>
      </c>
      <c r="D4" s="8">
        <v>1</v>
      </c>
      <c r="E4" s="13" t="s">
        <v>71</v>
      </c>
      <c r="F4" s="8" t="s">
        <v>72</v>
      </c>
      <c r="G4" s="13" t="s">
        <v>73</v>
      </c>
      <c r="H4" s="8" t="s">
        <v>74</v>
      </c>
      <c r="I4" s="13" t="s">
        <v>75</v>
      </c>
      <c r="J4" s="14">
        <v>46135</v>
      </c>
      <c r="K4" s="14">
        <v>46137</v>
      </c>
      <c r="L4" s="15" t="s">
        <v>21</v>
      </c>
      <c r="M4" s="13" t="s">
        <v>76</v>
      </c>
      <c r="N4" s="16" t="s">
        <v>77</v>
      </c>
    </row>
    <row r="5" spans="1:14" ht="25.5" x14ac:dyDescent="0.25">
      <c r="A5" s="8" t="s">
        <v>45</v>
      </c>
      <c r="B5" s="13" t="s">
        <v>46</v>
      </c>
      <c r="C5" s="13" t="s">
        <v>70</v>
      </c>
      <c r="D5" s="8">
        <v>2</v>
      </c>
      <c r="E5" s="13" t="s">
        <v>78</v>
      </c>
      <c r="F5" s="8" t="s">
        <v>72</v>
      </c>
      <c r="G5" s="13" t="s">
        <v>79</v>
      </c>
      <c r="H5" s="8" t="s">
        <v>74</v>
      </c>
      <c r="I5" s="13" t="s">
        <v>75</v>
      </c>
      <c r="J5" s="14">
        <v>46135</v>
      </c>
      <c r="K5" s="14">
        <v>46137</v>
      </c>
      <c r="L5" s="15" t="s">
        <v>21</v>
      </c>
      <c r="M5" s="13" t="s">
        <v>76</v>
      </c>
      <c r="N5" s="16" t="s">
        <v>80</v>
      </c>
    </row>
    <row r="6" spans="1:14" ht="25.5" x14ac:dyDescent="0.25">
      <c r="A6" s="8" t="s">
        <v>45</v>
      </c>
      <c r="B6" s="13" t="s">
        <v>46</v>
      </c>
      <c r="C6" s="13" t="s">
        <v>70</v>
      </c>
      <c r="D6" s="8">
        <v>3</v>
      </c>
      <c r="E6" s="13" t="s">
        <v>81</v>
      </c>
      <c r="F6" s="8" t="s">
        <v>72</v>
      </c>
      <c r="G6" s="13" t="s">
        <v>73</v>
      </c>
      <c r="H6" s="8" t="s">
        <v>74</v>
      </c>
      <c r="I6" s="13" t="s">
        <v>75</v>
      </c>
      <c r="J6" s="14">
        <v>46135</v>
      </c>
      <c r="K6" s="14">
        <v>46137</v>
      </c>
      <c r="L6" s="15" t="s">
        <v>21</v>
      </c>
      <c r="M6" s="13" t="s">
        <v>76</v>
      </c>
      <c r="N6" s="16" t="s">
        <v>82</v>
      </c>
    </row>
    <row r="7" spans="1:14" ht="25.5" x14ac:dyDescent="0.25">
      <c r="A7" s="8" t="s">
        <v>45</v>
      </c>
      <c r="B7" s="13" t="s">
        <v>46</v>
      </c>
      <c r="C7" s="13" t="s">
        <v>70</v>
      </c>
      <c r="D7" s="8">
        <v>4</v>
      </c>
      <c r="E7" s="13" t="s">
        <v>71</v>
      </c>
      <c r="F7" s="8" t="s">
        <v>72</v>
      </c>
      <c r="G7" s="13" t="s">
        <v>73</v>
      </c>
      <c r="H7" s="8" t="s">
        <v>74</v>
      </c>
      <c r="I7" s="13" t="s">
        <v>75</v>
      </c>
      <c r="J7" s="14">
        <v>46135</v>
      </c>
      <c r="K7" s="14">
        <v>46137</v>
      </c>
      <c r="L7" s="15" t="s">
        <v>21</v>
      </c>
      <c r="M7" s="13" t="s">
        <v>76</v>
      </c>
      <c r="N7" s="16" t="s">
        <v>83</v>
      </c>
    </row>
    <row r="8" spans="1:14" ht="25.5" x14ac:dyDescent="0.25">
      <c r="A8" s="8" t="s">
        <v>45</v>
      </c>
      <c r="B8" s="13" t="s">
        <v>46</v>
      </c>
      <c r="C8" s="13" t="s">
        <v>70</v>
      </c>
      <c r="D8" s="8">
        <v>5</v>
      </c>
      <c r="E8" s="13" t="s">
        <v>81</v>
      </c>
      <c r="F8" s="8" t="s">
        <v>72</v>
      </c>
      <c r="G8" s="13" t="s">
        <v>73</v>
      </c>
      <c r="H8" s="8" t="s">
        <v>74</v>
      </c>
      <c r="I8" s="13" t="s">
        <v>75</v>
      </c>
      <c r="J8" s="14">
        <v>46135</v>
      </c>
      <c r="K8" s="14">
        <v>46137</v>
      </c>
      <c r="L8" s="15" t="s">
        <v>21</v>
      </c>
      <c r="M8" s="13" t="s">
        <v>76</v>
      </c>
      <c r="N8" s="16" t="s">
        <v>84</v>
      </c>
    </row>
    <row r="9" spans="1:14" ht="25.5" x14ac:dyDescent="0.25">
      <c r="A9" s="8" t="s">
        <v>45</v>
      </c>
      <c r="B9" s="13" t="s">
        <v>46</v>
      </c>
      <c r="C9" s="13" t="s">
        <v>70</v>
      </c>
      <c r="D9" s="8">
        <v>6</v>
      </c>
      <c r="E9" s="13" t="s">
        <v>85</v>
      </c>
      <c r="F9" s="8" t="s">
        <v>72</v>
      </c>
      <c r="G9" s="13" t="s">
        <v>86</v>
      </c>
      <c r="H9" s="8" t="s">
        <v>87</v>
      </c>
      <c r="I9" s="13" t="s">
        <v>75</v>
      </c>
      <c r="J9" s="14">
        <v>46135</v>
      </c>
      <c r="K9" s="14">
        <v>46137</v>
      </c>
      <c r="L9" s="15" t="s">
        <v>21</v>
      </c>
      <c r="M9" s="13" t="s">
        <v>76</v>
      </c>
      <c r="N9" s="16" t="s">
        <v>88</v>
      </c>
    </row>
    <row r="10" spans="1:14" ht="25.5" x14ac:dyDescent="0.25">
      <c r="A10" s="8" t="s">
        <v>45</v>
      </c>
      <c r="B10" s="13" t="s">
        <v>46</v>
      </c>
      <c r="C10" s="13" t="s">
        <v>70</v>
      </c>
      <c r="D10" s="8">
        <v>8</v>
      </c>
      <c r="E10" s="13" t="s">
        <v>89</v>
      </c>
      <c r="F10" s="8" t="s">
        <v>72</v>
      </c>
      <c r="G10" s="13" t="s">
        <v>86</v>
      </c>
      <c r="H10" s="8" t="s">
        <v>87</v>
      </c>
      <c r="I10" s="13" t="s">
        <v>75</v>
      </c>
      <c r="J10" s="14">
        <v>46136</v>
      </c>
      <c r="K10" s="14">
        <v>46137</v>
      </c>
      <c r="L10" s="15" t="s">
        <v>21</v>
      </c>
      <c r="M10" s="13" t="s">
        <v>76</v>
      </c>
      <c r="N10" s="16" t="s">
        <v>90</v>
      </c>
    </row>
    <row r="11" spans="1:14" ht="25.5" x14ac:dyDescent="0.25">
      <c r="A11" s="8" t="s">
        <v>45</v>
      </c>
      <c r="B11" s="13" t="s">
        <v>46</v>
      </c>
      <c r="C11" s="13" t="s">
        <v>70</v>
      </c>
      <c r="D11" s="8">
        <v>10</v>
      </c>
      <c r="E11" s="13" t="s">
        <v>91</v>
      </c>
      <c r="F11" s="8" t="s">
        <v>92</v>
      </c>
      <c r="G11" s="13"/>
      <c r="H11" s="8" t="s">
        <v>93</v>
      </c>
      <c r="I11" s="13" t="s">
        <v>75</v>
      </c>
      <c r="J11" s="14">
        <v>46136</v>
      </c>
      <c r="K11" s="14">
        <v>46137</v>
      </c>
      <c r="L11" s="15" t="s">
        <v>21</v>
      </c>
      <c r="M11" s="13" t="s">
        <v>76</v>
      </c>
      <c r="N11" s="16" t="s">
        <v>94</v>
      </c>
    </row>
    <row r="12" spans="1:14" ht="25.5" x14ac:dyDescent="0.25">
      <c r="A12" s="8" t="s">
        <v>45</v>
      </c>
      <c r="B12" s="13" t="s">
        <v>46</v>
      </c>
      <c r="C12" s="13" t="s">
        <v>70</v>
      </c>
      <c r="D12" s="8">
        <v>11</v>
      </c>
      <c r="E12" s="13" t="s">
        <v>95</v>
      </c>
      <c r="F12" s="8" t="s">
        <v>72</v>
      </c>
      <c r="G12" s="13" t="s">
        <v>86</v>
      </c>
      <c r="H12" s="8" t="s">
        <v>87</v>
      </c>
      <c r="I12" s="13" t="s">
        <v>75</v>
      </c>
      <c r="J12" s="14">
        <v>46136</v>
      </c>
      <c r="K12" s="14">
        <v>46137</v>
      </c>
      <c r="L12" s="15" t="s">
        <v>21</v>
      </c>
      <c r="M12" s="13" t="s">
        <v>76</v>
      </c>
      <c r="N12" s="16" t="s">
        <v>96</v>
      </c>
    </row>
    <row r="13" spans="1:14" ht="25.5" x14ac:dyDescent="0.25">
      <c r="A13" s="8" t="s">
        <v>45</v>
      </c>
      <c r="B13" s="13" t="s">
        <v>46</v>
      </c>
      <c r="C13" s="13" t="s">
        <v>70</v>
      </c>
      <c r="D13" s="8">
        <v>12</v>
      </c>
      <c r="E13" s="13" t="s">
        <v>97</v>
      </c>
      <c r="F13" s="8" t="s">
        <v>72</v>
      </c>
      <c r="G13" s="13" t="s">
        <v>98</v>
      </c>
      <c r="H13" s="8" t="s">
        <v>87</v>
      </c>
      <c r="I13" s="13" t="s">
        <v>75</v>
      </c>
      <c r="J13" s="14">
        <v>46136</v>
      </c>
      <c r="K13" s="14">
        <v>46137</v>
      </c>
      <c r="L13" s="15" t="s">
        <v>21</v>
      </c>
      <c r="M13" s="13" t="s">
        <v>76</v>
      </c>
      <c r="N13" s="16" t="s">
        <v>99</v>
      </c>
    </row>
    <row r="14" spans="1:14" ht="25.5" x14ac:dyDescent="0.25">
      <c r="A14" s="8" t="s">
        <v>45</v>
      </c>
      <c r="B14" s="13" t="s">
        <v>46</v>
      </c>
      <c r="C14" s="13" t="s">
        <v>70</v>
      </c>
      <c r="D14" s="8">
        <v>13</v>
      </c>
      <c r="E14" s="13" t="s">
        <v>100</v>
      </c>
      <c r="F14" s="8" t="s">
        <v>72</v>
      </c>
      <c r="G14" s="13" t="s">
        <v>86</v>
      </c>
      <c r="H14" s="8" t="s">
        <v>87</v>
      </c>
      <c r="I14" s="13" t="s">
        <v>75</v>
      </c>
      <c r="J14" s="14">
        <v>46137</v>
      </c>
      <c r="K14" s="14">
        <v>46137</v>
      </c>
      <c r="L14" s="15" t="s">
        <v>21</v>
      </c>
      <c r="M14" s="13" t="s">
        <v>76</v>
      </c>
      <c r="N14" s="16" t="s">
        <v>101</v>
      </c>
    </row>
    <row r="15" spans="1:14" ht="25.5" x14ac:dyDescent="0.25">
      <c r="A15" s="8" t="s">
        <v>48</v>
      </c>
      <c r="B15" s="13" t="s">
        <v>46</v>
      </c>
      <c r="C15" s="13" t="s">
        <v>70</v>
      </c>
      <c r="D15" s="8">
        <v>14</v>
      </c>
      <c r="E15" s="13" t="s">
        <v>102</v>
      </c>
      <c r="F15" s="8" t="s">
        <v>72</v>
      </c>
      <c r="G15" s="13" t="s">
        <v>73</v>
      </c>
      <c r="H15" s="8" t="s">
        <v>74</v>
      </c>
      <c r="I15" s="13" t="s">
        <v>75</v>
      </c>
      <c r="J15" s="14">
        <v>46137</v>
      </c>
      <c r="K15" s="14">
        <v>46137</v>
      </c>
      <c r="L15" s="15" t="s">
        <v>21</v>
      </c>
      <c r="M15" s="13" t="s">
        <v>76</v>
      </c>
      <c r="N15" s="16" t="s">
        <v>103</v>
      </c>
    </row>
    <row r="16" spans="1:14" ht="25.5" x14ac:dyDescent="0.25">
      <c r="A16" s="8" t="s">
        <v>48</v>
      </c>
      <c r="B16" s="13" t="s">
        <v>46</v>
      </c>
      <c r="C16" s="13" t="s">
        <v>70</v>
      </c>
      <c r="D16" s="8">
        <v>15</v>
      </c>
      <c r="E16" s="13" t="s">
        <v>104</v>
      </c>
      <c r="F16" s="8" t="s">
        <v>72</v>
      </c>
      <c r="G16" s="13" t="s">
        <v>86</v>
      </c>
      <c r="H16" s="8" t="s">
        <v>93</v>
      </c>
      <c r="I16" s="13" t="s">
        <v>75</v>
      </c>
      <c r="J16" s="14">
        <v>46137</v>
      </c>
      <c r="K16" s="14">
        <v>46137</v>
      </c>
      <c r="L16" s="15" t="s">
        <v>21</v>
      </c>
      <c r="M16" s="13" t="s">
        <v>76</v>
      </c>
      <c r="N16" s="16" t="s">
        <v>105</v>
      </c>
    </row>
    <row r="17" spans="1:14" ht="25.5" x14ac:dyDescent="0.25">
      <c r="A17" s="8" t="s">
        <v>48</v>
      </c>
      <c r="B17" s="13" t="s">
        <v>46</v>
      </c>
      <c r="C17" s="13" t="s">
        <v>70</v>
      </c>
      <c r="D17" s="8">
        <v>16</v>
      </c>
      <c r="E17" s="13" t="s">
        <v>106</v>
      </c>
      <c r="F17" s="8" t="s">
        <v>72</v>
      </c>
      <c r="G17" s="13" t="s">
        <v>79</v>
      </c>
      <c r="H17" s="8" t="s">
        <v>74</v>
      </c>
      <c r="I17" s="13" t="s">
        <v>75</v>
      </c>
      <c r="J17" s="14">
        <v>46137</v>
      </c>
      <c r="K17" s="14">
        <v>46143</v>
      </c>
      <c r="L17" s="15" t="s">
        <v>21</v>
      </c>
      <c r="M17" s="13" t="s">
        <v>76</v>
      </c>
      <c r="N17" s="16" t="s">
        <v>107</v>
      </c>
    </row>
    <row r="18" spans="1:14" ht="25.5" x14ac:dyDescent="0.25">
      <c r="A18" s="8" t="s">
        <v>48</v>
      </c>
      <c r="B18" s="13" t="s">
        <v>46</v>
      </c>
      <c r="C18" s="13" t="s">
        <v>70</v>
      </c>
      <c r="D18" s="8">
        <v>17</v>
      </c>
      <c r="E18" s="13" t="s">
        <v>108</v>
      </c>
      <c r="F18" s="8" t="s">
        <v>72</v>
      </c>
      <c r="G18" s="13" t="s">
        <v>79</v>
      </c>
      <c r="H18" s="8" t="s">
        <v>74</v>
      </c>
      <c r="I18" s="13" t="s">
        <v>75</v>
      </c>
      <c r="J18" s="14">
        <v>46137</v>
      </c>
      <c r="K18" s="14">
        <v>46143</v>
      </c>
      <c r="L18" s="15" t="s">
        <v>21</v>
      </c>
      <c r="M18" s="13" t="s">
        <v>76</v>
      </c>
      <c r="N18" s="16" t="s">
        <v>109</v>
      </c>
    </row>
    <row r="19" spans="1:14" ht="25.5" x14ac:dyDescent="0.25">
      <c r="A19" s="8" t="s">
        <v>48</v>
      </c>
      <c r="B19" s="13" t="s">
        <v>46</v>
      </c>
      <c r="C19" s="13" t="s">
        <v>70</v>
      </c>
      <c r="D19" s="8">
        <v>18</v>
      </c>
      <c r="E19" s="13" t="s">
        <v>110</v>
      </c>
      <c r="F19" s="8" t="s">
        <v>111</v>
      </c>
      <c r="G19" s="13" t="s">
        <v>79</v>
      </c>
      <c r="H19" s="8" t="s">
        <v>112</v>
      </c>
      <c r="I19" s="13" t="s">
        <v>75</v>
      </c>
      <c r="J19" s="14">
        <v>46137</v>
      </c>
      <c r="K19" s="14">
        <v>46143</v>
      </c>
      <c r="L19" s="15" t="s">
        <v>21</v>
      </c>
      <c r="M19" s="13" t="s">
        <v>76</v>
      </c>
      <c r="N19" s="16" t="s">
        <v>113</v>
      </c>
    </row>
    <row r="20" spans="1:14" ht="24" x14ac:dyDescent="0.25">
      <c r="A20" s="8" t="s">
        <v>48</v>
      </c>
      <c r="B20" s="13" t="s">
        <v>46</v>
      </c>
      <c r="C20" s="13" t="s">
        <v>70</v>
      </c>
      <c r="D20" s="8">
        <v>108</v>
      </c>
      <c r="E20" s="13" t="s">
        <v>114</v>
      </c>
      <c r="F20" s="8" t="s">
        <v>92</v>
      </c>
      <c r="G20" s="13" t="s">
        <v>79</v>
      </c>
      <c r="H20" s="8" t="s">
        <v>112</v>
      </c>
      <c r="I20" s="13" t="s">
        <v>75</v>
      </c>
      <c r="J20" s="14">
        <v>46149</v>
      </c>
      <c r="K20" s="14">
        <v>46151</v>
      </c>
      <c r="L20" s="15" t="s">
        <v>21</v>
      </c>
      <c r="M20" s="13"/>
      <c r="N20" s="16" t="s">
        <v>115</v>
      </c>
    </row>
    <row r="21" spans="1:14" ht="24" x14ac:dyDescent="0.25">
      <c r="A21" s="8" t="s">
        <v>48</v>
      </c>
      <c r="B21" s="13" t="s">
        <v>46</v>
      </c>
      <c r="C21" s="13" t="s">
        <v>70</v>
      </c>
      <c r="D21" s="8">
        <v>109</v>
      </c>
      <c r="E21" s="13" t="s">
        <v>116</v>
      </c>
      <c r="F21" s="8" t="s">
        <v>92</v>
      </c>
      <c r="G21" s="13" t="s">
        <v>98</v>
      </c>
      <c r="H21" s="8" t="s">
        <v>112</v>
      </c>
      <c r="I21" s="13" t="s">
        <v>75</v>
      </c>
      <c r="J21" s="14">
        <v>46149</v>
      </c>
      <c r="K21" s="14">
        <v>46151</v>
      </c>
      <c r="L21" s="15" t="s">
        <v>21</v>
      </c>
      <c r="M21" s="13"/>
      <c r="N21" s="16" t="s">
        <v>117</v>
      </c>
    </row>
    <row r="22" spans="1:14" ht="24" x14ac:dyDescent="0.25">
      <c r="A22" s="8" t="s">
        <v>48</v>
      </c>
      <c r="B22" s="13" t="s">
        <v>46</v>
      </c>
      <c r="C22" s="13" t="s">
        <v>70</v>
      </c>
      <c r="D22" s="8">
        <v>110</v>
      </c>
      <c r="E22" s="13" t="s">
        <v>118</v>
      </c>
      <c r="F22" s="8" t="s">
        <v>92</v>
      </c>
      <c r="G22" s="13" t="s">
        <v>73</v>
      </c>
      <c r="H22" s="8" t="s">
        <v>74</v>
      </c>
      <c r="I22" s="13" t="s">
        <v>75</v>
      </c>
      <c r="J22" s="14">
        <v>46149</v>
      </c>
      <c r="K22" s="14">
        <v>46151</v>
      </c>
      <c r="L22" s="15" t="s">
        <v>21</v>
      </c>
      <c r="M22" s="13"/>
      <c r="N22" s="16" t="s">
        <v>119</v>
      </c>
    </row>
    <row r="23" spans="1:14" ht="24" x14ac:dyDescent="0.25">
      <c r="A23" s="8" t="s">
        <v>48</v>
      </c>
      <c r="B23" s="13" t="s">
        <v>46</v>
      </c>
      <c r="C23" s="13" t="s">
        <v>70</v>
      </c>
      <c r="D23" s="8">
        <v>111</v>
      </c>
      <c r="E23" s="13" t="s">
        <v>120</v>
      </c>
      <c r="F23" s="8" t="s">
        <v>72</v>
      </c>
      <c r="G23" s="13"/>
      <c r="H23" s="8"/>
      <c r="I23" s="13" t="s">
        <v>75</v>
      </c>
      <c r="J23" s="14">
        <v>46149</v>
      </c>
      <c r="K23" s="14">
        <v>46150</v>
      </c>
      <c r="L23" s="15" t="s">
        <v>21</v>
      </c>
      <c r="M23" s="13"/>
      <c r="N23" s="16" t="s">
        <v>121</v>
      </c>
    </row>
    <row r="24" spans="1:14" ht="24" x14ac:dyDescent="0.25">
      <c r="A24" s="8" t="s">
        <v>48</v>
      </c>
      <c r="B24" s="13" t="s">
        <v>46</v>
      </c>
      <c r="C24" s="13" t="s">
        <v>70</v>
      </c>
      <c r="D24" s="8">
        <v>112</v>
      </c>
      <c r="E24" s="13" t="s">
        <v>122</v>
      </c>
      <c r="F24" s="8" t="s">
        <v>72</v>
      </c>
      <c r="G24" s="13" t="s">
        <v>73</v>
      </c>
      <c r="H24" s="8" t="s">
        <v>87</v>
      </c>
      <c r="I24" s="13" t="s">
        <v>75</v>
      </c>
      <c r="J24" s="14">
        <v>46149</v>
      </c>
      <c r="K24" s="14">
        <v>46151</v>
      </c>
      <c r="L24" s="15" t="s">
        <v>21</v>
      </c>
      <c r="M24" s="13"/>
      <c r="N24" s="16" t="s">
        <v>123</v>
      </c>
    </row>
    <row r="25" spans="1:14" ht="24" x14ac:dyDescent="0.25">
      <c r="A25" s="8" t="s">
        <v>48</v>
      </c>
      <c r="B25" s="13" t="s">
        <v>46</v>
      </c>
      <c r="C25" s="13" t="s">
        <v>70</v>
      </c>
      <c r="D25" s="8">
        <v>114</v>
      </c>
      <c r="E25" s="13" t="s">
        <v>124</v>
      </c>
      <c r="F25" s="8" t="s">
        <v>92</v>
      </c>
      <c r="G25" s="13" t="s">
        <v>86</v>
      </c>
      <c r="H25" s="8" t="s">
        <v>93</v>
      </c>
      <c r="I25" s="13" t="s">
        <v>75</v>
      </c>
      <c r="J25" s="14">
        <v>46150</v>
      </c>
      <c r="K25" s="14">
        <v>46151</v>
      </c>
      <c r="L25" s="15" t="s">
        <v>21</v>
      </c>
      <c r="M25" s="13"/>
      <c r="N25" s="16" t="s">
        <v>125</v>
      </c>
    </row>
    <row r="26" spans="1:14" ht="24" x14ac:dyDescent="0.25">
      <c r="A26" s="8" t="s">
        <v>48</v>
      </c>
      <c r="B26" s="13" t="s">
        <v>46</v>
      </c>
      <c r="C26" s="13" t="s">
        <v>70</v>
      </c>
      <c r="D26" s="8">
        <v>115</v>
      </c>
      <c r="E26" s="13" t="s">
        <v>126</v>
      </c>
      <c r="F26" s="8" t="s">
        <v>92</v>
      </c>
      <c r="G26" s="13" t="s">
        <v>86</v>
      </c>
      <c r="H26" s="8" t="s">
        <v>74</v>
      </c>
      <c r="I26" s="13" t="s">
        <v>75</v>
      </c>
      <c r="J26" s="14">
        <v>46150</v>
      </c>
      <c r="K26" s="14">
        <v>46151</v>
      </c>
      <c r="L26" s="15" t="s">
        <v>21</v>
      </c>
      <c r="M26" s="13"/>
      <c r="N26" s="16" t="s">
        <v>127</v>
      </c>
    </row>
    <row r="27" spans="1:14" ht="24" x14ac:dyDescent="0.25">
      <c r="A27" s="8" t="s">
        <v>48</v>
      </c>
      <c r="B27" s="13" t="s">
        <v>46</v>
      </c>
      <c r="C27" s="13" t="s">
        <v>70</v>
      </c>
      <c r="D27" s="8">
        <v>116</v>
      </c>
      <c r="E27" s="13" t="s">
        <v>128</v>
      </c>
      <c r="F27" s="8" t="s">
        <v>92</v>
      </c>
      <c r="G27" s="13" t="s">
        <v>86</v>
      </c>
      <c r="H27" s="8" t="s">
        <v>87</v>
      </c>
      <c r="I27" s="13" t="s">
        <v>75</v>
      </c>
      <c r="J27" s="14">
        <v>46150</v>
      </c>
      <c r="K27" s="14">
        <v>46151</v>
      </c>
      <c r="L27" s="15" t="s">
        <v>21</v>
      </c>
      <c r="M27" s="13"/>
      <c r="N27" s="16" t="s">
        <v>129</v>
      </c>
    </row>
    <row r="28" spans="1:14" ht="24" x14ac:dyDescent="0.25">
      <c r="A28" s="8" t="s">
        <v>48</v>
      </c>
      <c r="B28" s="13" t="s">
        <v>46</v>
      </c>
      <c r="C28" s="13" t="s">
        <v>70</v>
      </c>
      <c r="D28" s="8">
        <v>117</v>
      </c>
      <c r="E28" s="13" t="s">
        <v>130</v>
      </c>
      <c r="F28" s="8" t="s">
        <v>111</v>
      </c>
      <c r="G28" s="13" t="s">
        <v>86</v>
      </c>
      <c r="H28" s="8"/>
      <c r="I28" s="13" t="s">
        <v>75</v>
      </c>
      <c r="J28" s="14">
        <v>46150</v>
      </c>
      <c r="K28" s="14">
        <v>46151</v>
      </c>
      <c r="L28" s="15" t="s">
        <v>21</v>
      </c>
      <c r="M28" s="13"/>
      <c r="N28" s="16" t="s">
        <v>131</v>
      </c>
    </row>
    <row r="29" spans="1:14" ht="38.25" x14ac:dyDescent="0.25">
      <c r="A29" s="8" t="s">
        <v>48</v>
      </c>
      <c r="B29" s="13" t="s">
        <v>46</v>
      </c>
      <c r="C29" s="13" t="s">
        <v>70</v>
      </c>
      <c r="D29" s="8">
        <v>118</v>
      </c>
      <c r="E29" s="13" t="s">
        <v>132</v>
      </c>
      <c r="F29" s="8" t="s">
        <v>92</v>
      </c>
      <c r="G29" s="13" t="s">
        <v>86</v>
      </c>
      <c r="H29" s="8" t="s">
        <v>93</v>
      </c>
      <c r="I29" s="13" t="s">
        <v>75</v>
      </c>
      <c r="J29" s="14">
        <v>46150</v>
      </c>
      <c r="K29" s="14">
        <v>46151</v>
      </c>
      <c r="L29" s="15" t="s">
        <v>21</v>
      </c>
      <c r="M29" s="13"/>
      <c r="N29" s="16" t="s">
        <v>133</v>
      </c>
    </row>
    <row r="30" spans="1:14" ht="25.5" x14ac:dyDescent="0.25">
      <c r="A30" s="8" t="s">
        <v>48</v>
      </c>
      <c r="B30" s="13" t="s">
        <v>46</v>
      </c>
      <c r="C30" s="13" t="s">
        <v>70</v>
      </c>
      <c r="D30" s="8">
        <v>119</v>
      </c>
      <c r="E30" s="13" t="s">
        <v>134</v>
      </c>
      <c r="F30" s="8" t="s">
        <v>92</v>
      </c>
      <c r="G30" s="13" t="s">
        <v>86</v>
      </c>
      <c r="H30" s="8" t="s">
        <v>93</v>
      </c>
      <c r="I30" s="13" t="s">
        <v>75</v>
      </c>
      <c r="J30" s="14">
        <v>46150</v>
      </c>
      <c r="K30" s="14">
        <v>46151</v>
      </c>
      <c r="L30" s="15" t="s">
        <v>21</v>
      </c>
      <c r="M30" s="13"/>
      <c r="N30" s="16" t="s">
        <v>135</v>
      </c>
    </row>
    <row r="31" spans="1:14" ht="24" x14ac:dyDescent="0.25">
      <c r="A31" s="8" t="s">
        <v>48</v>
      </c>
      <c r="B31" s="13" t="s">
        <v>46</v>
      </c>
      <c r="C31" s="13" t="s">
        <v>70</v>
      </c>
      <c r="D31" s="8">
        <v>120</v>
      </c>
      <c r="E31" s="13" t="s">
        <v>136</v>
      </c>
      <c r="F31" s="8" t="s">
        <v>92</v>
      </c>
      <c r="G31" s="13" t="s">
        <v>98</v>
      </c>
      <c r="H31" s="8" t="s">
        <v>74</v>
      </c>
      <c r="I31" s="13" t="s">
        <v>75</v>
      </c>
      <c r="J31" s="14">
        <v>46150</v>
      </c>
      <c r="K31" s="14">
        <v>46151</v>
      </c>
      <c r="L31" s="15" t="s">
        <v>21</v>
      </c>
      <c r="M31" s="13"/>
      <c r="N31" s="16" t="s">
        <v>137</v>
      </c>
    </row>
    <row r="32" spans="1:14" ht="24" x14ac:dyDescent="0.25">
      <c r="A32" s="8" t="s">
        <v>48</v>
      </c>
      <c r="B32" s="13" t="s">
        <v>46</v>
      </c>
      <c r="C32" s="13" t="s">
        <v>70</v>
      </c>
      <c r="D32" s="8">
        <v>121</v>
      </c>
      <c r="E32" s="13" t="s">
        <v>138</v>
      </c>
      <c r="F32" s="8" t="s">
        <v>92</v>
      </c>
      <c r="G32" s="13" t="s">
        <v>98</v>
      </c>
      <c r="H32" s="8" t="s">
        <v>74</v>
      </c>
      <c r="I32" s="13" t="s">
        <v>75</v>
      </c>
      <c r="J32" s="14">
        <v>46150</v>
      </c>
      <c r="K32" s="14">
        <v>46151</v>
      </c>
      <c r="L32" s="15" t="s">
        <v>21</v>
      </c>
      <c r="M32" s="13"/>
      <c r="N32" s="16" t="s">
        <v>139</v>
      </c>
    </row>
    <row r="33" spans="1:14" ht="24" x14ac:dyDescent="0.25">
      <c r="A33" s="8" t="s">
        <v>48</v>
      </c>
      <c r="B33" s="13" t="s">
        <v>46</v>
      </c>
      <c r="C33" s="13" t="s">
        <v>70</v>
      </c>
      <c r="D33" s="8">
        <v>122</v>
      </c>
      <c r="E33" s="13" t="s">
        <v>140</v>
      </c>
      <c r="F33" s="8" t="s">
        <v>92</v>
      </c>
      <c r="G33" s="13" t="s">
        <v>98</v>
      </c>
      <c r="H33" s="8" t="s">
        <v>93</v>
      </c>
      <c r="I33" s="13" t="s">
        <v>75</v>
      </c>
      <c r="J33" s="14">
        <v>46150</v>
      </c>
      <c r="K33" s="14">
        <v>46151</v>
      </c>
      <c r="L33" s="15" t="s">
        <v>21</v>
      </c>
      <c r="M33" s="13"/>
      <c r="N33" s="16" t="s">
        <v>141</v>
      </c>
    </row>
    <row r="34" spans="1:14" ht="25.5" x14ac:dyDescent="0.25">
      <c r="A34" s="8" t="s">
        <v>48</v>
      </c>
      <c r="B34" s="13" t="s">
        <v>46</v>
      </c>
      <c r="C34" s="13" t="s">
        <v>142</v>
      </c>
      <c r="D34" s="8">
        <v>68</v>
      </c>
      <c r="E34" s="13" t="s">
        <v>143</v>
      </c>
      <c r="F34" s="8" t="s">
        <v>92</v>
      </c>
      <c r="G34" s="13"/>
      <c r="H34" s="8" t="s">
        <v>87</v>
      </c>
      <c r="I34" s="13" t="s">
        <v>75</v>
      </c>
      <c r="J34" s="14">
        <v>46149</v>
      </c>
      <c r="K34" s="14">
        <v>46151</v>
      </c>
      <c r="L34" s="15" t="s">
        <v>21</v>
      </c>
      <c r="M34" s="13" t="s">
        <v>76</v>
      </c>
      <c r="N34" s="16" t="s">
        <v>144</v>
      </c>
    </row>
    <row r="35" spans="1:14" ht="25.5" x14ac:dyDescent="0.25">
      <c r="A35" s="8" t="s">
        <v>48</v>
      </c>
      <c r="B35" s="13" t="s">
        <v>46</v>
      </c>
      <c r="C35" s="13" t="s">
        <v>142</v>
      </c>
      <c r="D35" s="8">
        <v>69</v>
      </c>
      <c r="E35" s="13" t="s">
        <v>145</v>
      </c>
      <c r="F35" s="8" t="s">
        <v>92</v>
      </c>
      <c r="G35" s="13" t="s">
        <v>79</v>
      </c>
      <c r="H35" s="8" t="s">
        <v>112</v>
      </c>
      <c r="I35" s="13" t="s">
        <v>75</v>
      </c>
      <c r="J35" s="14">
        <v>46149</v>
      </c>
      <c r="K35" s="14">
        <v>46151</v>
      </c>
      <c r="L35" s="15" t="s">
        <v>21</v>
      </c>
      <c r="M35" s="13" t="s">
        <v>76</v>
      </c>
      <c r="N35" s="16" t="s">
        <v>146</v>
      </c>
    </row>
    <row r="36" spans="1:14" ht="25.5" x14ac:dyDescent="0.25">
      <c r="A36" s="8" t="s">
        <v>48</v>
      </c>
      <c r="B36" s="13" t="s">
        <v>46</v>
      </c>
      <c r="C36" s="13" t="s">
        <v>142</v>
      </c>
      <c r="D36" s="8">
        <v>70</v>
      </c>
      <c r="E36" s="13" t="s">
        <v>147</v>
      </c>
      <c r="F36" s="8" t="s">
        <v>92</v>
      </c>
      <c r="G36" s="13"/>
      <c r="H36" s="8"/>
      <c r="I36" s="13" t="s">
        <v>75</v>
      </c>
      <c r="J36" s="14">
        <v>46149</v>
      </c>
      <c r="K36" s="14">
        <v>46151</v>
      </c>
      <c r="L36" s="15" t="s">
        <v>21</v>
      </c>
      <c r="M36" s="13" t="s">
        <v>76</v>
      </c>
      <c r="N36" s="16" t="s">
        <v>148</v>
      </c>
    </row>
    <row r="37" spans="1:14" ht="25.5" x14ac:dyDescent="0.25">
      <c r="A37" s="8" t="s">
        <v>48</v>
      </c>
      <c r="B37" s="13" t="s">
        <v>46</v>
      </c>
      <c r="C37" s="13" t="s">
        <v>142</v>
      </c>
      <c r="D37" s="8">
        <v>71</v>
      </c>
      <c r="E37" s="13" t="s">
        <v>147</v>
      </c>
      <c r="F37" s="8" t="s">
        <v>92</v>
      </c>
      <c r="G37" s="13"/>
      <c r="H37" s="8"/>
      <c r="I37" s="13" t="s">
        <v>75</v>
      </c>
      <c r="J37" s="14">
        <v>46149</v>
      </c>
      <c r="K37" s="14">
        <v>46151</v>
      </c>
      <c r="L37" s="15" t="s">
        <v>21</v>
      </c>
      <c r="M37" s="13" t="s">
        <v>76</v>
      </c>
      <c r="N37" s="16" t="s">
        <v>149</v>
      </c>
    </row>
    <row r="38" spans="1:14" ht="25.5" x14ac:dyDescent="0.25">
      <c r="A38" s="8" t="s">
        <v>48</v>
      </c>
      <c r="B38" s="13" t="s">
        <v>46</v>
      </c>
      <c r="C38" s="13" t="s">
        <v>142</v>
      </c>
      <c r="D38" s="8">
        <v>72</v>
      </c>
      <c r="E38" s="13" t="s">
        <v>147</v>
      </c>
      <c r="F38" s="8" t="s">
        <v>92</v>
      </c>
      <c r="G38" s="13"/>
      <c r="H38" s="8"/>
      <c r="I38" s="13" t="s">
        <v>75</v>
      </c>
      <c r="J38" s="14">
        <v>46149</v>
      </c>
      <c r="K38" s="14">
        <v>46151</v>
      </c>
      <c r="L38" s="15" t="s">
        <v>21</v>
      </c>
      <c r="M38" s="13" t="s">
        <v>76</v>
      </c>
      <c r="N38" s="16" t="s">
        <v>150</v>
      </c>
    </row>
    <row r="39" spans="1:14" ht="25.5" x14ac:dyDescent="0.25">
      <c r="A39" s="8" t="s">
        <v>48</v>
      </c>
      <c r="B39" s="13" t="s">
        <v>46</v>
      </c>
      <c r="C39" s="13" t="s">
        <v>142</v>
      </c>
      <c r="D39" s="8">
        <v>78</v>
      </c>
      <c r="E39" s="13" t="s">
        <v>151</v>
      </c>
      <c r="F39" s="8" t="s">
        <v>92</v>
      </c>
      <c r="G39" s="13"/>
      <c r="H39" s="8"/>
      <c r="I39" s="13" t="s">
        <v>75</v>
      </c>
      <c r="J39" s="14">
        <v>46149</v>
      </c>
      <c r="K39" s="14">
        <v>46151</v>
      </c>
      <c r="L39" s="15" t="s">
        <v>21</v>
      </c>
      <c r="M39" s="13" t="s">
        <v>76</v>
      </c>
      <c r="N39" s="16" t="s">
        <v>152</v>
      </c>
    </row>
    <row r="40" spans="1:14" ht="25.5" x14ac:dyDescent="0.25">
      <c r="A40" s="8" t="s">
        <v>48</v>
      </c>
      <c r="B40" s="13" t="s">
        <v>46</v>
      </c>
      <c r="C40" s="13" t="s">
        <v>142</v>
      </c>
      <c r="D40" s="8">
        <v>79</v>
      </c>
      <c r="E40" s="13" t="s">
        <v>153</v>
      </c>
      <c r="F40" s="8" t="s">
        <v>92</v>
      </c>
      <c r="G40" s="13"/>
      <c r="H40" s="8"/>
      <c r="I40" s="13" t="s">
        <v>75</v>
      </c>
      <c r="J40" s="14">
        <v>46149</v>
      </c>
      <c r="K40" s="14">
        <v>46151</v>
      </c>
      <c r="L40" s="15" t="s">
        <v>21</v>
      </c>
      <c r="M40" s="13" t="s">
        <v>76</v>
      </c>
      <c r="N40" s="16" t="s">
        <v>154</v>
      </c>
    </row>
    <row r="41" spans="1:14" ht="25.5" x14ac:dyDescent="0.25">
      <c r="A41" s="8" t="s">
        <v>48</v>
      </c>
      <c r="B41" s="13" t="s">
        <v>46</v>
      </c>
      <c r="C41" s="13" t="s">
        <v>142</v>
      </c>
      <c r="D41" s="8">
        <v>80</v>
      </c>
      <c r="E41" s="13" t="s">
        <v>155</v>
      </c>
      <c r="F41" s="8" t="s">
        <v>92</v>
      </c>
      <c r="G41" s="13"/>
      <c r="H41" s="8"/>
      <c r="I41" s="13" t="s">
        <v>75</v>
      </c>
      <c r="J41" s="14">
        <v>46149</v>
      </c>
      <c r="K41" s="14">
        <v>46151</v>
      </c>
      <c r="L41" s="15" t="s">
        <v>21</v>
      </c>
      <c r="M41" s="13" t="s">
        <v>76</v>
      </c>
      <c r="N41" s="16" t="s">
        <v>156</v>
      </c>
    </row>
    <row r="42" spans="1:14" ht="25.5" x14ac:dyDescent="0.25">
      <c r="A42" s="8" t="s">
        <v>48</v>
      </c>
      <c r="B42" s="13" t="s">
        <v>46</v>
      </c>
      <c r="C42" s="13" t="s">
        <v>142</v>
      </c>
      <c r="D42" s="8">
        <v>82</v>
      </c>
      <c r="E42" s="13" t="s">
        <v>157</v>
      </c>
      <c r="F42" s="8" t="s">
        <v>92</v>
      </c>
      <c r="G42" s="13"/>
      <c r="H42" s="8"/>
      <c r="I42" s="13" t="s">
        <v>75</v>
      </c>
      <c r="J42" s="14">
        <v>46149</v>
      </c>
      <c r="K42" s="14">
        <v>46151</v>
      </c>
      <c r="L42" s="15" t="s">
        <v>21</v>
      </c>
      <c r="M42" s="13" t="s">
        <v>76</v>
      </c>
      <c r="N42" s="16" t="s">
        <v>158</v>
      </c>
    </row>
    <row r="43" spans="1:14" ht="25.5" x14ac:dyDescent="0.25">
      <c r="A43" s="8" t="s">
        <v>48</v>
      </c>
      <c r="B43" s="13" t="s">
        <v>46</v>
      </c>
      <c r="C43" s="13" t="s">
        <v>142</v>
      </c>
      <c r="D43" s="8">
        <v>83</v>
      </c>
      <c r="E43" s="13" t="s">
        <v>159</v>
      </c>
      <c r="F43" s="8" t="s">
        <v>92</v>
      </c>
      <c r="G43" s="13"/>
      <c r="H43" s="8"/>
      <c r="I43" s="13" t="s">
        <v>75</v>
      </c>
      <c r="J43" s="14">
        <v>46149</v>
      </c>
      <c r="K43" s="14">
        <v>46151</v>
      </c>
      <c r="L43" s="15" t="s">
        <v>21</v>
      </c>
      <c r="M43" s="13" t="s">
        <v>76</v>
      </c>
      <c r="N43" s="16" t="s">
        <v>160</v>
      </c>
    </row>
    <row r="44" spans="1:14" ht="25.5" x14ac:dyDescent="0.25">
      <c r="A44" s="8" t="s">
        <v>48</v>
      </c>
      <c r="B44" s="13" t="s">
        <v>46</v>
      </c>
      <c r="C44" s="13" t="s">
        <v>142</v>
      </c>
      <c r="D44" s="8">
        <v>84</v>
      </c>
      <c r="E44" s="13" t="s">
        <v>159</v>
      </c>
      <c r="F44" s="8" t="s">
        <v>92</v>
      </c>
      <c r="G44" s="13"/>
      <c r="H44" s="8" t="s">
        <v>74</v>
      </c>
      <c r="I44" s="13" t="s">
        <v>75</v>
      </c>
      <c r="J44" s="14">
        <v>46149</v>
      </c>
      <c r="K44" s="14">
        <v>46151</v>
      </c>
      <c r="L44" s="15" t="s">
        <v>21</v>
      </c>
      <c r="M44" s="13" t="s">
        <v>76</v>
      </c>
      <c r="N44" s="16" t="s">
        <v>161</v>
      </c>
    </row>
    <row r="45" spans="1:14" ht="25.5" x14ac:dyDescent="0.25">
      <c r="A45" s="8" t="s">
        <v>48</v>
      </c>
      <c r="B45" s="13" t="s">
        <v>46</v>
      </c>
      <c r="C45" s="13" t="s">
        <v>142</v>
      </c>
      <c r="D45" s="8">
        <v>85</v>
      </c>
      <c r="E45" s="13" t="s">
        <v>162</v>
      </c>
      <c r="F45" s="8" t="s">
        <v>92</v>
      </c>
      <c r="G45" s="13"/>
      <c r="H45" s="8"/>
      <c r="I45" s="13" t="s">
        <v>75</v>
      </c>
      <c r="J45" s="14">
        <v>46149</v>
      </c>
      <c r="K45" s="14">
        <v>46151</v>
      </c>
      <c r="L45" s="15" t="s">
        <v>21</v>
      </c>
      <c r="M45" s="13" t="s">
        <v>76</v>
      </c>
      <c r="N45" s="16" t="s">
        <v>163</v>
      </c>
    </row>
    <row r="46" spans="1:14" ht="25.5" x14ac:dyDescent="0.25">
      <c r="A46" s="8" t="s">
        <v>48</v>
      </c>
      <c r="B46" s="13" t="s">
        <v>46</v>
      </c>
      <c r="C46" s="13" t="s">
        <v>142</v>
      </c>
      <c r="D46" s="8">
        <v>86</v>
      </c>
      <c r="E46" s="13" t="s">
        <v>164</v>
      </c>
      <c r="F46" s="8" t="s">
        <v>92</v>
      </c>
      <c r="G46" s="13"/>
      <c r="H46" s="8"/>
      <c r="I46" s="13" t="s">
        <v>75</v>
      </c>
      <c r="J46" s="14">
        <v>46149</v>
      </c>
      <c r="K46" s="14">
        <v>46151</v>
      </c>
      <c r="L46" s="15" t="s">
        <v>21</v>
      </c>
      <c r="M46" s="13" t="s">
        <v>76</v>
      </c>
      <c r="N46" s="16" t="s">
        <v>165</v>
      </c>
    </row>
    <row r="47" spans="1:14" ht="25.5" x14ac:dyDescent="0.25">
      <c r="A47" s="8" t="s">
        <v>48</v>
      </c>
      <c r="B47" s="13" t="s">
        <v>46</v>
      </c>
      <c r="C47" s="13" t="s">
        <v>142</v>
      </c>
      <c r="D47" s="8">
        <v>87</v>
      </c>
      <c r="E47" s="13" t="s">
        <v>164</v>
      </c>
      <c r="F47" s="8" t="s">
        <v>92</v>
      </c>
      <c r="G47" s="13"/>
      <c r="H47" s="8"/>
      <c r="I47" s="13" t="s">
        <v>75</v>
      </c>
      <c r="J47" s="14">
        <v>46149</v>
      </c>
      <c r="K47" s="14">
        <v>46151</v>
      </c>
      <c r="L47" s="15" t="s">
        <v>21</v>
      </c>
      <c r="M47" s="13" t="s">
        <v>76</v>
      </c>
      <c r="N47" s="16" t="s">
        <v>166</v>
      </c>
    </row>
    <row r="48" spans="1:14" ht="25.5" x14ac:dyDescent="0.25">
      <c r="A48" s="8" t="s">
        <v>48</v>
      </c>
      <c r="B48" s="13" t="s">
        <v>46</v>
      </c>
      <c r="C48" s="13" t="s">
        <v>142</v>
      </c>
      <c r="D48" s="8">
        <v>88</v>
      </c>
      <c r="E48" s="13" t="s">
        <v>164</v>
      </c>
      <c r="F48" s="8" t="s">
        <v>92</v>
      </c>
      <c r="G48" s="13"/>
      <c r="H48" s="8"/>
      <c r="I48" s="13" t="s">
        <v>75</v>
      </c>
      <c r="J48" s="14">
        <v>46149</v>
      </c>
      <c r="K48" s="14">
        <v>46151</v>
      </c>
      <c r="L48" s="15" t="s">
        <v>21</v>
      </c>
      <c r="M48" s="13" t="s">
        <v>76</v>
      </c>
      <c r="N48" s="16" t="s">
        <v>167</v>
      </c>
    </row>
    <row r="49" spans="1:14" ht="25.5" x14ac:dyDescent="0.25">
      <c r="A49" s="8" t="s">
        <v>48</v>
      </c>
      <c r="B49" s="13" t="s">
        <v>46</v>
      </c>
      <c r="C49" s="13" t="s">
        <v>142</v>
      </c>
      <c r="D49" s="8">
        <v>89</v>
      </c>
      <c r="E49" s="13" t="s">
        <v>168</v>
      </c>
      <c r="F49" s="8" t="s">
        <v>92</v>
      </c>
      <c r="G49" s="13"/>
      <c r="H49" s="8" t="s">
        <v>87</v>
      </c>
      <c r="I49" s="13" t="s">
        <v>75</v>
      </c>
      <c r="J49" s="14">
        <v>46149</v>
      </c>
      <c r="K49" s="14">
        <v>46151</v>
      </c>
      <c r="L49" s="15" t="s">
        <v>21</v>
      </c>
      <c r="M49" s="13" t="s">
        <v>76</v>
      </c>
      <c r="N49" s="16" t="s">
        <v>169</v>
      </c>
    </row>
    <row r="50" spans="1:14" ht="24" x14ac:dyDescent="0.25">
      <c r="A50" s="8" t="s">
        <v>48</v>
      </c>
      <c r="B50" s="13" t="s">
        <v>46</v>
      </c>
      <c r="C50" s="13" t="s">
        <v>142</v>
      </c>
      <c r="D50" s="8">
        <v>90</v>
      </c>
      <c r="E50" s="13" t="s">
        <v>170</v>
      </c>
      <c r="F50" s="8" t="s">
        <v>92</v>
      </c>
      <c r="G50" s="13"/>
      <c r="H50" s="8" t="s">
        <v>87</v>
      </c>
      <c r="I50" s="13" t="s">
        <v>75</v>
      </c>
      <c r="J50" s="14">
        <v>46149</v>
      </c>
      <c r="K50" s="14">
        <v>46151</v>
      </c>
      <c r="L50" s="15" t="s">
        <v>21</v>
      </c>
      <c r="M50" s="13"/>
      <c r="N50" s="16" t="s">
        <v>171</v>
      </c>
    </row>
    <row r="51" spans="1:14" ht="24" x14ac:dyDescent="0.25">
      <c r="A51" s="8" t="s">
        <v>48</v>
      </c>
      <c r="B51" s="13" t="s">
        <v>46</v>
      </c>
      <c r="C51" s="13" t="s">
        <v>142</v>
      </c>
      <c r="D51" s="8">
        <v>91</v>
      </c>
      <c r="E51" s="13" t="s">
        <v>172</v>
      </c>
      <c r="F51" s="8" t="s">
        <v>92</v>
      </c>
      <c r="G51" s="13"/>
      <c r="H51" s="8"/>
      <c r="I51" s="13" t="s">
        <v>75</v>
      </c>
      <c r="J51" s="14">
        <v>46149</v>
      </c>
      <c r="K51" s="14">
        <v>46151</v>
      </c>
      <c r="L51" s="15" t="s">
        <v>21</v>
      </c>
      <c r="M51" s="13"/>
      <c r="N51" s="16" t="s">
        <v>173</v>
      </c>
    </row>
    <row r="52" spans="1:14" ht="24" x14ac:dyDescent="0.25">
      <c r="A52" s="8" t="s">
        <v>48</v>
      </c>
      <c r="B52" s="13" t="s">
        <v>46</v>
      </c>
      <c r="C52" s="13" t="s">
        <v>142</v>
      </c>
      <c r="D52" s="8">
        <v>92</v>
      </c>
      <c r="E52" s="13" t="s">
        <v>174</v>
      </c>
      <c r="F52" s="8" t="s">
        <v>92</v>
      </c>
      <c r="G52" s="13"/>
      <c r="H52" s="8"/>
      <c r="I52" s="13" t="s">
        <v>75</v>
      </c>
      <c r="J52" s="14">
        <v>46149</v>
      </c>
      <c r="K52" s="14">
        <v>46151</v>
      </c>
      <c r="L52" s="15" t="s">
        <v>21</v>
      </c>
      <c r="M52" s="13"/>
      <c r="N52" s="16" t="s">
        <v>175</v>
      </c>
    </row>
    <row r="53" spans="1:14" ht="24" x14ac:dyDescent="0.25">
      <c r="A53" s="8" t="s">
        <v>48</v>
      </c>
      <c r="B53" s="13" t="s">
        <v>46</v>
      </c>
      <c r="C53" s="13" t="s">
        <v>142</v>
      </c>
      <c r="D53" s="8">
        <v>93</v>
      </c>
      <c r="E53" s="13" t="s">
        <v>174</v>
      </c>
      <c r="F53" s="8" t="s">
        <v>92</v>
      </c>
      <c r="G53" s="13" t="s">
        <v>176</v>
      </c>
      <c r="H53" s="8" t="s">
        <v>74</v>
      </c>
      <c r="I53" s="13" t="s">
        <v>75</v>
      </c>
      <c r="J53" s="14">
        <v>46149</v>
      </c>
      <c r="K53" s="14">
        <v>46151</v>
      </c>
      <c r="L53" s="15" t="s">
        <v>21</v>
      </c>
      <c r="M53" s="13"/>
      <c r="N53" s="16" t="s">
        <v>177</v>
      </c>
    </row>
    <row r="54" spans="1:14" ht="24" x14ac:dyDescent="0.25">
      <c r="A54" s="8" t="s">
        <v>48</v>
      </c>
      <c r="B54" s="13" t="s">
        <v>46</v>
      </c>
      <c r="C54" s="13" t="s">
        <v>142</v>
      </c>
      <c r="D54" s="8">
        <v>94</v>
      </c>
      <c r="E54" s="13" t="s">
        <v>178</v>
      </c>
      <c r="F54" s="8" t="s">
        <v>92</v>
      </c>
      <c r="G54" s="13"/>
      <c r="H54" s="8"/>
      <c r="I54" s="13" t="s">
        <v>75</v>
      </c>
      <c r="J54" s="14">
        <v>46149</v>
      </c>
      <c r="K54" s="14">
        <v>46151</v>
      </c>
      <c r="L54" s="15" t="s">
        <v>21</v>
      </c>
      <c r="M54" s="13"/>
      <c r="N54" s="16" t="s">
        <v>179</v>
      </c>
    </row>
    <row r="55" spans="1:14" ht="24" x14ac:dyDescent="0.25">
      <c r="A55" s="8" t="s">
        <v>48</v>
      </c>
      <c r="B55" s="13" t="s">
        <v>46</v>
      </c>
      <c r="C55" s="13" t="s">
        <v>142</v>
      </c>
      <c r="D55" s="8">
        <v>95</v>
      </c>
      <c r="E55" s="13" t="s">
        <v>180</v>
      </c>
      <c r="F55" s="8" t="s">
        <v>92</v>
      </c>
      <c r="G55" s="13"/>
      <c r="H55" s="8"/>
      <c r="I55" s="13" t="s">
        <v>75</v>
      </c>
      <c r="J55" s="14">
        <v>46149</v>
      </c>
      <c r="K55" s="14">
        <v>46151</v>
      </c>
      <c r="L55" s="15" t="s">
        <v>21</v>
      </c>
      <c r="M55" s="13"/>
      <c r="N55" s="16" t="s">
        <v>181</v>
      </c>
    </row>
    <row r="56" spans="1:14" ht="24" x14ac:dyDescent="0.25">
      <c r="A56" s="8" t="s">
        <v>48</v>
      </c>
      <c r="B56" s="13" t="s">
        <v>46</v>
      </c>
      <c r="C56" s="13" t="s">
        <v>142</v>
      </c>
      <c r="D56" s="8">
        <v>96</v>
      </c>
      <c r="E56" s="13" t="s">
        <v>180</v>
      </c>
      <c r="F56" s="8" t="s">
        <v>92</v>
      </c>
      <c r="G56" s="13"/>
      <c r="H56" s="8"/>
      <c r="I56" s="13" t="s">
        <v>75</v>
      </c>
      <c r="J56" s="14">
        <v>46149</v>
      </c>
      <c r="K56" s="14">
        <v>46151</v>
      </c>
      <c r="L56" s="15" t="s">
        <v>21</v>
      </c>
      <c r="M56" s="13"/>
      <c r="N56" s="16" t="s">
        <v>182</v>
      </c>
    </row>
    <row r="57" spans="1:14" ht="24" x14ac:dyDescent="0.25">
      <c r="A57" s="8" t="s">
        <v>48</v>
      </c>
      <c r="B57" s="13" t="s">
        <v>46</v>
      </c>
      <c r="C57" s="13" t="s">
        <v>142</v>
      </c>
      <c r="D57" s="8">
        <v>97</v>
      </c>
      <c r="E57" s="13" t="s">
        <v>183</v>
      </c>
      <c r="F57" s="8" t="s">
        <v>92</v>
      </c>
      <c r="G57" s="13"/>
      <c r="H57" s="8"/>
      <c r="I57" s="13" t="s">
        <v>75</v>
      </c>
      <c r="J57" s="14">
        <v>46149</v>
      </c>
      <c r="K57" s="14">
        <v>46151</v>
      </c>
      <c r="L57" s="15" t="s">
        <v>21</v>
      </c>
      <c r="M57" s="13"/>
      <c r="N57" s="16" t="s">
        <v>184</v>
      </c>
    </row>
    <row r="58" spans="1:14" ht="24" x14ac:dyDescent="0.25">
      <c r="A58" s="8" t="s">
        <v>48</v>
      </c>
      <c r="B58" s="13" t="s">
        <v>46</v>
      </c>
      <c r="C58" s="13" t="s">
        <v>142</v>
      </c>
      <c r="D58" s="8">
        <v>98</v>
      </c>
      <c r="E58" s="13" t="s">
        <v>185</v>
      </c>
      <c r="F58" s="8" t="s">
        <v>92</v>
      </c>
      <c r="G58" s="13"/>
      <c r="H58" s="8" t="s">
        <v>74</v>
      </c>
      <c r="I58" s="13" t="s">
        <v>75</v>
      </c>
      <c r="J58" s="14">
        <v>46149</v>
      </c>
      <c r="K58" s="14">
        <v>46151</v>
      </c>
      <c r="L58" s="15" t="s">
        <v>21</v>
      </c>
      <c r="M58" s="13"/>
      <c r="N58" s="16" t="s">
        <v>186</v>
      </c>
    </row>
    <row r="59" spans="1:14" ht="24" x14ac:dyDescent="0.25">
      <c r="A59" s="8" t="s">
        <v>48</v>
      </c>
      <c r="B59" s="13" t="s">
        <v>46</v>
      </c>
      <c r="C59" s="13" t="s">
        <v>142</v>
      </c>
      <c r="D59" s="8">
        <v>99</v>
      </c>
      <c r="E59" s="13" t="s">
        <v>187</v>
      </c>
      <c r="F59" s="8" t="s">
        <v>92</v>
      </c>
      <c r="G59" s="13"/>
      <c r="H59" s="8"/>
      <c r="I59" s="13" t="s">
        <v>75</v>
      </c>
      <c r="J59" s="14">
        <v>46149</v>
      </c>
      <c r="K59" s="14">
        <v>46151</v>
      </c>
      <c r="L59" s="15" t="s">
        <v>21</v>
      </c>
      <c r="M59" s="13"/>
      <c r="N59" s="16" t="s">
        <v>188</v>
      </c>
    </row>
    <row r="60" spans="1:14" ht="24" x14ac:dyDescent="0.25">
      <c r="A60" s="8" t="s">
        <v>48</v>
      </c>
      <c r="B60" s="13" t="s">
        <v>46</v>
      </c>
      <c r="C60" s="13" t="s">
        <v>142</v>
      </c>
      <c r="D60" s="8">
        <v>100</v>
      </c>
      <c r="E60" s="13" t="s">
        <v>185</v>
      </c>
      <c r="F60" s="8" t="s">
        <v>72</v>
      </c>
      <c r="G60" s="13"/>
      <c r="H60" s="8" t="s">
        <v>112</v>
      </c>
      <c r="I60" s="13" t="s">
        <v>75</v>
      </c>
      <c r="J60" s="14">
        <v>46149</v>
      </c>
      <c r="K60" s="14">
        <v>46151</v>
      </c>
      <c r="L60" s="15" t="s">
        <v>21</v>
      </c>
      <c r="M60" s="13"/>
      <c r="N60" s="16" t="s">
        <v>189</v>
      </c>
    </row>
    <row r="61" spans="1:14" ht="24" x14ac:dyDescent="0.25">
      <c r="A61" s="8" t="s">
        <v>48</v>
      </c>
      <c r="B61" s="13" t="s">
        <v>46</v>
      </c>
      <c r="C61" s="13" t="s">
        <v>142</v>
      </c>
      <c r="D61" s="8">
        <v>102</v>
      </c>
      <c r="E61" s="13" t="s">
        <v>190</v>
      </c>
      <c r="F61" s="8" t="s">
        <v>92</v>
      </c>
      <c r="G61" s="13" t="s">
        <v>191</v>
      </c>
      <c r="H61" s="8" t="s">
        <v>87</v>
      </c>
      <c r="I61" s="13" t="s">
        <v>75</v>
      </c>
      <c r="J61" s="14">
        <v>46149</v>
      </c>
      <c r="K61" s="14">
        <v>46151</v>
      </c>
      <c r="L61" s="15" t="s">
        <v>21</v>
      </c>
      <c r="M61" s="13"/>
      <c r="N61" s="16" t="s">
        <v>192</v>
      </c>
    </row>
    <row r="62" spans="1:14" ht="24" x14ac:dyDescent="0.25">
      <c r="A62" s="8" t="s">
        <v>48</v>
      </c>
      <c r="B62" s="13" t="s">
        <v>46</v>
      </c>
      <c r="C62" s="13" t="s">
        <v>142</v>
      </c>
      <c r="D62" s="8">
        <v>103</v>
      </c>
      <c r="E62" s="13" t="s">
        <v>193</v>
      </c>
      <c r="F62" s="8" t="s">
        <v>92</v>
      </c>
      <c r="G62" s="13"/>
      <c r="H62" s="8"/>
      <c r="I62" s="13" t="s">
        <v>75</v>
      </c>
      <c r="J62" s="14">
        <v>46149</v>
      </c>
      <c r="K62" s="14">
        <v>46151</v>
      </c>
      <c r="L62" s="15" t="s">
        <v>21</v>
      </c>
      <c r="M62" s="13"/>
      <c r="N62" s="16" t="s">
        <v>194</v>
      </c>
    </row>
    <row r="63" spans="1:14" ht="24" x14ac:dyDescent="0.25">
      <c r="A63" s="8" t="s">
        <v>48</v>
      </c>
      <c r="B63" s="13" t="s">
        <v>46</v>
      </c>
      <c r="C63" s="13" t="s">
        <v>142</v>
      </c>
      <c r="D63" s="8">
        <v>104</v>
      </c>
      <c r="E63" s="13" t="s">
        <v>195</v>
      </c>
      <c r="F63" s="8" t="s">
        <v>72</v>
      </c>
      <c r="G63" s="13"/>
      <c r="H63" s="8"/>
      <c r="I63" s="13" t="s">
        <v>75</v>
      </c>
      <c r="J63" s="14">
        <v>46149</v>
      </c>
      <c r="K63" s="14">
        <v>46151</v>
      </c>
      <c r="L63" s="15" t="s">
        <v>21</v>
      </c>
      <c r="M63" s="13"/>
      <c r="N63" s="16" t="s">
        <v>196</v>
      </c>
    </row>
    <row r="64" spans="1:14" ht="24" x14ac:dyDescent="0.25">
      <c r="A64" s="8" t="s">
        <v>48</v>
      </c>
      <c r="B64" s="13" t="s">
        <v>46</v>
      </c>
      <c r="C64" s="13" t="s">
        <v>142</v>
      </c>
      <c r="D64" s="8">
        <v>105</v>
      </c>
      <c r="E64" s="13" t="s">
        <v>197</v>
      </c>
      <c r="F64" s="8" t="s">
        <v>72</v>
      </c>
      <c r="G64" s="13"/>
      <c r="H64" s="8"/>
      <c r="I64" s="13" t="s">
        <v>75</v>
      </c>
      <c r="J64" s="14">
        <v>46149</v>
      </c>
      <c r="K64" s="14">
        <v>46151</v>
      </c>
      <c r="L64" s="15" t="s">
        <v>21</v>
      </c>
      <c r="M64" s="13"/>
      <c r="N64" s="16" t="s">
        <v>198</v>
      </c>
    </row>
    <row r="65" spans="1:14" ht="24" x14ac:dyDescent="0.25">
      <c r="A65" s="8" t="s">
        <v>48</v>
      </c>
      <c r="B65" s="13" t="s">
        <v>46</v>
      </c>
      <c r="C65" s="13" t="s">
        <v>142</v>
      </c>
      <c r="D65" s="8">
        <v>106</v>
      </c>
      <c r="E65" s="13" t="s">
        <v>199</v>
      </c>
      <c r="F65" s="8" t="s">
        <v>72</v>
      </c>
      <c r="G65" s="13"/>
      <c r="H65" s="8"/>
      <c r="I65" s="13" t="s">
        <v>75</v>
      </c>
      <c r="J65" s="14">
        <v>46149</v>
      </c>
      <c r="K65" s="14">
        <v>46151</v>
      </c>
      <c r="L65" s="17" t="s">
        <v>23</v>
      </c>
      <c r="M65" s="13" t="s">
        <v>200</v>
      </c>
      <c r="N65" s="16" t="s">
        <v>201</v>
      </c>
    </row>
    <row r="66" spans="1:14" ht="24" x14ac:dyDescent="0.25">
      <c r="A66" s="8" t="s">
        <v>48</v>
      </c>
      <c r="B66" s="13" t="s">
        <v>46</v>
      </c>
      <c r="C66" s="13" t="s">
        <v>142</v>
      </c>
      <c r="D66" s="8">
        <v>107</v>
      </c>
      <c r="E66" s="13" t="s">
        <v>202</v>
      </c>
      <c r="F66" s="8" t="s">
        <v>72</v>
      </c>
      <c r="G66" s="13"/>
      <c r="H66" s="8"/>
      <c r="I66" s="13" t="s">
        <v>75</v>
      </c>
      <c r="J66" s="14">
        <v>46149</v>
      </c>
      <c r="K66" s="14">
        <v>46151</v>
      </c>
      <c r="L66" s="17" t="s">
        <v>23</v>
      </c>
      <c r="M66" s="13" t="s">
        <v>200</v>
      </c>
      <c r="N66" s="16" t="s">
        <v>203</v>
      </c>
    </row>
    <row r="67" spans="1:14" ht="25.5" x14ac:dyDescent="0.25">
      <c r="A67" s="8" t="s">
        <v>50</v>
      </c>
      <c r="B67" s="13" t="s">
        <v>46</v>
      </c>
      <c r="C67" s="13" t="s">
        <v>70</v>
      </c>
      <c r="D67" s="8">
        <v>19</v>
      </c>
      <c r="E67" s="13" t="s">
        <v>204</v>
      </c>
      <c r="F67" s="8" t="s">
        <v>72</v>
      </c>
      <c r="G67" s="13" t="s">
        <v>73</v>
      </c>
      <c r="H67" s="8" t="s">
        <v>87</v>
      </c>
      <c r="I67" s="13" t="s">
        <v>75</v>
      </c>
      <c r="J67" s="14">
        <v>46137</v>
      </c>
      <c r="K67" s="14">
        <v>46143</v>
      </c>
      <c r="L67" s="15" t="s">
        <v>21</v>
      </c>
      <c r="M67" s="13"/>
      <c r="N67" s="16" t="s">
        <v>205</v>
      </c>
    </row>
    <row r="68" spans="1:14" ht="25.5" x14ac:dyDescent="0.25">
      <c r="A68" s="8" t="s">
        <v>50</v>
      </c>
      <c r="B68" s="13" t="s">
        <v>46</v>
      </c>
      <c r="C68" s="13" t="s">
        <v>70</v>
      </c>
      <c r="D68" s="8">
        <v>20</v>
      </c>
      <c r="E68" s="13" t="s">
        <v>206</v>
      </c>
      <c r="F68" s="8" t="s">
        <v>72</v>
      </c>
      <c r="G68" s="13" t="s">
        <v>207</v>
      </c>
      <c r="H68" s="8" t="s">
        <v>87</v>
      </c>
      <c r="I68" s="13" t="s">
        <v>75</v>
      </c>
      <c r="J68" s="14">
        <v>46137</v>
      </c>
      <c r="K68" s="14">
        <v>46143</v>
      </c>
      <c r="L68" s="15" t="s">
        <v>21</v>
      </c>
      <c r="M68" s="13"/>
      <c r="N68" s="16" t="s">
        <v>208</v>
      </c>
    </row>
    <row r="69" spans="1:14" ht="24" x14ac:dyDescent="0.25">
      <c r="A69" s="8" t="s">
        <v>50</v>
      </c>
      <c r="B69" s="13" t="s">
        <v>46</v>
      </c>
      <c r="C69" s="13" t="s">
        <v>70</v>
      </c>
      <c r="D69" s="8">
        <v>21</v>
      </c>
      <c r="E69" s="13" t="s">
        <v>209</v>
      </c>
      <c r="F69" s="8" t="s">
        <v>72</v>
      </c>
      <c r="G69" s="13" t="s">
        <v>207</v>
      </c>
      <c r="H69" s="8" t="s">
        <v>87</v>
      </c>
      <c r="I69" s="13" t="s">
        <v>75</v>
      </c>
      <c r="J69" s="14">
        <v>46137</v>
      </c>
      <c r="K69" s="14">
        <v>46143</v>
      </c>
      <c r="L69" s="15" t="s">
        <v>21</v>
      </c>
      <c r="M69" s="13"/>
      <c r="N69" s="16" t="s">
        <v>210</v>
      </c>
    </row>
    <row r="70" spans="1:14" ht="24" x14ac:dyDescent="0.25">
      <c r="A70" s="8" t="s">
        <v>50</v>
      </c>
      <c r="B70" s="13" t="s">
        <v>46</v>
      </c>
      <c r="C70" s="13" t="s">
        <v>70</v>
      </c>
      <c r="D70" s="8">
        <v>22</v>
      </c>
      <c r="E70" s="13" t="s">
        <v>211</v>
      </c>
      <c r="F70" s="8" t="s">
        <v>72</v>
      </c>
      <c r="G70" s="13" t="s">
        <v>207</v>
      </c>
      <c r="H70" s="8" t="s">
        <v>87</v>
      </c>
      <c r="I70" s="13" t="s">
        <v>75</v>
      </c>
      <c r="J70" s="14">
        <v>46137</v>
      </c>
      <c r="K70" s="14">
        <v>46143</v>
      </c>
      <c r="L70" s="15" t="s">
        <v>21</v>
      </c>
      <c r="M70" s="13"/>
      <c r="N70" s="16" t="s">
        <v>212</v>
      </c>
    </row>
    <row r="71" spans="1:14" ht="24" x14ac:dyDescent="0.25">
      <c r="A71" s="8" t="s">
        <v>50</v>
      </c>
      <c r="B71" s="13" t="s">
        <v>46</v>
      </c>
      <c r="C71" s="13" t="s">
        <v>70</v>
      </c>
      <c r="D71" s="8">
        <v>23</v>
      </c>
      <c r="E71" s="13" t="s">
        <v>213</v>
      </c>
      <c r="F71" s="8" t="s">
        <v>72</v>
      </c>
      <c r="G71" s="13" t="s">
        <v>79</v>
      </c>
      <c r="H71" s="8" t="s">
        <v>74</v>
      </c>
      <c r="I71" s="13" t="s">
        <v>75</v>
      </c>
      <c r="J71" s="14">
        <v>46137</v>
      </c>
      <c r="K71" s="14">
        <v>46143</v>
      </c>
      <c r="L71" s="15" t="s">
        <v>21</v>
      </c>
      <c r="M71" s="13"/>
      <c r="N71" s="16" t="s">
        <v>214</v>
      </c>
    </row>
    <row r="72" spans="1:14" ht="24" x14ac:dyDescent="0.25">
      <c r="A72" s="8" t="s">
        <v>50</v>
      </c>
      <c r="B72" s="13" t="s">
        <v>46</v>
      </c>
      <c r="C72" s="13" t="s">
        <v>70</v>
      </c>
      <c r="D72" s="8">
        <v>24</v>
      </c>
      <c r="E72" s="13" t="s">
        <v>215</v>
      </c>
      <c r="F72" s="8" t="s">
        <v>72</v>
      </c>
      <c r="G72" s="13" t="s">
        <v>216</v>
      </c>
      <c r="H72" s="8" t="s">
        <v>74</v>
      </c>
      <c r="I72" s="13" t="s">
        <v>75</v>
      </c>
      <c r="J72" s="14">
        <v>46137</v>
      </c>
      <c r="K72" s="14">
        <v>46143</v>
      </c>
      <c r="L72" s="15" t="s">
        <v>21</v>
      </c>
      <c r="M72" s="13"/>
      <c r="N72" s="16" t="s">
        <v>217</v>
      </c>
    </row>
    <row r="73" spans="1:14" ht="24" x14ac:dyDescent="0.25">
      <c r="A73" s="8" t="s">
        <v>50</v>
      </c>
      <c r="B73" s="13" t="s">
        <v>46</v>
      </c>
      <c r="C73" s="13" t="s">
        <v>70</v>
      </c>
      <c r="D73" s="8">
        <v>25</v>
      </c>
      <c r="E73" s="13" t="s">
        <v>218</v>
      </c>
      <c r="F73" s="8" t="s">
        <v>72</v>
      </c>
      <c r="G73" s="13" t="s">
        <v>73</v>
      </c>
      <c r="H73" s="8" t="s">
        <v>112</v>
      </c>
      <c r="I73" s="13" t="s">
        <v>75</v>
      </c>
      <c r="J73" s="14">
        <v>46137</v>
      </c>
      <c r="K73" s="14">
        <v>46143</v>
      </c>
      <c r="L73" s="15" t="s">
        <v>21</v>
      </c>
      <c r="M73" s="13"/>
      <c r="N73" s="16" t="s">
        <v>219</v>
      </c>
    </row>
    <row r="74" spans="1:14" ht="24" x14ac:dyDescent="0.25">
      <c r="A74" s="8" t="s">
        <v>50</v>
      </c>
      <c r="B74" s="13" t="s">
        <v>46</v>
      </c>
      <c r="C74" s="13" t="s">
        <v>70</v>
      </c>
      <c r="D74" s="8">
        <v>26</v>
      </c>
      <c r="E74" s="13" t="s">
        <v>220</v>
      </c>
      <c r="F74" s="8" t="s">
        <v>72</v>
      </c>
      <c r="G74" s="13" t="s">
        <v>79</v>
      </c>
      <c r="H74" s="8" t="s">
        <v>112</v>
      </c>
      <c r="I74" s="13" t="s">
        <v>75</v>
      </c>
      <c r="J74" s="14">
        <v>46137</v>
      </c>
      <c r="K74" s="14">
        <v>46143</v>
      </c>
      <c r="L74" s="15" t="s">
        <v>21</v>
      </c>
      <c r="M74" s="13"/>
      <c r="N74" s="16" t="s">
        <v>221</v>
      </c>
    </row>
    <row r="75" spans="1:14" ht="24" x14ac:dyDescent="0.25">
      <c r="A75" s="8" t="s">
        <v>50</v>
      </c>
      <c r="B75" s="13" t="s">
        <v>46</v>
      </c>
      <c r="C75" s="13" t="s">
        <v>70</v>
      </c>
      <c r="D75" s="8">
        <v>27</v>
      </c>
      <c r="E75" s="13" t="s">
        <v>222</v>
      </c>
      <c r="F75" s="8" t="s">
        <v>72</v>
      </c>
      <c r="G75" s="13" t="s">
        <v>216</v>
      </c>
      <c r="H75" s="8" t="s">
        <v>112</v>
      </c>
      <c r="I75" s="13" t="s">
        <v>75</v>
      </c>
      <c r="J75" s="14">
        <v>46137</v>
      </c>
      <c r="K75" s="14">
        <v>46143</v>
      </c>
      <c r="L75" s="15" t="s">
        <v>21</v>
      </c>
      <c r="M75" s="13"/>
      <c r="N75" s="16" t="s">
        <v>223</v>
      </c>
    </row>
    <row r="76" spans="1:14" ht="24" x14ac:dyDescent="0.25">
      <c r="A76" s="8" t="s">
        <v>50</v>
      </c>
      <c r="B76" s="13" t="s">
        <v>46</v>
      </c>
      <c r="C76" s="13" t="s">
        <v>70</v>
      </c>
      <c r="D76" s="8">
        <v>28</v>
      </c>
      <c r="E76" s="13" t="s">
        <v>224</v>
      </c>
      <c r="F76" s="8" t="s">
        <v>72</v>
      </c>
      <c r="G76" s="13" t="s">
        <v>79</v>
      </c>
      <c r="H76" s="8" t="s">
        <v>112</v>
      </c>
      <c r="I76" s="13" t="s">
        <v>75</v>
      </c>
      <c r="J76" s="14">
        <v>46137</v>
      </c>
      <c r="K76" s="14">
        <v>46143</v>
      </c>
      <c r="L76" s="15" t="s">
        <v>21</v>
      </c>
      <c r="M76" s="13"/>
      <c r="N76" s="16" t="s">
        <v>225</v>
      </c>
    </row>
    <row r="77" spans="1:14" ht="24" x14ac:dyDescent="0.25">
      <c r="A77" s="8" t="s">
        <v>50</v>
      </c>
      <c r="B77" s="13" t="s">
        <v>46</v>
      </c>
      <c r="C77" s="13" t="s">
        <v>70</v>
      </c>
      <c r="D77" s="8">
        <v>29</v>
      </c>
      <c r="E77" s="13" t="s">
        <v>226</v>
      </c>
      <c r="F77" s="8" t="s">
        <v>72</v>
      </c>
      <c r="G77" s="13" t="s">
        <v>207</v>
      </c>
      <c r="H77" s="8" t="s">
        <v>112</v>
      </c>
      <c r="I77" s="13" t="s">
        <v>75</v>
      </c>
      <c r="J77" s="14">
        <v>46137</v>
      </c>
      <c r="K77" s="14">
        <v>46143</v>
      </c>
      <c r="L77" s="15" t="s">
        <v>21</v>
      </c>
      <c r="M77" s="13"/>
      <c r="N77" s="16" t="s">
        <v>227</v>
      </c>
    </row>
    <row r="78" spans="1:14" ht="25.5" x14ac:dyDescent="0.25">
      <c r="A78" s="8" t="s">
        <v>50</v>
      </c>
      <c r="B78" s="13" t="s">
        <v>46</v>
      </c>
      <c r="C78" s="13" t="s">
        <v>70</v>
      </c>
      <c r="D78" s="8">
        <v>30</v>
      </c>
      <c r="E78" s="13" t="s">
        <v>228</v>
      </c>
      <c r="F78" s="8" t="s">
        <v>72</v>
      </c>
      <c r="G78" s="13" t="s">
        <v>207</v>
      </c>
      <c r="H78" s="8" t="s">
        <v>112</v>
      </c>
      <c r="I78" s="13" t="s">
        <v>75</v>
      </c>
      <c r="J78" s="14">
        <v>46137</v>
      </c>
      <c r="K78" s="14">
        <v>46143</v>
      </c>
      <c r="L78" s="15" t="s">
        <v>21</v>
      </c>
      <c r="M78" s="13"/>
      <c r="N78" s="16" t="s">
        <v>229</v>
      </c>
    </row>
    <row r="79" spans="1:14" ht="25.5" x14ac:dyDescent="0.25">
      <c r="A79" s="8" t="s">
        <v>50</v>
      </c>
      <c r="B79" s="13" t="s">
        <v>46</v>
      </c>
      <c r="C79" s="13" t="s">
        <v>70</v>
      </c>
      <c r="D79" s="8">
        <v>33</v>
      </c>
      <c r="E79" s="13" t="s">
        <v>230</v>
      </c>
      <c r="F79" s="8" t="s">
        <v>72</v>
      </c>
      <c r="G79" s="13" t="s">
        <v>79</v>
      </c>
      <c r="H79" s="8" t="s">
        <v>87</v>
      </c>
      <c r="I79" s="13" t="s">
        <v>75</v>
      </c>
      <c r="J79" s="14">
        <v>46138</v>
      </c>
      <c r="K79" s="14">
        <v>46142</v>
      </c>
      <c r="L79" s="15" t="s">
        <v>21</v>
      </c>
      <c r="M79" s="13"/>
      <c r="N79" s="16" t="s">
        <v>231</v>
      </c>
    </row>
    <row r="80" spans="1:14" ht="24" x14ac:dyDescent="0.25">
      <c r="A80" s="8" t="s">
        <v>50</v>
      </c>
      <c r="B80" s="13" t="s">
        <v>46</v>
      </c>
      <c r="C80" s="13" t="s">
        <v>70</v>
      </c>
      <c r="D80" s="8">
        <v>34</v>
      </c>
      <c r="E80" s="13" t="s">
        <v>232</v>
      </c>
      <c r="F80" s="8" t="s">
        <v>72</v>
      </c>
      <c r="G80" s="13"/>
      <c r="H80" s="8" t="s">
        <v>87</v>
      </c>
      <c r="I80" s="13" t="s">
        <v>75</v>
      </c>
      <c r="J80" s="14">
        <v>46138</v>
      </c>
      <c r="K80" s="14">
        <v>46142</v>
      </c>
      <c r="L80" s="15" t="s">
        <v>21</v>
      </c>
      <c r="M80" s="13"/>
      <c r="N80" s="16" t="s">
        <v>233</v>
      </c>
    </row>
    <row r="81" spans="1:14" ht="25.5" x14ac:dyDescent="0.25">
      <c r="A81" s="8" t="s">
        <v>50</v>
      </c>
      <c r="B81" s="13" t="s">
        <v>46</v>
      </c>
      <c r="C81" s="13" t="s">
        <v>70</v>
      </c>
      <c r="D81" s="8">
        <v>35</v>
      </c>
      <c r="E81" s="13" t="s">
        <v>234</v>
      </c>
      <c r="F81" s="8" t="s">
        <v>72</v>
      </c>
      <c r="G81" s="13"/>
      <c r="H81" s="8" t="s">
        <v>74</v>
      </c>
      <c r="I81" s="13" t="s">
        <v>75</v>
      </c>
      <c r="J81" s="14">
        <v>46138</v>
      </c>
      <c r="K81" s="14">
        <v>46143</v>
      </c>
      <c r="L81" s="15" t="s">
        <v>21</v>
      </c>
      <c r="M81" s="13"/>
      <c r="N81" s="16" t="s">
        <v>235</v>
      </c>
    </row>
    <row r="82" spans="1:14" ht="25.5" x14ac:dyDescent="0.25">
      <c r="A82" s="8" t="s">
        <v>50</v>
      </c>
      <c r="B82" s="13" t="s">
        <v>46</v>
      </c>
      <c r="C82" s="13" t="s">
        <v>70</v>
      </c>
      <c r="D82" s="8">
        <v>45</v>
      </c>
      <c r="E82" s="13" t="s">
        <v>236</v>
      </c>
      <c r="F82" s="8" t="s">
        <v>72</v>
      </c>
      <c r="G82" s="13"/>
      <c r="H82" s="8" t="s">
        <v>87</v>
      </c>
      <c r="I82" s="13" t="s">
        <v>75</v>
      </c>
      <c r="J82" s="14">
        <v>46142</v>
      </c>
      <c r="K82" s="14">
        <v>46143</v>
      </c>
      <c r="L82" s="15" t="s">
        <v>21</v>
      </c>
      <c r="M82" s="13"/>
      <c r="N82" s="16" t="s">
        <v>237</v>
      </c>
    </row>
    <row r="83" spans="1:14" ht="25.5" x14ac:dyDescent="0.25">
      <c r="A83" s="8" t="s">
        <v>50</v>
      </c>
      <c r="B83" s="13" t="s">
        <v>46</v>
      </c>
      <c r="C83" s="13" t="s">
        <v>70</v>
      </c>
      <c r="D83" s="8">
        <v>46</v>
      </c>
      <c r="E83" s="13" t="s">
        <v>238</v>
      </c>
      <c r="F83" s="8" t="s">
        <v>72</v>
      </c>
      <c r="G83" s="13"/>
      <c r="H83" s="8" t="s">
        <v>87</v>
      </c>
      <c r="I83" s="13" t="s">
        <v>75</v>
      </c>
      <c r="J83" s="14">
        <v>46142</v>
      </c>
      <c r="K83" s="14">
        <v>46143</v>
      </c>
      <c r="L83" s="15" t="s">
        <v>21</v>
      </c>
      <c r="M83" s="13"/>
      <c r="N83" s="16" t="s">
        <v>239</v>
      </c>
    </row>
    <row r="84" spans="1:14" ht="25.5" x14ac:dyDescent="0.25">
      <c r="A84" s="8" t="s">
        <v>50</v>
      </c>
      <c r="B84" s="13" t="s">
        <v>46</v>
      </c>
      <c r="C84" s="13" t="s">
        <v>70</v>
      </c>
      <c r="D84" s="8">
        <v>52</v>
      </c>
      <c r="E84" s="13" t="s">
        <v>240</v>
      </c>
      <c r="F84" s="8" t="s">
        <v>72</v>
      </c>
      <c r="G84" s="13" t="s">
        <v>79</v>
      </c>
      <c r="H84" s="8" t="s">
        <v>74</v>
      </c>
      <c r="I84" s="13" t="s">
        <v>75</v>
      </c>
      <c r="J84" s="14">
        <v>46143</v>
      </c>
      <c r="K84" s="14">
        <v>46143</v>
      </c>
      <c r="L84" s="15" t="s">
        <v>21</v>
      </c>
      <c r="M84" s="13"/>
      <c r="N84" s="16" t="s">
        <v>241</v>
      </c>
    </row>
    <row r="85" spans="1:14" ht="38.25" x14ac:dyDescent="0.25">
      <c r="A85" s="8" t="s">
        <v>50</v>
      </c>
      <c r="B85" s="13" t="s">
        <v>46</v>
      </c>
      <c r="C85" s="13" t="s">
        <v>70</v>
      </c>
      <c r="D85" s="8">
        <v>271</v>
      </c>
      <c r="E85" s="13" t="s">
        <v>242</v>
      </c>
      <c r="F85" s="8" t="s">
        <v>72</v>
      </c>
      <c r="G85" s="13"/>
      <c r="H85" s="8"/>
      <c r="I85" s="13" t="s">
        <v>75</v>
      </c>
      <c r="J85" s="14">
        <v>46151</v>
      </c>
      <c r="K85" s="14">
        <v>46161</v>
      </c>
      <c r="L85" s="15" t="s">
        <v>21</v>
      </c>
      <c r="M85" s="13"/>
      <c r="N85" s="16" t="s">
        <v>243</v>
      </c>
    </row>
    <row r="86" spans="1:14" ht="25.5" x14ac:dyDescent="0.25">
      <c r="A86" s="8" t="s">
        <v>50</v>
      </c>
      <c r="B86" s="13" t="s">
        <v>46</v>
      </c>
      <c r="C86" s="13" t="s">
        <v>70</v>
      </c>
      <c r="D86" s="8">
        <v>294</v>
      </c>
      <c r="E86" s="13" t="s">
        <v>244</v>
      </c>
      <c r="F86" s="8" t="s">
        <v>72</v>
      </c>
      <c r="G86" s="13"/>
      <c r="H86" s="8" t="s">
        <v>93</v>
      </c>
      <c r="I86" s="13" t="s">
        <v>75</v>
      </c>
      <c r="J86" s="14">
        <v>46154</v>
      </c>
      <c r="K86" s="14">
        <v>46174</v>
      </c>
      <c r="L86" s="15" t="s">
        <v>21</v>
      </c>
      <c r="M86" s="13"/>
      <c r="N86" s="16" t="s">
        <v>245</v>
      </c>
    </row>
    <row r="87" spans="1:14" ht="24" x14ac:dyDescent="0.25">
      <c r="A87" s="8" t="s">
        <v>50</v>
      </c>
      <c r="B87" s="13" t="s">
        <v>46</v>
      </c>
      <c r="C87" s="13" t="s">
        <v>70</v>
      </c>
      <c r="D87" s="8">
        <v>296</v>
      </c>
      <c r="E87" s="13" t="s">
        <v>246</v>
      </c>
      <c r="F87" s="8" t="s">
        <v>92</v>
      </c>
      <c r="G87" s="13"/>
      <c r="H87" s="8" t="s">
        <v>87</v>
      </c>
      <c r="I87" s="13" t="s">
        <v>75</v>
      </c>
      <c r="J87" s="14">
        <v>46155</v>
      </c>
      <c r="K87" s="14">
        <v>46161</v>
      </c>
      <c r="L87" s="15" t="s">
        <v>21</v>
      </c>
      <c r="M87" s="13"/>
      <c r="N87" s="16" t="s">
        <v>247</v>
      </c>
    </row>
    <row r="88" spans="1:14" ht="24" x14ac:dyDescent="0.25">
      <c r="A88" s="8" t="s">
        <v>50</v>
      </c>
      <c r="B88" s="13" t="s">
        <v>46</v>
      </c>
      <c r="C88" s="13" t="s">
        <v>70</v>
      </c>
      <c r="D88" s="8">
        <v>298</v>
      </c>
      <c r="E88" s="13" t="s">
        <v>248</v>
      </c>
      <c r="F88" s="8" t="s">
        <v>92</v>
      </c>
      <c r="G88" s="13"/>
      <c r="H88" s="8" t="s">
        <v>87</v>
      </c>
      <c r="I88" s="13" t="s">
        <v>75</v>
      </c>
      <c r="J88" s="14">
        <v>46156</v>
      </c>
      <c r="K88" s="14">
        <v>46161</v>
      </c>
      <c r="L88" s="15" t="s">
        <v>21</v>
      </c>
      <c r="M88" s="13"/>
      <c r="N88" s="16" t="s">
        <v>249</v>
      </c>
    </row>
    <row r="89" spans="1:14" ht="25.5" x14ac:dyDescent="0.25">
      <c r="A89" s="8" t="s">
        <v>50</v>
      </c>
      <c r="B89" s="13" t="s">
        <v>46</v>
      </c>
      <c r="C89" s="13" t="s">
        <v>70</v>
      </c>
      <c r="D89" s="8">
        <v>302</v>
      </c>
      <c r="E89" s="13" t="s">
        <v>250</v>
      </c>
      <c r="F89" s="8" t="s">
        <v>92</v>
      </c>
      <c r="G89" s="13"/>
      <c r="H89" s="8" t="s">
        <v>87</v>
      </c>
      <c r="I89" s="13" t="s">
        <v>75</v>
      </c>
      <c r="J89" s="14">
        <v>46157</v>
      </c>
      <c r="K89" s="14">
        <v>46161</v>
      </c>
      <c r="L89" s="15" t="s">
        <v>21</v>
      </c>
      <c r="M89" s="13"/>
      <c r="N89" s="16" t="s">
        <v>251</v>
      </c>
    </row>
    <row r="90" spans="1:14" ht="24" x14ac:dyDescent="0.25">
      <c r="A90" s="8" t="s">
        <v>50</v>
      </c>
      <c r="B90" s="13" t="s">
        <v>46</v>
      </c>
      <c r="C90" s="13" t="s">
        <v>70</v>
      </c>
      <c r="D90" s="8">
        <v>303</v>
      </c>
      <c r="E90" s="13" t="s">
        <v>252</v>
      </c>
      <c r="F90" s="8" t="s">
        <v>253</v>
      </c>
      <c r="G90" s="13"/>
      <c r="H90" s="8" t="s">
        <v>74</v>
      </c>
      <c r="I90" s="13" t="s">
        <v>75</v>
      </c>
      <c r="J90" s="14">
        <v>46157</v>
      </c>
      <c r="K90" s="14">
        <v>46169</v>
      </c>
      <c r="L90" s="15" t="s">
        <v>21</v>
      </c>
      <c r="M90" s="13" t="s">
        <v>254</v>
      </c>
      <c r="N90" s="16" t="s">
        <v>255</v>
      </c>
    </row>
    <row r="91" spans="1:14" ht="24" x14ac:dyDescent="0.25">
      <c r="A91" s="8" t="s">
        <v>50</v>
      </c>
      <c r="B91" s="13" t="s">
        <v>46</v>
      </c>
      <c r="C91" s="13" t="s">
        <v>70</v>
      </c>
      <c r="D91" s="8">
        <v>304</v>
      </c>
      <c r="E91" s="13" t="s">
        <v>256</v>
      </c>
      <c r="F91" s="8" t="s">
        <v>253</v>
      </c>
      <c r="G91" s="13" t="s">
        <v>73</v>
      </c>
      <c r="H91" s="8" t="s">
        <v>74</v>
      </c>
      <c r="I91" s="13" t="s">
        <v>75</v>
      </c>
      <c r="J91" s="14">
        <v>46157</v>
      </c>
      <c r="K91" s="14">
        <v>46170</v>
      </c>
      <c r="L91" s="15" t="s">
        <v>21</v>
      </c>
      <c r="M91" s="13" t="s">
        <v>254</v>
      </c>
      <c r="N91" s="16" t="s">
        <v>257</v>
      </c>
    </row>
    <row r="92" spans="1:14" ht="24" x14ac:dyDescent="0.25">
      <c r="A92" s="8" t="s">
        <v>50</v>
      </c>
      <c r="B92" s="13" t="s">
        <v>46</v>
      </c>
      <c r="C92" s="13" t="s">
        <v>70</v>
      </c>
      <c r="D92" s="8">
        <v>305</v>
      </c>
      <c r="E92" s="13" t="s">
        <v>258</v>
      </c>
      <c r="F92" s="8" t="s">
        <v>253</v>
      </c>
      <c r="G92" s="13" t="s">
        <v>73</v>
      </c>
      <c r="H92" s="8" t="s">
        <v>74</v>
      </c>
      <c r="I92" s="13" t="s">
        <v>75</v>
      </c>
      <c r="J92" s="14">
        <v>46157</v>
      </c>
      <c r="K92" s="14">
        <v>46177</v>
      </c>
      <c r="L92" s="15" t="s">
        <v>21</v>
      </c>
      <c r="M92" s="13" t="s">
        <v>254</v>
      </c>
      <c r="N92" s="16" t="s">
        <v>259</v>
      </c>
    </row>
    <row r="93" spans="1:14" ht="24" x14ac:dyDescent="0.25">
      <c r="A93" s="8" t="s">
        <v>50</v>
      </c>
      <c r="B93" s="13" t="s">
        <v>46</v>
      </c>
      <c r="C93" s="13" t="s">
        <v>70</v>
      </c>
      <c r="D93" s="8">
        <v>306</v>
      </c>
      <c r="E93" s="13" t="s">
        <v>260</v>
      </c>
      <c r="F93" s="8" t="s">
        <v>253</v>
      </c>
      <c r="G93" s="13" t="s">
        <v>79</v>
      </c>
      <c r="H93" s="8" t="s">
        <v>74</v>
      </c>
      <c r="I93" s="13" t="s">
        <v>75</v>
      </c>
      <c r="J93" s="14">
        <v>46157</v>
      </c>
      <c r="K93" s="14">
        <v>46174</v>
      </c>
      <c r="L93" s="15" t="s">
        <v>21</v>
      </c>
      <c r="M93" s="13" t="s">
        <v>254</v>
      </c>
      <c r="N93" s="16" t="s">
        <v>261</v>
      </c>
    </row>
    <row r="94" spans="1:14" ht="24" x14ac:dyDescent="0.25">
      <c r="A94" s="8" t="s">
        <v>50</v>
      </c>
      <c r="B94" s="13" t="s">
        <v>46</v>
      </c>
      <c r="C94" s="13" t="s">
        <v>70</v>
      </c>
      <c r="D94" s="8">
        <v>307</v>
      </c>
      <c r="E94" s="13" t="s">
        <v>262</v>
      </c>
      <c r="F94" s="8" t="s">
        <v>253</v>
      </c>
      <c r="G94" s="13" t="s">
        <v>86</v>
      </c>
      <c r="H94" s="8" t="s">
        <v>74</v>
      </c>
      <c r="I94" s="13" t="s">
        <v>75</v>
      </c>
      <c r="J94" s="14">
        <v>46157</v>
      </c>
      <c r="K94" s="14">
        <v>46178</v>
      </c>
      <c r="L94" s="15" t="s">
        <v>21</v>
      </c>
      <c r="M94" s="13" t="s">
        <v>254</v>
      </c>
      <c r="N94" s="16" t="s">
        <v>263</v>
      </c>
    </row>
    <row r="95" spans="1:14" ht="24" x14ac:dyDescent="0.25">
      <c r="A95" s="8" t="s">
        <v>50</v>
      </c>
      <c r="B95" s="13" t="s">
        <v>46</v>
      </c>
      <c r="C95" s="13" t="s">
        <v>70</v>
      </c>
      <c r="D95" s="8">
        <v>308</v>
      </c>
      <c r="E95" s="13" t="s">
        <v>264</v>
      </c>
      <c r="F95" s="8" t="s">
        <v>92</v>
      </c>
      <c r="G95" s="13"/>
      <c r="H95" s="8" t="s">
        <v>74</v>
      </c>
      <c r="I95" s="13" t="s">
        <v>75</v>
      </c>
      <c r="J95" s="14">
        <v>46157</v>
      </c>
      <c r="K95" s="14">
        <v>46161</v>
      </c>
      <c r="L95" s="15" t="s">
        <v>21</v>
      </c>
      <c r="M95" s="13"/>
      <c r="N95" s="16" t="s">
        <v>265</v>
      </c>
    </row>
    <row r="96" spans="1:14" ht="24" x14ac:dyDescent="0.25">
      <c r="A96" s="8" t="s">
        <v>50</v>
      </c>
      <c r="B96" s="13" t="s">
        <v>46</v>
      </c>
      <c r="C96" s="13" t="s">
        <v>70</v>
      </c>
      <c r="D96" s="8">
        <v>309</v>
      </c>
      <c r="E96" s="13" t="s">
        <v>266</v>
      </c>
      <c r="F96" s="8" t="s">
        <v>253</v>
      </c>
      <c r="G96" s="13" t="s">
        <v>73</v>
      </c>
      <c r="H96" s="8" t="s">
        <v>74</v>
      </c>
      <c r="I96" s="13" t="s">
        <v>75</v>
      </c>
      <c r="J96" s="14">
        <v>46157</v>
      </c>
      <c r="K96" s="14">
        <v>46178</v>
      </c>
      <c r="L96" s="17" t="s">
        <v>23</v>
      </c>
      <c r="M96" s="13" t="s">
        <v>267</v>
      </c>
      <c r="N96" s="16" t="s">
        <v>268</v>
      </c>
    </row>
    <row r="97" spans="1:14" ht="24" x14ac:dyDescent="0.25">
      <c r="A97" s="8" t="s">
        <v>50</v>
      </c>
      <c r="B97" s="13" t="s">
        <v>46</v>
      </c>
      <c r="C97" s="13" t="s">
        <v>70</v>
      </c>
      <c r="D97" s="8">
        <v>310</v>
      </c>
      <c r="E97" s="13" t="s">
        <v>269</v>
      </c>
      <c r="F97" s="8" t="s">
        <v>253</v>
      </c>
      <c r="G97" s="13" t="s">
        <v>73</v>
      </c>
      <c r="H97" s="8" t="s">
        <v>74</v>
      </c>
      <c r="I97" s="13" t="s">
        <v>75</v>
      </c>
      <c r="J97" s="14">
        <v>46157</v>
      </c>
      <c r="K97" s="14">
        <v>46170</v>
      </c>
      <c r="L97" s="15" t="s">
        <v>21</v>
      </c>
      <c r="M97" s="13" t="s">
        <v>254</v>
      </c>
      <c r="N97" s="16" t="s">
        <v>270</v>
      </c>
    </row>
    <row r="98" spans="1:14" ht="24" x14ac:dyDescent="0.25">
      <c r="A98" s="8" t="s">
        <v>50</v>
      </c>
      <c r="B98" s="13" t="s">
        <v>46</v>
      </c>
      <c r="C98" s="13" t="s">
        <v>70</v>
      </c>
      <c r="D98" s="8">
        <v>311</v>
      </c>
      <c r="E98" s="13" t="s">
        <v>271</v>
      </c>
      <c r="F98" s="8" t="s">
        <v>253</v>
      </c>
      <c r="G98" s="13" t="s">
        <v>73</v>
      </c>
      <c r="H98" s="8" t="s">
        <v>74</v>
      </c>
      <c r="I98" s="13" t="s">
        <v>75</v>
      </c>
      <c r="J98" s="14">
        <v>46157</v>
      </c>
      <c r="K98" s="14">
        <v>46170</v>
      </c>
      <c r="L98" s="15" t="s">
        <v>21</v>
      </c>
      <c r="M98" s="13" t="s">
        <v>254</v>
      </c>
      <c r="N98" s="16" t="s">
        <v>272</v>
      </c>
    </row>
    <row r="99" spans="1:14" ht="24" x14ac:dyDescent="0.25">
      <c r="A99" s="8" t="s">
        <v>50</v>
      </c>
      <c r="B99" s="13" t="s">
        <v>46</v>
      </c>
      <c r="C99" s="13" t="s">
        <v>70</v>
      </c>
      <c r="D99" s="8">
        <v>312</v>
      </c>
      <c r="E99" s="13" t="s">
        <v>273</v>
      </c>
      <c r="F99" s="8" t="s">
        <v>253</v>
      </c>
      <c r="G99" s="13" t="s">
        <v>73</v>
      </c>
      <c r="H99" s="8" t="s">
        <v>74</v>
      </c>
      <c r="I99" s="13" t="s">
        <v>75</v>
      </c>
      <c r="J99" s="14">
        <v>46157</v>
      </c>
      <c r="K99" s="14">
        <v>46178</v>
      </c>
      <c r="L99" s="17" t="s">
        <v>23</v>
      </c>
      <c r="M99" s="13" t="s">
        <v>267</v>
      </c>
      <c r="N99" s="16" t="s">
        <v>274</v>
      </c>
    </row>
    <row r="100" spans="1:14" ht="24" x14ac:dyDescent="0.25">
      <c r="A100" s="8" t="s">
        <v>50</v>
      </c>
      <c r="B100" s="13" t="s">
        <v>46</v>
      </c>
      <c r="C100" s="13" t="s">
        <v>70</v>
      </c>
      <c r="D100" s="8">
        <v>313</v>
      </c>
      <c r="E100" s="13" t="s">
        <v>275</v>
      </c>
      <c r="F100" s="8" t="s">
        <v>92</v>
      </c>
      <c r="G100" s="13"/>
      <c r="H100" s="8" t="s">
        <v>112</v>
      </c>
      <c r="I100" s="13" t="s">
        <v>75</v>
      </c>
      <c r="J100" s="14">
        <v>46157</v>
      </c>
      <c r="K100" s="14">
        <v>46161</v>
      </c>
      <c r="L100" s="15" t="s">
        <v>21</v>
      </c>
      <c r="M100" s="13"/>
      <c r="N100" s="16" t="s">
        <v>276</v>
      </c>
    </row>
    <row r="101" spans="1:14" ht="24" x14ac:dyDescent="0.25">
      <c r="A101" s="8" t="s">
        <v>50</v>
      </c>
      <c r="B101" s="13" t="s">
        <v>46</v>
      </c>
      <c r="C101" s="13" t="s">
        <v>70</v>
      </c>
      <c r="D101" s="8">
        <v>314</v>
      </c>
      <c r="E101" s="13" t="s">
        <v>277</v>
      </c>
      <c r="F101" s="8" t="s">
        <v>92</v>
      </c>
      <c r="G101" s="13"/>
      <c r="H101" s="8" t="s">
        <v>87</v>
      </c>
      <c r="I101" s="13" t="s">
        <v>75</v>
      </c>
      <c r="J101" s="14">
        <v>46157</v>
      </c>
      <c r="K101" s="14">
        <v>46162</v>
      </c>
      <c r="L101" s="15" t="s">
        <v>21</v>
      </c>
      <c r="M101" s="13" t="s">
        <v>254</v>
      </c>
      <c r="N101" s="16" t="s">
        <v>278</v>
      </c>
    </row>
    <row r="102" spans="1:14" ht="24" x14ac:dyDescent="0.25">
      <c r="A102" s="8" t="s">
        <v>16</v>
      </c>
      <c r="B102" s="13" t="s">
        <v>52</v>
      </c>
      <c r="C102" s="13" t="s">
        <v>279</v>
      </c>
      <c r="D102" s="8">
        <v>368</v>
      </c>
      <c r="E102" s="13" t="s">
        <v>280</v>
      </c>
      <c r="F102" s="8" t="s">
        <v>72</v>
      </c>
      <c r="G102" s="13"/>
      <c r="H102" s="8"/>
      <c r="I102" s="13" t="s">
        <v>75</v>
      </c>
      <c r="J102" s="14">
        <v>46185</v>
      </c>
      <c r="K102" s="14">
        <v>46194</v>
      </c>
      <c r="L102" s="15" t="s">
        <v>21</v>
      </c>
      <c r="M102" s="13"/>
      <c r="N102" s="16" t="s">
        <v>281</v>
      </c>
    </row>
    <row r="103" spans="1:14" ht="24" x14ac:dyDescent="0.25">
      <c r="A103" s="8" t="s">
        <v>16</v>
      </c>
      <c r="B103" s="13" t="s">
        <v>52</v>
      </c>
      <c r="C103" s="13" t="s">
        <v>279</v>
      </c>
      <c r="D103" s="8">
        <v>371</v>
      </c>
      <c r="E103" s="13" t="s">
        <v>282</v>
      </c>
      <c r="F103" s="8" t="s">
        <v>92</v>
      </c>
      <c r="G103" s="13"/>
      <c r="H103" s="8"/>
      <c r="I103" s="13" t="s">
        <v>75</v>
      </c>
      <c r="J103" s="14">
        <v>46185</v>
      </c>
      <c r="K103" s="14">
        <v>46185</v>
      </c>
      <c r="L103" s="15" t="s">
        <v>21</v>
      </c>
      <c r="M103" s="13"/>
      <c r="N103" s="16" t="s">
        <v>283</v>
      </c>
    </row>
    <row r="104" spans="1:14" ht="24" x14ac:dyDescent="0.25">
      <c r="A104" s="8" t="s">
        <v>16</v>
      </c>
      <c r="B104" s="13" t="s">
        <v>52</v>
      </c>
      <c r="C104" s="13" t="s">
        <v>279</v>
      </c>
      <c r="D104" s="8">
        <v>372</v>
      </c>
      <c r="E104" s="13" t="s">
        <v>282</v>
      </c>
      <c r="F104" s="8" t="s">
        <v>92</v>
      </c>
      <c r="G104" s="13"/>
      <c r="H104" s="8"/>
      <c r="I104" s="13" t="s">
        <v>75</v>
      </c>
      <c r="J104" s="14">
        <v>46185</v>
      </c>
      <c r="K104" s="14">
        <v>46185</v>
      </c>
      <c r="L104" s="15" t="s">
        <v>21</v>
      </c>
      <c r="M104" s="13"/>
      <c r="N104" s="16" t="s">
        <v>284</v>
      </c>
    </row>
    <row r="105" spans="1:14" ht="24" x14ac:dyDescent="0.25">
      <c r="A105" s="8" t="s">
        <v>16</v>
      </c>
      <c r="B105" s="13" t="s">
        <v>52</v>
      </c>
      <c r="C105" s="13" t="s">
        <v>279</v>
      </c>
      <c r="D105" s="8">
        <v>373</v>
      </c>
      <c r="E105" s="13" t="s">
        <v>285</v>
      </c>
      <c r="F105" s="8" t="s">
        <v>92</v>
      </c>
      <c r="G105" s="13"/>
      <c r="H105" s="8"/>
      <c r="I105" s="13" t="s">
        <v>75</v>
      </c>
      <c r="J105" s="14">
        <v>46185</v>
      </c>
      <c r="K105" s="14">
        <v>46185</v>
      </c>
      <c r="L105" s="15" t="s">
        <v>21</v>
      </c>
      <c r="M105" s="13"/>
      <c r="N105" s="16" t="s">
        <v>286</v>
      </c>
    </row>
    <row r="106" spans="1:14" ht="24" x14ac:dyDescent="0.25">
      <c r="A106" s="8" t="s">
        <v>16</v>
      </c>
      <c r="B106" s="13" t="s">
        <v>52</v>
      </c>
      <c r="C106" s="13" t="s">
        <v>279</v>
      </c>
      <c r="D106" s="8">
        <v>374</v>
      </c>
      <c r="E106" s="13" t="s">
        <v>285</v>
      </c>
      <c r="F106" s="8" t="s">
        <v>92</v>
      </c>
      <c r="G106" s="13"/>
      <c r="H106" s="8"/>
      <c r="I106" s="13" t="s">
        <v>75</v>
      </c>
      <c r="J106" s="14">
        <v>46185</v>
      </c>
      <c r="K106" s="14">
        <v>46185</v>
      </c>
      <c r="L106" s="15" t="s">
        <v>21</v>
      </c>
      <c r="M106" s="13"/>
      <c r="N106" s="16" t="s">
        <v>287</v>
      </c>
    </row>
    <row r="107" spans="1:14" ht="24" x14ac:dyDescent="0.25">
      <c r="A107" s="8" t="s">
        <v>16</v>
      </c>
      <c r="B107" s="13" t="s">
        <v>52</v>
      </c>
      <c r="C107" s="13" t="s">
        <v>279</v>
      </c>
      <c r="D107" s="8">
        <v>375</v>
      </c>
      <c r="E107" s="13" t="s">
        <v>285</v>
      </c>
      <c r="F107" s="8" t="s">
        <v>92</v>
      </c>
      <c r="G107" s="13"/>
      <c r="H107" s="8"/>
      <c r="I107" s="13" t="s">
        <v>75</v>
      </c>
      <c r="J107" s="14">
        <v>46185</v>
      </c>
      <c r="K107" s="14">
        <v>46185</v>
      </c>
      <c r="L107" s="15" t="s">
        <v>21</v>
      </c>
      <c r="M107" s="13"/>
      <c r="N107" s="16" t="s">
        <v>288</v>
      </c>
    </row>
    <row r="108" spans="1:14" ht="25.5" x14ac:dyDescent="0.25">
      <c r="A108" s="8" t="s">
        <v>16</v>
      </c>
      <c r="B108" s="13" t="s">
        <v>52</v>
      </c>
      <c r="C108" s="13" t="s">
        <v>279</v>
      </c>
      <c r="D108" s="8">
        <v>376</v>
      </c>
      <c r="E108" s="13" t="s">
        <v>289</v>
      </c>
      <c r="F108" s="8" t="s">
        <v>92</v>
      </c>
      <c r="G108" s="13"/>
      <c r="H108" s="8"/>
      <c r="I108" s="13" t="s">
        <v>290</v>
      </c>
      <c r="J108" s="14">
        <v>46185</v>
      </c>
      <c r="K108" s="14">
        <v>46185</v>
      </c>
      <c r="L108" s="15" t="s">
        <v>21</v>
      </c>
      <c r="M108" s="13"/>
      <c r="N108" s="16" t="s">
        <v>291</v>
      </c>
    </row>
    <row r="109" spans="1:14" ht="24" x14ac:dyDescent="0.25">
      <c r="A109" s="8" t="s">
        <v>16</v>
      </c>
      <c r="B109" s="13" t="s">
        <v>52</v>
      </c>
      <c r="C109" s="13" t="s">
        <v>279</v>
      </c>
      <c r="D109" s="8">
        <v>377</v>
      </c>
      <c r="E109" s="13" t="s">
        <v>292</v>
      </c>
      <c r="F109" s="8" t="s">
        <v>92</v>
      </c>
      <c r="G109" s="13"/>
      <c r="H109" s="8"/>
      <c r="I109" s="13" t="s">
        <v>75</v>
      </c>
      <c r="J109" s="14">
        <v>46185</v>
      </c>
      <c r="K109" s="14">
        <v>46185</v>
      </c>
      <c r="L109" s="15" t="s">
        <v>21</v>
      </c>
      <c r="M109" s="13"/>
      <c r="N109" s="16" t="s">
        <v>293</v>
      </c>
    </row>
    <row r="110" spans="1:14" ht="24" x14ac:dyDescent="0.25">
      <c r="A110" s="8" t="s">
        <v>16</v>
      </c>
      <c r="B110" s="13" t="s">
        <v>52</v>
      </c>
      <c r="C110" s="13" t="s">
        <v>279</v>
      </c>
      <c r="D110" s="8">
        <v>378</v>
      </c>
      <c r="E110" s="13" t="s">
        <v>294</v>
      </c>
      <c r="F110" s="8" t="s">
        <v>92</v>
      </c>
      <c r="G110" s="13"/>
      <c r="H110" s="8"/>
      <c r="I110" s="13" t="s">
        <v>75</v>
      </c>
      <c r="J110" s="14">
        <v>46185</v>
      </c>
      <c r="K110" s="14">
        <v>46185</v>
      </c>
      <c r="L110" s="15" t="s">
        <v>21</v>
      </c>
      <c r="M110" s="13"/>
      <c r="N110" s="16" t="s">
        <v>295</v>
      </c>
    </row>
    <row r="111" spans="1:14" ht="24" x14ac:dyDescent="0.25">
      <c r="A111" s="8" t="s">
        <v>16</v>
      </c>
      <c r="B111" s="13" t="s">
        <v>52</v>
      </c>
      <c r="C111" s="13" t="s">
        <v>279</v>
      </c>
      <c r="D111" s="8">
        <v>379</v>
      </c>
      <c r="E111" s="13" t="s">
        <v>296</v>
      </c>
      <c r="F111" s="8" t="s">
        <v>92</v>
      </c>
      <c r="G111" s="13"/>
      <c r="H111" s="8"/>
      <c r="I111" s="13" t="s">
        <v>75</v>
      </c>
      <c r="J111" s="14">
        <v>46185</v>
      </c>
      <c r="K111" s="14">
        <v>46185</v>
      </c>
      <c r="L111" s="15" t="s">
        <v>21</v>
      </c>
      <c r="M111" s="13"/>
      <c r="N111" s="16" t="s">
        <v>297</v>
      </c>
    </row>
    <row r="112" spans="1:14" ht="24" x14ac:dyDescent="0.25">
      <c r="A112" s="8" t="s">
        <v>16</v>
      </c>
      <c r="B112" s="13" t="s">
        <v>52</v>
      </c>
      <c r="C112" s="13" t="s">
        <v>279</v>
      </c>
      <c r="D112" s="8">
        <v>380</v>
      </c>
      <c r="E112" s="13" t="s">
        <v>298</v>
      </c>
      <c r="F112" s="8" t="s">
        <v>92</v>
      </c>
      <c r="G112" s="13"/>
      <c r="H112" s="8"/>
      <c r="I112" s="13" t="s">
        <v>75</v>
      </c>
      <c r="J112" s="14">
        <v>46185</v>
      </c>
      <c r="K112" s="14">
        <v>46185</v>
      </c>
      <c r="L112" s="15" t="s">
        <v>21</v>
      </c>
      <c r="M112" s="13"/>
      <c r="N112" s="16" t="s">
        <v>299</v>
      </c>
    </row>
    <row r="113" spans="1:14" ht="24" x14ac:dyDescent="0.25">
      <c r="A113" s="8" t="s">
        <v>16</v>
      </c>
      <c r="B113" s="13" t="s">
        <v>52</v>
      </c>
      <c r="C113" s="13" t="s">
        <v>279</v>
      </c>
      <c r="D113" s="8">
        <v>381</v>
      </c>
      <c r="E113" s="13" t="s">
        <v>300</v>
      </c>
      <c r="F113" s="8" t="s">
        <v>92</v>
      </c>
      <c r="G113" s="13"/>
      <c r="H113" s="8"/>
      <c r="I113" s="13" t="s">
        <v>75</v>
      </c>
      <c r="J113" s="14">
        <v>46185</v>
      </c>
      <c r="K113" s="14">
        <v>46186</v>
      </c>
      <c r="L113" s="15" t="s">
        <v>21</v>
      </c>
      <c r="M113" s="13"/>
      <c r="N113" s="16" t="s">
        <v>301</v>
      </c>
    </row>
    <row r="114" spans="1:14" ht="24" x14ac:dyDescent="0.25">
      <c r="A114" s="8" t="s">
        <v>16</v>
      </c>
      <c r="B114" s="13" t="s">
        <v>52</v>
      </c>
      <c r="C114" s="13" t="s">
        <v>279</v>
      </c>
      <c r="D114" s="8">
        <v>383</v>
      </c>
      <c r="E114" s="13" t="s">
        <v>302</v>
      </c>
      <c r="F114" s="8" t="s">
        <v>92</v>
      </c>
      <c r="G114" s="13"/>
      <c r="H114" s="8"/>
      <c r="I114" s="13" t="s">
        <v>75</v>
      </c>
      <c r="J114" s="14">
        <v>46185</v>
      </c>
      <c r="K114" s="14">
        <v>46186</v>
      </c>
      <c r="L114" s="15" t="s">
        <v>21</v>
      </c>
      <c r="M114" s="13"/>
      <c r="N114" s="16" t="s">
        <v>303</v>
      </c>
    </row>
    <row r="115" spans="1:14" ht="24" x14ac:dyDescent="0.25">
      <c r="A115" s="8" t="s">
        <v>16</v>
      </c>
      <c r="B115" s="13" t="s">
        <v>52</v>
      </c>
      <c r="C115" s="13" t="s">
        <v>279</v>
      </c>
      <c r="D115" s="8">
        <v>384</v>
      </c>
      <c r="E115" s="13" t="s">
        <v>304</v>
      </c>
      <c r="F115" s="8" t="s">
        <v>92</v>
      </c>
      <c r="G115" s="13"/>
      <c r="H115" s="8"/>
      <c r="I115" s="13" t="s">
        <v>75</v>
      </c>
      <c r="J115" s="14">
        <v>46185</v>
      </c>
      <c r="K115" s="14">
        <v>46185</v>
      </c>
      <c r="L115" s="15" t="s">
        <v>21</v>
      </c>
      <c r="M115" s="13"/>
      <c r="N115" s="16" t="s">
        <v>305</v>
      </c>
    </row>
    <row r="116" spans="1:14" ht="24" x14ac:dyDescent="0.25">
      <c r="A116" s="8" t="s">
        <v>16</v>
      </c>
      <c r="B116" s="13" t="s">
        <v>52</v>
      </c>
      <c r="C116" s="13" t="s">
        <v>279</v>
      </c>
      <c r="D116" s="8">
        <v>385</v>
      </c>
      <c r="E116" s="13" t="s">
        <v>306</v>
      </c>
      <c r="F116" s="8" t="s">
        <v>92</v>
      </c>
      <c r="G116" s="13"/>
      <c r="H116" s="8"/>
      <c r="I116" s="13" t="s">
        <v>75</v>
      </c>
      <c r="J116" s="14">
        <v>46185</v>
      </c>
      <c r="K116" s="14">
        <v>46191</v>
      </c>
      <c r="L116" s="15" t="s">
        <v>21</v>
      </c>
      <c r="M116" s="13"/>
      <c r="N116" s="16" t="s">
        <v>307</v>
      </c>
    </row>
    <row r="117" spans="1:14" ht="24" x14ac:dyDescent="0.25">
      <c r="A117" s="8" t="s">
        <v>16</v>
      </c>
      <c r="B117" s="13" t="s">
        <v>52</v>
      </c>
      <c r="C117" s="13" t="s">
        <v>279</v>
      </c>
      <c r="D117" s="8">
        <v>386</v>
      </c>
      <c r="E117" s="13" t="s">
        <v>308</v>
      </c>
      <c r="F117" s="8" t="s">
        <v>92</v>
      </c>
      <c r="G117" s="13"/>
      <c r="H117" s="8"/>
      <c r="I117" s="13" t="s">
        <v>75</v>
      </c>
      <c r="J117" s="14">
        <v>46185</v>
      </c>
      <c r="K117" s="14">
        <v>46186</v>
      </c>
      <c r="L117" s="15" t="s">
        <v>21</v>
      </c>
      <c r="M117" s="13"/>
      <c r="N117" s="16" t="s">
        <v>309</v>
      </c>
    </row>
    <row r="118" spans="1:14" ht="24" x14ac:dyDescent="0.25">
      <c r="A118" s="8" t="s">
        <v>16</v>
      </c>
      <c r="B118" s="13" t="s">
        <v>52</v>
      </c>
      <c r="C118" s="13" t="s">
        <v>279</v>
      </c>
      <c r="D118" s="8">
        <v>387</v>
      </c>
      <c r="E118" s="13" t="s">
        <v>310</v>
      </c>
      <c r="F118" s="8" t="s">
        <v>92</v>
      </c>
      <c r="G118" s="13"/>
      <c r="H118" s="8"/>
      <c r="I118" s="13" t="s">
        <v>75</v>
      </c>
      <c r="J118" s="14">
        <v>46185</v>
      </c>
      <c r="K118" s="14">
        <v>46186</v>
      </c>
      <c r="L118" s="15" t="s">
        <v>21</v>
      </c>
      <c r="M118" s="13"/>
      <c r="N118" s="16" t="s">
        <v>311</v>
      </c>
    </row>
    <row r="119" spans="1:14" ht="24" x14ac:dyDescent="0.25">
      <c r="A119" s="8" t="s">
        <v>16</v>
      </c>
      <c r="B119" s="13" t="s">
        <v>52</v>
      </c>
      <c r="C119" s="13" t="s">
        <v>279</v>
      </c>
      <c r="D119" s="8">
        <v>388</v>
      </c>
      <c r="E119" s="13" t="s">
        <v>312</v>
      </c>
      <c r="F119" s="8" t="s">
        <v>72</v>
      </c>
      <c r="G119" s="13"/>
      <c r="H119" s="8"/>
      <c r="I119" s="13" t="s">
        <v>290</v>
      </c>
      <c r="J119" s="14">
        <v>46185</v>
      </c>
      <c r="K119" s="14">
        <v>46186</v>
      </c>
      <c r="L119" s="15" t="s">
        <v>21</v>
      </c>
      <c r="M119" s="13"/>
      <c r="N119" s="16" t="s">
        <v>313</v>
      </c>
    </row>
    <row r="120" spans="1:14" ht="24" x14ac:dyDescent="0.25">
      <c r="A120" s="8" t="s">
        <v>16</v>
      </c>
      <c r="B120" s="13" t="s">
        <v>52</v>
      </c>
      <c r="C120" s="13" t="s">
        <v>279</v>
      </c>
      <c r="D120" s="8">
        <v>526</v>
      </c>
      <c r="E120" s="13" t="s">
        <v>314</v>
      </c>
      <c r="F120" s="8" t="s">
        <v>92</v>
      </c>
      <c r="G120" s="13"/>
      <c r="H120" s="8"/>
      <c r="I120" s="13" t="s">
        <v>75</v>
      </c>
      <c r="J120" s="14">
        <v>46188</v>
      </c>
      <c r="K120" s="14">
        <v>46191</v>
      </c>
      <c r="L120" s="15" t="s">
        <v>21</v>
      </c>
      <c r="M120" s="13" t="s">
        <v>254</v>
      </c>
      <c r="N120" s="16" t="s">
        <v>315</v>
      </c>
    </row>
    <row r="121" spans="1:14" ht="24" x14ac:dyDescent="0.25">
      <c r="A121" s="8" t="s">
        <v>16</v>
      </c>
      <c r="B121" s="13" t="s">
        <v>52</v>
      </c>
      <c r="C121" s="13" t="s">
        <v>279</v>
      </c>
      <c r="D121" s="8">
        <v>527</v>
      </c>
      <c r="E121" s="13" t="s">
        <v>316</v>
      </c>
      <c r="F121" s="8" t="s">
        <v>92</v>
      </c>
      <c r="G121" s="13"/>
      <c r="H121" s="8"/>
      <c r="I121" s="13" t="s">
        <v>75</v>
      </c>
      <c r="J121" s="14">
        <v>46188</v>
      </c>
      <c r="K121" s="14">
        <v>46193</v>
      </c>
      <c r="L121" s="15" t="s">
        <v>21</v>
      </c>
      <c r="M121" s="13" t="s">
        <v>254</v>
      </c>
      <c r="N121" s="16" t="s">
        <v>317</v>
      </c>
    </row>
    <row r="122" spans="1:14" ht="24" x14ac:dyDescent="0.25">
      <c r="A122" s="8" t="s">
        <v>16</v>
      </c>
      <c r="B122" s="13" t="s">
        <v>52</v>
      </c>
      <c r="C122" s="13" t="s">
        <v>279</v>
      </c>
      <c r="D122" s="8">
        <v>529</v>
      </c>
      <c r="E122" s="13" t="s">
        <v>318</v>
      </c>
      <c r="F122" s="8" t="s">
        <v>92</v>
      </c>
      <c r="G122" s="13"/>
      <c r="H122" s="8"/>
      <c r="I122" s="13" t="s">
        <v>75</v>
      </c>
      <c r="J122" s="14">
        <v>46188</v>
      </c>
      <c r="K122" s="14">
        <v>46188</v>
      </c>
      <c r="L122" s="15" t="s">
        <v>21</v>
      </c>
      <c r="M122" s="13" t="s">
        <v>254</v>
      </c>
      <c r="N122" s="16" t="s">
        <v>319</v>
      </c>
    </row>
    <row r="123" spans="1:14" ht="24" x14ac:dyDescent="0.25">
      <c r="A123" s="8" t="s">
        <v>16</v>
      </c>
      <c r="B123" s="13" t="s">
        <v>52</v>
      </c>
      <c r="C123" s="13" t="s">
        <v>279</v>
      </c>
      <c r="D123" s="8">
        <v>531</v>
      </c>
      <c r="E123" s="13" t="s">
        <v>320</v>
      </c>
      <c r="F123" s="8" t="s">
        <v>92</v>
      </c>
      <c r="G123" s="13"/>
      <c r="H123" s="8"/>
      <c r="I123" s="13" t="s">
        <v>75</v>
      </c>
      <c r="J123" s="14">
        <v>46188</v>
      </c>
      <c r="K123" s="14">
        <v>46188</v>
      </c>
      <c r="L123" s="15" t="s">
        <v>21</v>
      </c>
      <c r="M123" s="13" t="s">
        <v>254</v>
      </c>
      <c r="N123" s="16" t="s">
        <v>321</v>
      </c>
    </row>
    <row r="124" spans="1:14" ht="24" x14ac:dyDescent="0.25">
      <c r="A124" s="8" t="s">
        <v>16</v>
      </c>
      <c r="B124" s="13" t="s">
        <v>52</v>
      </c>
      <c r="C124" s="13" t="s">
        <v>279</v>
      </c>
      <c r="D124" s="8">
        <v>541</v>
      </c>
      <c r="E124" s="13" t="s">
        <v>322</v>
      </c>
      <c r="F124" s="8" t="s">
        <v>92</v>
      </c>
      <c r="G124" s="13"/>
      <c r="H124" s="8"/>
      <c r="I124" s="13" t="s">
        <v>75</v>
      </c>
      <c r="J124" s="14">
        <v>46188</v>
      </c>
      <c r="K124" s="14">
        <v>46188</v>
      </c>
      <c r="L124" s="15" t="s">
        <v>21</v>
      </c>
      <c r="M124" s="13"/>
      <c r="N124" s="16" t="s">
        <v>323</v>
      </c>
    </row>
    <row r="125" spans="1:14" ht="24" x14ac:dyDescent="0.25">
      <c r="A125" s="8" t="s">
        <v>16</v>
      </c>
      <c r="B125" s="13" t="s">
        <v>52</v>
      </c>
      <c r="C125" s="13" t="s">
        <v>279</v>
      </c>
      <c r="D125" s="8">
        <v>567</v>
      </c>
      <c r="E125" s="13" t="s">
        <v>324</v>
      </c>
      <c r="F125" s="8" t="s">
        <v>92</v>
      </c>
      <c r="G125" s="13"/>
      <c r="H125" s="8"/>
      <c r="I125" s="13" t="s">
        <v>75</v>
      </c>
      <c r="J125" s="14">
        <v>46189</v>
      </c>
      <c r="K125" s="14">
        <v>46192</v>
      </c>
      <c r="L125" s="15" t="s">
        <v>21</v>
      </c>
      <c r="M125" s="13"/>
      <c r="N125" s="16" t="s">
        <v>325</v>
      </c>
    </row>
    <row r="126" spans="1:14" ht="24" x14ac:dyDescent="0.25">
      <c r="A126" s="8" t="s">
        <v>16</v>
      </c>
      <c r="B126" s="13" t="s">
        <v>52</v>
      </c>
      <c r="C126" s="13" t="s">
        <v>279</v>
      </c>
      <c r="D126" s="8">
        <v>629</v>
      </c>
      <c r="E126" s="13" t="s">
        <v>326</v>
      </c>
      <c r="F126" s="8" t="s">
        <v>92</v>
      </c>
      <c r="G126" s="13"/>
      <c r="H126" s="8"/>
      <c r="I126" s="13" t="s">
        <v>75</v>
      </c>
      <c r="J126" s="14">
        <v>46190</v>
      </c>
      <c r="K126" s="14">
        <v>46190</v>
      </c>
      <c r="L126" s="15" t="s">
        <v>21</v>
      </c>
      <c r="M126" s="13"/>
      <c r="N126" s="16" t="s">
        <v>327</v>
      </c>
    </row>
    <row r="127" spans="1:14" ht="24" x14ac:dyDescent="0.25">
      <c r="A127" s="8" t="s">
        <v>16</v>
      </c>
      <c r="B127" s="13" t="s">
        <v>52</v>
      </c>
      <c r="C127" s="13" t="s">
        <v>279</v>
      </c>
      <c r="D127" s="8">
        <v>630</v>
      </c>
      <c r="E127" s="13" t="s">
        <v>328</v>
      </c>
      <c r="F127" s="8" t="s">
        <v>92</v>
      </c>
      <c r="G127" s="13"/>
      <c r="H127" s="8" t="s">
        <v>329</v>
      </c>
      <c r="I127" s="13" t="s">
        <v>75</v>
      </c>
      <c r="J127" s="14">
        <v>46190</v>
      </c>
      <c r="K127" s="14">
        <v>46190</v>
      </c>
      <c r="L127" s="15" t="s">
        <v>21</v>
      </c>
      <c r="M127" s="13"/>
      <c r="N127" s="16" t="s">
        <v>330</v>
      </c>
    </row>
    <row r="128" spans="1:14" ht="24" x14ac:dyDescent="0.25">
      <c r="A128" s="8" t="s">
        <v>16</v>
      </c>
      <c r="B128" s="13" t="s">
        <v>52</v>
      </c>
      <c r="C128" s="13" t="s">
        <v>279</v>
      </c>
      <c r="D128" s="8">
        <v>632</v>
      </c>
      <c r="E128" s="13" t="s">
        <v>331</v>
      </c>
      <c r="F128" s="8" t="s">
        <v>92</v>
      </c>
      <c r="G128" s="13"/>
      <c r="H128" s="8" t="s">
        <v>329</v>
      </c>
      <c r="I128" s="13" t="s">
        <v>75</v>
      </c>
      <c r="J128" s="14">
        <v>46190</v>
      </c>
      <c r="K128" s="14">
        <v>46190</v>
      </c>
      <c r="L128" s="15" t="s">
        <v>21</v>
      </c>
      <c r="M128" s="13"/>
      <c r="N128" s="16" t="s">
        <v>332</v>
      </c>
    </row>
    <row r="129" spans="1:14" ht="24" x14ac:dyDescent="0.25">
      <c r="A129" s="8" t="s">
        <v>16</v>
      </c>
      <c r="B129" s="13" t="s">
        <v>52</v>
      </c>
      <c r="C129" s="13" t="s">
        <v>279</v>
      </c>
      <c r="D129" s="8">
        <v>636</v>
      </c>
      <c r="E129" s="13" t="s">
        <v>333</v>
      </c>
      <c r="F129" s="8" t="s">
        <v>92</v>
      </c>
      <c r="G129" s="13"/>
      <c r="H129" s="8" t="s">
        <v>329</v>
      </c>
      <c r="I129" s="13" t="s">
        <v>75</v>
      </c>
      <c r="J129" s="14">
        <v>46190</v>
      </c>
      <c r="K129" s="14">
        <v>46190</v>
      </c>
      <c r="L129" s="15" t="s">
        <v>21</v>
      </c>
      <c r="M129" s="13"/>
      <c r="N129" s="16" t="s">
        <v>334</v>
      </c>
    </row>
    <row r="130" spans="1:14" ht="24" x14ac:dyDescent="0.25">
      <c r="A130" s="8" t="s">
        <v>16</v>
      </c>
      <c r="B130" s="13" t="s">
        <v>52</v>
      </c>
      <c r="C130" s="13" t="s">
        <v>335</v>
      </c>
      <c r="D130" s="8">
        <v>369</v>
      </c>
      <c r="E130" s="13" t="s">
        <v>336</v>
      </c>
      <c r="F130" s="8" t="s">
        <v>72</v>
      </c>
      <c r="G130" s="13"/>
      <c r="H130" s="8"/>
      <c r="I130" s="13" t="s">
        <v>75</v>
      </c>
      <c r="J130" s="14">
        <v>46185</v>
      </c>
      <c r="K130" s="14">
        <v>46194</v>
      </c>
      <c r="L130" s="15" t="s">
        <v>21</v>
      </c>
      <c r="M130" s="13"/>
      <c r="N130" s="16" t="s">
        <v>337</v>
      </c>
    </row>
    <row r="131" spans="1:14" ht="24" x14ac:dyDescent="0.25">
      <c r="A131" s="8" t="s">
        <v>16</v>
      </c>
      <c r="B131" s="13" t="s">
        <v>52</v>
      </c>
      <c r="C131" s="13" t="s">
        <v>335</v>
      </c>
      <c r="D131" s="8">
        <v>382</v>
      </c>
      <c r="E131" s="13" t="s">
        <v>338</v>
      </c>
      <c r="F131" s="8" t="s">
        <v>92</v>
      </c>
      <c r="G131" s="13"/>
      <c r="H131" s="8"/>
      <c r="I131" s="13" t="s">
        <v>75</v>
      </c>
      <c r="J131" s="14">
        <v>46185</v>
      </c>
      <c r="K131" s="14">
        <v>46193</v>
      </c>
      <c r="L131" s="15" t="s">
        <v>21</v>
      </c>
      <c r="M131" s="13"/>
      <c r="N131" s="16" t="s">
        <v>339</v>
      </c>
    </row>
    <row r="132" spans="1:14" ht="24" x14ac:dyDescent="0.25">
      <c r="A132" s="8" t="s">
        <v>16</v>
      </c>
      <c r="B132" s="13" t="s">
        <v>52</v>
      </c>
      <c r="C132" s="13" t="s">
        <v>335</v>
      </c>
      <c r="D132" s="8">
        <v>389</v>
      </c>
      <c r="E132" s="13" t="s">
        <v>340</v>
      </c>
      <c r="F132" s="8" t="s">
        <v>92</v>
      </c>
      <c r="G132" s="13"/>
      <c r="H132" s="8"/>
      <c r="I132" s="13" t="s">
        <v>75</v>
      </c>
      <c r="J132" s="14">
        <v>46186</v>
      </c>
      <c r="K132" s="14">
        <v>46186</v>
      </c>
      <c r="L132" s="15" t="s">
        <v>21</v>
      </c>
      <c r="M132" s="13"/>
      <c r="N132" s="16" t="s">
        <v>341</v>
      </c>
    </row>
    <row r="133" spans="1:14" ht="24" x14ac:dyDescent="0.25">
      <c r="A133" s="8" t="s">
        <v>16</v>
      </c>
      <c r="B133" s="13" t="s">
        <v>52</v>
      </c>
      <c r="C133" s="13" t="s">
        <v>335</v>
      </c>
      <c r="D133" s="8">
        <v>390</v>
      </c>
      <c r="E133" s="13" t="s">
        <v>340</v>
      </c>
      <c r="F133" s="8" t="s">
        <v>92</v>
      </c>
      <c r="G133" s="13"/>
      <c r="H133" s="8"/>
      <c r="I133" s="13" t="s">
        <v>75</v>
      </c>
      <c r="J133" s="14">
        <v>46186</v>
      </c>
      <c r="K133" s="14">
        <v>46187</v>
      </c>
      <c r="L133" s="15" t="s">
        <v>21</v>
      </c>
      <c r="M133" s="13"/>
      <c r="N133" s="16" t="s">
        <v>342</v>
      </c>
    </row>
    <row r="134" spans="1:14" ht="24" x14ac:dyDescent="0.25">
      <c r="A134" s="8" t="s">
        <v>16</v>
      </c>
      <c r="B134" s="13" t="s">
        <v>52</v>
      </c>
      <c r="C134" s="13" t="s">
        <v>335</v>
      </c>
      <c r="D134" s="8">
        <v>545</v>
      </c>
      <c r="E134" s="13" t="s">
        <v>343</v>
      </c>
      <c r="F134" s="8" t="s">
        <v>72</v>
      </c>
      <c r="G134" s="13"/>
      <c r="H134" s="8"/>
      <c r="I134" s="13" t="s">
        <v>290</v>
      </c>
      <c r="J134" s="14">
        <v>46188</v>
      </c>
      <c r="K134" s="14">
        <v>46193</v>
      </c>
      <c r="L134" s="15" t="s">
        <v>21</v>
      </c>
      <c r="M134" s="13"/>
      <c r="N134" s="16" t="s">
        <v>344</v>
      </c>
    </row>
    <row r="135" spans="1:14" ht="24" x14ac:dyDescent="0.25">
      <c r="A135" s="8" t="s">
        <v>16</v>
      </c>
      <c r="B135" s="13" t="s">
        <v>52</v>
      </c>
      <c r="C135" s="13" t="s">
        <v>335</v>
      </c>
      <c r="D135" s="8">
        <v>546</v>
      </c>
      <c r="E135" s="13" t="s">
        <v>345</v>
      </c>
      <c r="F135" s="8" t="s">
        <v>72</v>
      </c>
      <c r="G135" s="13"/>
      <c r="H135" s="8"/>
      <c r="I135" s="13" t="s">
        <v>290</v>
      </c>
      <c r="J135" s="14">
        <v>46188</v>
      </c>
      <c r="K135" s="14">
        <v>46188</v>
      </c>
      <c r="L135" s="15" t="s">
        <v>21</v>
      </c>
      <c r="M135" s="13"/>
      <c r="N135" s="16" t="s">
        <v>346</v>
      </c>
    </row>
    <row r="136" spans="1:14" ht="24" x14ac:dyDescent="0.25">
      <c r="A136" s="8" t="s">
        <v>16</v>
      </c>
      <c r="B136" s="13" t="s">
        <v>52</v>
      </c>
      <c r="C136" s="13" t="s">
        <v>335</v>
      </c>
      <c r="D136" s="8">
        <v>548</v>
      </c>
      <c r="E136" s="13" t="s">
        <v>347</v>
      </c>
      <c r="F136" s="8" t="s">
        <v>72</v>
      </c>
      <c r="G136" s="13"/>
      <c r="H136" s="8"/>
      <c r="I136" s="13" t="s">
        <v>290</v>
      </c>
      <c r="J136" s="14">
        <v>46188</v>
      </c>
      <c r="K136" s="14">
        <v>46188</v>
      </c>
      <c r="L136" s="15" t="s">
        <v>21</v>
      </c>
      <c r="M136" s="13"/>
      <c r="N136" s="16" t="s">
        <v>348</v>
      </c>
    </row>
    <row r="137" spans="1:14" ht="24" x14ac:dyDescent="0.25">
      <c r="A137" s="8" t="s">
        <v>16</v>
      </c>
      <c r="B137" s="13" t="s">
        <v>52</v>
      </c>
      <c r="C137" s="13" t="s">
        <v>335</v>
      </c>
      <c r="D137" s="8">
        <v>549</v>
      </c>
      <c r="E137" s="13" t="s">
        <v>349</v>
      </c>
      <c r="F137" s="8" t="s">
        <v>72</v>
      </c>
      <c r="G137" s="13"/>
      <c r="H137" s="8"/>
      <c r="I137" s="13" t="s">
        <v>290</v>
      </c>
      <c r="J137" s="14">
        <v>46188</v>
      </c>
      <c r="K137" s="14">
        <v>46188</v>
      </c>
      <c r="L137" s="15" t="s">
        <v>21</v>
      </c>
      <c r="M137" s="13"/>
      <c r="N137" s="16" t="s">
        <v>350</v>
      </c>
    </row>
    <row r="138" spans="1:14" ht="24" x14ac:dyDescent="0.25">
      <c r="A138" s="8" t="s">
        <v>16</v>
      </c>
      <c r="B138" s="13" t="s">
        <v>52</v>
      </c>
      <c r="C138" s="13" t="s">
        <v>335</v>
      </c>
      <c r="D138" s="8">
        <v>550</v>
      </c>
      <c r="E138" s="13" t="s">
        <v>351</v>
      </c>
      <c r="F138" s="8" t="s">
        <v>72</v>
      </c>
      <c r="G138" s="13"/>
      <c r="H138" s="8"/>
      <c r="I138" s="13" t="s">
        <v>290</v>
      </c>
      <c r="J138" s="14">
        <v>46188</v>
      </c>
      <c r="K138" s="14">
        <v>46193</v>
      </c>
      <c r="L138" s="15" t="s">
        <v>21</v>
      </c>
      <c r="M138" s="13"/>
      <c r="N138" s="16" t="s">
        <v>352</v>
      </c>
    </row>
    <row r="139" spans="1:14" ht="24" x14ac:dyDescent="0.25">
      <c r="A139" s="8" t="s">
        <v>16</v>
      </c>
      <c r="B139" s="13" t="s">
        <v>52</v>
      </c>
      <c r="C139" s="13" t="s">
        <v>335</v>
      </c>
      <c r="D139" s="8">
        <v>551</v>
      </c>
      <c r="E139" s="13" t="s">
        <v>353</v>
      </c>
      <c r="F139" s="8" t="s">
        <v>72</v>
      </c>
      <c r="G139" s="13"/>
      <c r="H139" s="8"/>
      <c r="I139" s="13" t="s">
        <v>290</v>
      </c>
      <c r="J139" s="14">
        <v>46188</v>
      </c>
      <c r="K139" s="14">
        <v>46188</v>
      </c>
      <c r="L139" s="15" t="s">
        <v>21</v>
      </c>
      <c r="M139" s="13"/>
      <c r="N139" s="16" t="s">
        <v>354</v>
      </c>
    </row>
    <row r="140" spans="1:14" ht="24" x14ac:dyDescent="0.25">
      <c r="A140" s="8" t="s">
        <v>16</v>
      </c>
      <c r="B140" s="13" t="s">
        <v>52</v>
      </c>
      <c r="C140" s="13" t="s">
        <v>335</v>
      </c>
      <c r="D140" s="8">
        <v>553</v>
      </c>
      <c r="E140" s="13" t="s">
        <v>355</v>
      </c>
      <c r="F140" s="8" t="s">
        <v>72</v>
      </c>
      <c r="G140" s="13"/>
      <c r="H140" s="8"/>
      <c r="I140" s="13" t="s">
        <v>290</v>
      </c>
      <c r="J140" s="14">
        <v>46188</v>
      </c>
      <c r="K140" s="14">
        <v>46189</v>
      </c>
      <c r="L140" s="15" t="s">
        <v>21</v>
      </c>
      <c r="M140" s="13"/>
      <c r="N140" s="16" t="s">
        <v>356</v>
      </c>
    </row>
    <row r="141" spans="1:14" ht="24" x14ac:dyDescent="0.25">
      <c r="A141" s="8" t="s">
        <v>16</v>
      </c>
      <c r="B141" s="13" t="s">
        <v>52</v>
      </c>
      <c r="C141" s="13" t="s">
        <v>335</v>
      </c>
      <c r="D141" s="8">
        <v>554</v>
      </c>
      <c r="E141" s="13" t="s">
        <v>357</v>
      </c>
      <c r="F141" s="8" t="s">
        <v>72</v>
      </c>
      <c r="G141" s="13"/>
      <c r="H141" s="8"/>
      <c r="I141" s="13" t="s">
        <v>290</v>
      </c>
      <c r="J141" s="14">
        <v>46188</v>
      </c>
      <c r="K141" s="14">
        <v>46188</v>
      </c>
      <c r="L141" s="15" t="s">
        <v>21</v>
      </c>
      <c r="M141" s="13"/>
      <c r="N141" s="16" t="s">
        <v>358</v>
      </c>
    </row>
    <row r="142" spans="1:14" ht="24" x14ac:dyDescent="0.25">
      <c r="A142" s="8" t="s">
        <v>16</v>
      </c>
      <c r="B142" s="13" t="s">
        <v>52</v>
      </c>
      <c r="C142" s="13" t="s">
        <v>335</v>
      </c>
      <c r="D142" s="8">
        <v>618</v>
      </c>
      <c r="E142" s="13" t="s">
        <v>359</v>
      </c>
      <c r="F142" s="8" t="s">
        <v>72</v>
      </c>
      <c r="G142" s="13"/>
      <c r="H142" s="8"/>
      <c r="I142" s="13" t="s">
        <v>290</v>
      </c>
      <c r="J142" s="14">
        <v>46189</v>
      </c>
      <c r="K142" s="14">
        <v>46193</v>
      </c>
      <c r="L142" s="15" t="s">
        <v>21</v>
      </c>
      <c r="M142" s="13"/>
      <c r="N142" s="16" t="s">
        <v>360</v>
      </c>
    </row>
    <row r="143" spans="1:14" ht="24" x14ac:dyDescent="0.25">
      <c r="A143" s="8" t="s">
        <v>16</v>
      </c>
      <c r="B143" s="13" t="s">
        <v>52</v>
      </c>
      <c r="C143" s="13" t="s">
        <v>335</v>
      </c>
      <c r="D143" s="8">
        <v>631</v>
      </c>
      <c r="E143" s="13" t="s">
        <v>361</v>
      </c>
      <c r="F143" s="8" t="s">
        <v>92</v>
      </c>
      <c r="G143" s="13"/>
      <c r="H143" s="8" t="s">
        <v>329</v>
      </c>
      <c r="I143" s="13" t="s">
        <v>75</v>
      </c>
      <c r="J143" s="14">
        <v>46190</v>
      </c>
      <c r="K143" s="14">
        <v>46190</v>
      </c>
      <c r="L143" s="15" t="s">
        <v>21</v>
      </c>
      <c r="M143" s="13"/>
      <c r="N143" s="16" t="s">
        <v>362</v>
      </c>
    </row>
    <row r="144" spans="1:14" ht="24" x14ac:dyDescent="0.25">
      <c r="A144" s="8" t="s">
        <v>16</v>
      </c>
      <c r="B144" s="13" t="s">
        <v>52</v>
      </c>
      <c r="C144" s="13" t="s">
        <v>335</v>
      </c>
      <c r="D144" s="8">
        <v>635</v>
      </c>
      <c r="E144" s="13" t="s">
        <v>363</v>
      </c>
      <c r="F144" s="8" t="s">
        <v>92</v>
      </c>
      <c r="G144" s="13"/>
      <c r="H144" s="8" t="s">
        <v>329</v>
      </c>
      <c r="I144" s="13" t="s">
        <v>75</v>
      </c>
      <c r="J144" s="14">
        <v>46190</v>
      </c>
      <c r="K144" s="14">
        <v>46190</v>
      </c>
      <c r="L144" s="15" t="s">
        <v>21</v>
      </c>
      <c r="M144" s="13"/>
      <c r="N144" s="16" t="s">
        <v>364</v>
      </c>
    </row>
    <row r="145" spans="1:14" ht="24" x14ac:dyDescent="0.25">
      <c r="A145" s="8" t="s">
        <v>16</v>
      </c>
      <c r="B145" s="13" t="s">
        <v>52</v>
      </c>
      <c r="C145" s="13" t="s">
        <v>335</v>
      </c>
      <c r="D145" s="8">
        <v>639</v>
      </c>
      <c r="E145" s="13" t="s">
        <v>365</v>
      </c>
      <c r="F145" s="8" t="s">
        <v>92</v>
      </c>
      <c r="G145" s="13"/>
      <c r="H145" s="8" t="s">
        <v>329</v>
      </c>
      <c r="I145" s="13" t="s">
        <v>75</v>
      </c>
      <c r="J145" s="14">
        <v>46190</v>
      </c>
      <c r="K145" s="14">
        <v>46190</v>
      </c>
      <c r="L145" s="15" t="s">
        <v>21</v>
      </c>
      <c r="M145" s="13"/>
      <c r="N145" s="16" t="s">
        <v>366</v>
      </c>
    </row>
    <row r="146" spans="1:14" ht="24" x14ac:dyDescent="0.25">
      <c r="A146" s="8" t="s">
        <v>16</v>
      </c>
      <c r="B146" s="13" t="s">
        <v>52</v>
      </c>
      <c r="C146" s="13" t="s">
        <v>335</v>
      </c>
      <c r="D146" s="8">
        <v>640</v>
      </c>
      <c r="E146" s="13" t="s">
        <v>367</v>
      </c>
      <c r="F146" s="8" t="s">
        <v>92</v>
      </c>
      <c r="G146" s="13"/>
      <c r="H146" s="8" t="s">
        <v>329</v>
      </c>
      <c r="I146" s="13" t="s">
        <v>75</v>
      </c>
      <c r="J146" s="14">
        <v>46190</v>
      </c>
      <c r="K146" s="14">
        <v>46190</v>
      </c>
      <c r="L146" s="15" t="s">
        <v>21</v>
      </c>
      <c r="M146" s="13"/>
      <c r="N146" s="16" t="s">
        <v>368</v>
      </c>
    </row>
    <row r="147" spans="1:14" ht="24" x14ac:dyDescent="0.25">
      <c r="A147" s="8" t="s">
        <v>16</v>
      </c>
      <c r="B147" s="13" t="s">
        <v>52</v>
      </c>
      <c r="C147" s="13" t="s">
        <v>335</v>
      </c>
      <c r="D147" s="8">
        <v>669</v>
      </c>
      <c r="E147" s="13" t="s">
        <v>369</v>
      </c>
      <c r="F147" s="8" t="s">
        <v>92</v>
      </c>
      <c r="G147" s="13"/>
      <c r="H147" s="8" t="s">
        <v>329</v>
      </c>
      <c r="I147" s="13" t="s">
        <v>75</v>
      </c>
      <c r="J147" s="14">
        <v>46190</v>
      </c>
      <c r="K147" s="14">
        <v>46190</v>
      </c>
      <c r="L147" s="15" t="s">
        <v>21</v>
      </c>
      <c r="M147" s="13"/>
      <c r="N147" s="16" t="s">
        <v>370</v>
      </c>
    </row>
    <row r="148" spans="1:14" ht="24" x14ac:dyDescent="0.25">
      <c r="A148" s="8" t="s">
        <v>16</v>
      </c>
      <c r="B148" s="13" t="s">
        <v>52</v>
      </c>
      <c r="C148" s="13" t="s">
        <v>335</v>
      </c>
      <c r="D148" s="8">
        <v>670</v>
      </c>
      <c r="E148" s="13" t="s">
        <v>371</v>
      </c>
      <c r="F148" s="8" t="s">
        <v>92</v>
      </c>
      <c r="G148" s="13"/>
      <c r="H148" s="8" t="s">
        <v>329</v>
      </c>
      <c r="I148" s="13" t="s">
        <v>75</v>
      </c>
      <c r="J148" s="14">
        <v>46190</v>
      </c>
      <c r="K148" s="14">
        <v>46190</v>
      </c>
      <c r="L148" s="15" t="s">
        <v>21</v>
      </c>
      <c r="M148" s="13"/>
      <c r="N148" s="16" t="s">
        <v>372</v>
      </c>
    </row>
    <row r="149" spans="1:14" ht="24" x14ac:dyDescent="0.25">
      <c r="A149" s="8" t="s">
        <v>16</v>
      </c>
      <c r="B149" s="13" t="s">
        <v>52</v>
      </c>
      <c r="C149" s="13" t="s">
        <v>335</v>
      </c>
      <c r="D149" s="8">
        <v>671</v>
      </c>
      <c r="E149" s="13" t="s">
        <v>373</v>
      </c>
      <c r="F149" s="8" t="s">
        <v>92</v>
      </c>
      <c r="G149" s="13"/>
      <c r="H149" s="8" t="s">
        <v>329</v>
      </c>
      <c r="I149" s="13" t="s">
        <v>75</v>
      </c>
      <c r="J149" s="14">
        <v>46190</v>
      </c>
      <c r="K149" s="14">
        <v>46190</v>
      </c>
      <c r="L149" s="15" t="s">
        <v>21</v>
      </c>
      <c r="M149" s="13"/>
      <c r="N149" s="16" t="s">
        <v>374</v>
      </c>
    </row>
    <row r="150" spans="1:14" ht="24" x14ac:dyDescent="0.25">
      <c r="A150" s="8" t="s">
        <v>16</v>
      </c>
      <c r="B150" s="13" t="s">
        <v>52</v>
      </c>
      <c r="C150" s="13" t="s">
        <v>335</v>
      </c>
      <c r="D150" s="8">
        <v>672</v>
      </c>
      <c r="E150" s="13" t="s">
        <v>375</v>
      </c>
      <c r="F150" s="8" t="s">
        <v>92</v>
      </c>
      <c r="G150" s="13"/>
      <c r="H150" s="8" t="s">
        <v>329</v>
      </c>
      <c r="I150" s="13" t="s">
        <v>75</v>
      </c>
      <c r="J150" s="14">
        <v>46190</v>
      </c>
      <c r="K150" s="14">
        <v>46193</v>
      </c>
      <c r="L150" s="15" t="s">
        <v>21</v>
      </c>
      <c r="M150" s="13"/>
      <c r="N150" s="16" t="s">
        <v>376</v>
      </c>
    </row>
    <row r="151" spans="1:14" ht="24" x14ac:dyDescent="0.25">
      <c r="A151" s="8" t="s">
        <v>16</v>
      </c>
      <c r="B151" s="13" t="s">
        <v>52</v>
      </c>
      <c r="C151" s="13" t="s">
        <v>335</v>
      </c>
      <c r="D151" s="8">
        <v>673</v>
      </c>
      <c r="E151" s="13" t="s">
        <v>377</v>
      </c>
      <c r="F151" s="8" t="s">
        <v>92</v>
      </c>
      <c r="G151" s="13"/>
      <c r="H151" s="8" t="s">
        <v>329</v>
      </c>
      <c r="I151" s="13" t="s">
        <v>75</v>
      </c>
      <c r="J151" s="14">
        <v>46190</v>
      </c>
      <c r="K151" s="14">
        <v>46190</v>
      </c>
      <c r="L151" s="15" t="s">
        <v>21</v>
      </c>
      <c r="M151" s="13"/>
      <c r="N151" s="16" t="s">
        <v>378</v>
      </c>
    </row>
    <row r="152" spans="1:14" ht="24" x14ac:dyDescent="0.25">
      <c r="A152" s="8" t="s">
        <v>16</v>
      </c>
      <c r="B152" s="13" t="s">
        <v>52</v>
      </c>
      <c r="C152" s="13" t="s">
        <v>335</v>
      </c>
      <c r="D152" s="8">
        <v>674</v>
      </c>
      <c r="E152" s="13" t="s">
        <v>379</v>
      </c>
      <c r="F152" s="8" t="s">
        <v>92</v>
      </c>
      <c r="G152" s="13"/>
      <c r="H152" s="8" t="s">
        <v>329</v>
      </c>
      <c r="I152" s="13" t="s">
        <v>75</v>
      </c>
      <c r="J152" s="14">
        <v>46190</v>
      </c>
      <c r="K152" s="14">
        <v>46192</v>
      </c>
      <c r="L152" s="15" t="s">
        <v>21</v>
      </c>
      <c r="M152" s="13"/>
      <c r="N152" s="16" t="s">
        <v>380</v>
      </c>
    </row>
    <row r="153" spans="1:14" ht="24" x14ac:dyDescent="0.25">
      <c r="A153" s="8" t="s">
        <v>16</v>
      </c>
      <c r="B153" s="13" t="s">
        <v>52</v>
      </c>
      <c r="C153" s="13" t="s">
        <v>335</v>
      </c>
      <c r="D153" s="8">
        <v>675</v>
      </c>
      <c r="E153" s="13" t="s">
        <v>381</v>
      </c>
      <c r="F153" s="8" t="s">
        <v>92</v>
      </c>
      <c r="G153" s="13"/>
      <c r="H153" s="8" t="s">
        <v>329</v>
      </c>
      <c r="I153" s="13" t="s">
        <v>75</v>
      </c>
      <c r="J153" s="14">
        <v>46190</v>
      </c>
      <c r="K153" s="14">
        <v>46192</v>
      </c>
      <c r="L153" s="15" t="s">
        <v>21</v>
      </c>
      <c r="M153" s="13"/>
      <c r="N153" s="16" t="s">
        <v>382</v>
      </c>
    </row>
    <row r="154" spans="1:14" ht="24" x14ac:dyDescent="0.25">
      <c r="A154" s="8" t="s">
        <v>16</v>
      </c>
      <c r="B154" s="13" t="s">
        <v>52</v>
      </c>
      <c r="C154" s="13" t="s">
        <v>335</v>
      </c>
      <c r="D154" s="8">
        <v>689</v>
      </c>
      <c r="E154" s="13" t="s">
        <v>383</v>
      </c>
      <c r="F154" s="8" t="s">
        <v>92</v>
      </c>
      <c r="G154" s="13"/>
      <c r="H154" s="8" t="s">
        <v>329</v>
      </c>
      <c r="I154" s="13" t="s">
        <v>75</v>
      </c>
      <c r="J154" s="14">
        <v>46191</v>
      </c>
      <c r="K154" s="14">
        <v>46192</v>
      </c>
      <c r="L154" s="15" t="s">
        <v>21</v>
      </c>
      <c r="M154" s="13"/>
      <c r="N154" s="16" t="s">
        <v>384</v>
      </c>
    </row>
    <row r="155" spans="1:14" ht="24" x14ac:dyDescent="0.25">
      <c r="A155" s="8" t="s">
        <v>16</v>
      </c>
      <c r="B155" s="13" t="s">
        <v>52</v>
      </c>
      <c r="C155" s="13" t="s">
        <v>335</v>
      </c>
      <c r="D155" s="8">
        <v>690</v>
      </c>
      <c r="E155" s="13" t="s">
        <v>385</v>
      </c>
      <c r="F155" s="8" t="s">
        <v>92</v>
      </c>
      <c r="G155" s="13"/>
      <c r="H155" s="8"/>
      <c r="I155" s="13" t="s">
        <v>75</v>
      </c>
      <c r="J155" s="14">
        <v>46191</v>
      </c>
      <c r="K155" s="14">
        <v>46191</v>
      </c>
      <c r="L155" s="15" t="s">
        <v>21</v>
      </c>
      <c r="M155" s="13"/>
      <c r="N155" s="16" t="s">
        <v>386</v>
      </c>
    </row>
    <row r="156" spans="1:14" ht="25.5" x14ac:dyDescent="0.25">
      <c r="A156" s="8" t="s">
        <v>16</v>
      </c>
      <c r="B156" s="13" t="s">
        <v>52</v>
      </c>
      <c r="C156" s="13" t="s">
        <v>335</v>
      </c>
      <c r="D156" s="8">
        <v>691</v>
      </c>
      <c r="E156" s="13" t="s">
        <v>387</v>
      </c>
      <c r="F156" s="8" t="s">
        <v>92</v>
      </c>
      <c r="G156" s="13"/>
      <c r="H156" s="8" t="s">
        <v>329</v>
      </c>
      <c r="I156" s="13" t="s">
        <v>75</v>
      </c>
      <c r="J156" s="14">
        <v>46191</v>
      </c>
      <c r="K156" s="14">
        <v>46192</v>
      </c>
      <c r="L156" s="15" t="s">
        <v>21</v>
      </c>
      <c r="M156" s="13"/>
      <c r="N156" s="16" t="s">
        <v>388</v>
      </c>
    </row>
    <row r="157" spans="1:14" ht="24" x14ac:dyDescent="0.25">
      <c r="A157" s="8" t="s">
        <v>16</v>
      </c>
      <c r="B157" s="13" t="s">
        <v>52</v>
      </c>
      <c r="C157" s="13" t="s">
        <v>335</v>
      </c>
      <c r="D157" s="8">
        <v>692</v>
      </c>
      <c r="E157" s="13" t="s">
        <v>389</v>
      </c>
      <c r="F157" s="8" t="s">
        <v>92</v>
      </c>
      <c r="G157" s="13"/>
      <c r="H157" s="8" t="s">
        <v>329</v>
      </c>
      <c r="I157" s="13" t="s">
        <v>75</v>
      </c>
      <c r="J157" s="14">
        <v>46191</v>
      </c>
      <c r="K157" s="14">
        <v>46192</v>
      </c>
      <c r="L157" s="15" t="s">
        <v>21</v>
      </c>
      <c r="M157" s="13"/>
      <c r="N157" s="16" t="s">
        <v>390</v>
      </c>
    </row>
    <row r="158" spans="1:14" ht="24" x14ac:dyDescent="0.25">
      <c r="A158" s="8" t="s">
        <v>16</v>
      </c>
      <c r="B158" s="13" t="s">
        <v>52</v>
      </c>
      <c r="C158" s="13" t="s">
        <v>335</v>
      </c>
      <c r="D158" s="8">
        <v>693</v>
      </c>
      <c r="E158" s="13" t="s">
        <v>391</v>
      </c>
      <c r="F158" s="8" t="s">
        <v>92</v>
      </c>
      <c r="G158" s="13"/>
      <c r="H158" s="8" t="s">
        <v>329</v>
      </c>
      <c r="I158" s="13" t="s">
        <v>75</v>
      </c>
      <c r="J158" s="14">
        <v>46191</v>
      </c>
      <c r="K158" s="14">
        <v>46192</v>
      </c>
      <c r="L158" s="15" t="s">
        <v>21</v>
      </c>
      <c r="M158" s="13"/>
      <c r="N158" s="16" t="s">
        <v>392</v>
      </c>
    </row>
    <row r="159" spans="1:14" ht="24" x14ac:dyDescent="0.25">
      <c r="A159" s="8" t="s">
        <v>16</v>
      </c>
      <c r="B159" s="13" t="s">
        <v>52</v>
      </c>
      <c r="C159" s="13" t="s">
        <v>335</v>
      </c>
      <c r="D159" s="8">
        <v>694</v>
      </c>
      <c r="E159" s="13" t="s">
        <v>393</v>
      </c>
      <c r="F159" s="8" t="s">
        <v>92</v>
      </c>
      <c r="G159" s="13"/>
      <c r="H159" s="8"/>
      <c r="I159" s="13" t="s">
        <v>75</v>
      </c>
      <c r="J159" s="14">
        <v>46191</v>
      </c>
      <c r="K159" s="14">
        <v>46191</v>
      </c>
      <c r="L159" s="15" t="s">
        <v>21</v>
      </c>
      <c r="M159" s="13"/>
      <c r="N159" s="16" t="s">
        <v>394</v>
      </c>
    </row>
    <row r="160" spans="1:14" ht="24" x14ac:dyDescent="0.25">
      <c r="A160" s="8" t="s">
        <v>16</v>
      </c>
      <c r="B160" s="13" t="s">
        <v>52</v>
      </c>
      <c r="C160" s="13" t="s">
        <v>335</v>
      </c>
      <c r="D160" s="8">
        <v>695</v>
      </c>
      <c r="E160" s="13" t="s">
        <v>395</v>
      </c>
      <c r="F160" s="8" t="s">
        <v>92</v>
      </c>
      <c r="G160" s="13"/>
      <c r="H160" s="8" t="s">
        <v>329</v>
      </c>
      <c r="I160" s="13" t="s">
        <v>75</v>
      </c>
      <c r="J160" s="14">
        <v>46191</v>
      </c>
      <c r="K160" s="14">
        <v>46191</v>
      </c>
      <c r="L160" s="15" t="s">
        <v>21</v>
      </c>
      <c r="M160" s="13"/>
      <c r="N160" s="16" t="s">
        <v>396</v>
      </c>
    </row>
    <row r="161" spans="1:14" ht="24" x14ac:dyDescent="0.25">
      <c r="A161" s="8" t="s">
        <v>16</v>
      </c>
      <c r="B161" s="13" t="s">
        <v>52</v>
      </c>
      <c r="C161" s="13" t="s">
        <v>335</v>
      </c>
      <c r="D161" s="8">
        <v>696</v>
      </c>
      <c r="E161" s="13" t="s">
        <v>397</v>
      </c>
      <c r="F161" s="8" t="s">
        <v>92</v>
      </c>
      <c r="G161" s="13"/>
      <c r="H161" s="8" t="s">
        <v>329</v>
      </c>
      <c r="I161" s="13" t="s">
        <v>75</v>
      </c>
      <c r="J161" s="14">
        <v>46191</v>
      </c>
      <c r="K161" s="14">
        <v>46191</v>
      </c>
      <c r="L161" s="15" t="s">
        <v>21</v>
      </c>
      <c r="M161" s="13"/>
      <c r="N161" s="16" t="s">
        <v>398</v>
      </c>
    </row>
    <row r="162" spans="1:14" ht="24" x14ac:dyDescent="0.25">
      <c r="A162" s="8" t="s">
        <v>16</v>
      </c>
      <c r="B162" s="13" t="s">
        <v>52</v>
      </c>
      <c r="C162" s="13" t="s">
        <v>335</v>
      </c>
      <c r="D162" s="8">
        <v>700</v>
      </c>
      <c r="E162" s="13" t="s">
        <v>399</v>
      </c>
      <c r="F162" s="8" t="s">
        <v>92</v>
      </c>
      <c r="G162" s="13"/>
      <c r="H162" s="8" t="s">
        <v>329</v>
      </c>
      <c r="I162" s="13" t="s">
        <v>75</v>
      </c>
      <c r="J162" s="14">
        <v>46191</v>
      </c>
      <c r="K162" s="14">
        <v>46191</v>
      </c>
      <c r="L162" s="15" t="s">
        <v>21</v>
      </c>
      <c r="M162" s="13"/>
      <c r="N162" s="16" t="s">
        <v>400</v>
      </c>
    </row>
    <row r="163" spans="1:14" ht="24" x14ac:dyDescent="0.25">
      <c r="A163" s="8" t="s">
        <v>16</v>
      </c>
      <c r="B163" s="13" t="s">
        <v>52</v>
      </c>
      <c r="C163" s="13" t="s">
        <v>335</v>
      </c>
      <c r="D163" s="8">
        <v>712</v>
      </c>
      <c r="E163" s="13" t="s">
        <v>401</v>
      </c>
      <c r="F163" s="8" t="s">
        <v>92</v>
      </c>
      <c r="G163" s="13"/>
      <c r="H163" s="8" t="s">
        <v>329</v>
      </c>
      <c r="I163" s="13" t="s">
        <v>75</v>
      </c>
      <c r="J163" s="14">
        <v>46191</v>
      </c>
      <c r="K163" s="14">
        <v>46193</v>
      </c>
      <c r="L163" s="17" t="s">
        <v>23</v>
      </c>
      <c r="M163" s="13" t="s">
        <v>402</v>
      </c>
      <c r="N163" s="16" t="s">
        <v>403</v>
      </c>
    </row>
    <row r="164" spans="1:14" ht="24" x14ac:dyDescent="0.25">
      <c r="A164" s="8" t="s">
        <v>16</v>
      </c>
      <c r="B164" s="13" t="s">
        <v>52</v>
      </c>
      <c r="C164" s="13" t="s">
        <v>335</v>
      </c>
      <c r="D164" s="8">
        <v>713</v>
      </c>
      <c r="E164" s="13" t="s">
        <v>404</v>
      </c>
      <c r="F164" s="8" t="s">
        <v>92</v>
      </c>
      <c r="G164" s="13"/>
      <c r="H164" s="8" t="s">
        <v>329</v>
      </c>
      <c r="I164" s="13" t="s">
        <v>75</v>
      </c>
      <c r="J164" s="14">
        <v>46191</v>
      </c>
      <c r="K164" s="14">
        <v>46193</v>
      </c>
      <c r="L164" s="15" t="s">
        <v>21</v>
      </c>
      <c r="M164" s="13"/>
      <c r="N164" s="16" t="s">
        <v>405</v>
      </c>
    </row>
    <row r="165" spans="1:14" ht="25.5" x14ac:dyDescent="0.25">
      <c r="A165" s="8" t="s">
        <v>16</v>
      </c>
      <c r="B165" s="13" t="s">
        <v>52</v>
      </c>
      <c r="C165" s="13" t="s">
        <v>335</v>
      </c>
      <c r="D165" s="8">
        <v>714</v>
      </c>
      <c r="E165" s="13" t="s">
        <v>406</v>
      </c>
      <c r="F165" s="8" t="s">
        <v>92</v>
      </c>
      <c r="G165" s="13"/>
      <c r="H165" s="8"/>
      <c r="I165" s="13" t="s">
        <v>75</v>
      </c>
      <c r="J165" s="14">
        <v>46191</v>
      </c>
      <c r="K165" s="14">
        <v>46192</v>
      </c>
      <c r="L165" s="15" t="s">
        <v>21</v>
      </c>
      <c r="M165" s="13"/>
      <c r="N165" s="16" t="s">
        <v>407</v>
      </c>
    </row>
    <row r="166" spans="1:14" ht="24" x14ac:dyDescent="0.25">
      <c r="A166" s="8" t="s">
        <v>16</v>
      </c>
      <c r="B166" s="13" t="s">
        <v>52</v>
      </c>
      <c r="C166" s="13" t="s">
        <v>335</v>
      </c>
      <c r="D166" s="8">
        <v>715</v>
      </c>
      <c r="E166" s="13" t="s">
        <v>408</v>
      </c>
      <c r="F166" s="8" t="s">
        <v>92</v>
      </c>
      <c r="G166" s="13"/>
      <c r="H166" s="8" t="s">
        <v>329</v>
      </c>
      <c r="I166" s="13" t="s">
        <v>75</v>
      </c>
      <c r="J166" s="14">
        <v>46191</v>
      </c>
      <c r="K166" s="14">
        <v>46192</v>
      </c>
      <c r="L166" s="15" t="s">
        <v>21</v>
      </c>
      <c r="M166" s="13"/>
      <c r="N166" s="16" t="s">
        <v>409</v>
      </c>
    </row>
    <row r="167" spans="1:14" ht="24" x14ac:dyDescent="0.25">
      <c r="A167" s="8" t="s">
        <v>16</v>
      </c>
      <c r="B167" s="13" t="s">
        <v>52</v>
      </c>
      <c r="C167" s="13" t="s">
        <v>335</v>
      </c>
      <c r="D167" s="8">
        <v>716</v>
      </c>
      <c r="E167" s="13" t="s">
        <v>410</v>
      </c>
      <c r="F167" s="8" t="s">
        <v>72</v>
      </c>
      <c r="G167" s="13"/>
      <c r="H167" s="8"/>
      <c r="I167" s="13" t="s">
        <v>290</v>
      </c>
      <c r="J167" s="14">
        <v>46192</v>
      </c>
      <c r="K167" s="14">
        <v>46192</v>
      </c>
      <c r="L167" s="15" t="s">
        <v>21</v>
      </c>
      <c r="M167" s="13"/>
      <c r="N167" s="16" t="s">
        <v>411</v>
      </c>
    </row>
    <row r="168" spans="1:14" ht="24" x14ac:dyDescent="0.25">
      <c r="A168" s="8" t="s">
        <v>16</v>
      </c>
      <c r="B168" s="13" t="s">
        <v>52</v>
      </c>
      <c r="C168" s="13" t="s">
        <v>412</v>
      </c>
      <c r="D168" s="8">
        <v>370</v>
      </c>
      <c r="E168" s="13" t="s">
        <v>413</v>
      </c>
      <c r="F168" s="8" t="s">
        <v>72</v>
      </c>
      <c r="G168" s="13" t="s">
        <v>414</v>
      </c>
      <c r="H168" s="8"/>
      <c r="I168" s="13" t="s">
        <v>75</v>
      </c>
      <c r="J168" s="14">
        <v>46185</v>
      </c>
      <c r="K168" s="14">
        <v>46194</v>
      </c>
      <c r="L168" s="15" t="s">
        <v>21</v>
      </c>
      <c r="M168" s="13"/>
      <c r="N168" s="16" t="s">
        <v>415</v>
      </c>
    </row>
    <row r="169" spans="1:14" ht="24" x14ac:dyDescent="0.25">
      <c r="A169" s="8" t="s">
        <v>16</v>
      </c>
      <c r="B169" s="13" t="s">
        <v>52</v>
      </c>
      <c r="C169" s="13" t="s">
        <v>412</v>
      </c>
      <c r="D169" s="8">
        <v>518</v>
      </c>
      <c r="E169" s="13" t="s">
        <v>416</v>
      </c>
      <c r="F169" s="8" t="s">
        <v>92</v>
      </c>
      <c r="G169" s="13"/>
      <c r="H169" s="8"/>
      <c r="I169" s="13" t="s">
        <v>75</v>
      </c>
      <c r="J169" s="14">
        <v>46188</v>
      </c>
      <c r="K169" s="14">
        <v>46188</v>
      </c>
      <c r="L169" s="15" t="s">
        <v>21</v>
      </c>
      <c r="M169" s="13"/>
      <c r="N169" s="16" t="s">
        <v>417</v>
      </c>
    </row>
    <row r="170" spans="1:14" ht="24" x14ac:dyDescent="0.25">
      <c r="A170" s="8" t="s">
        <v>16</v>
      </c>
      <c r="B170" s="13" t="s">
        <v>52</v>
      </c>
      <c r="C170" s="13" t="s">
        <v>412</v>
      </c>
      <c r="D170" s="8">
        <v>520</v>
      </c>
      <c r="E170" s="13" t="s">
        <v>418</v>
      </c>
      <c r="F170" s="8" t="s">
        <v>92</v>
      </c>
      <c r="G170" s="13"/>
      <c r="H170" s="8"/>
      <c r="I170" s="13" t="s">
        <v>75</v>
      </c>
      <c r="J170" s="14">
        <v>46188</v>
      </c>
      <c r="K170" s="14">
        <v>46188</v>
      </c>
      <c r="L170" s="15" t="s">
        <v>21</v>
      </c>
      <c r="M170" s="13" t="s">
        <v>254</v>
      </c>
      <c r="N170" s="16" t="s">
        <v>419</v>
      </c>
    </row>
    <row r="171" spans="1:14" ht="24" x14ac:dyDescent="0.25">
      <c r="A171" s="8" t="s">
        <v>16</v>
      </c>
      <c r="B171" s="13" t="s">
        <v>52</v>
      </c>
      <c r="C171" s="13" t="s">
        <v>412</v>
      </c>
      <c r="D171" s="8">
        <v>521</v>
      </c>
      <c r="E171" s="13" t="s">
        <v>420</v>
      </c>
      <c r="F171" s="8" t="s">
        <v>92</v>
      </c>
      <c r="G171" s="13"/>
      <c r="H171" s="8"/>
      <c r="I171" s="13" t="s">
        <v>75</v>
      </c>
      <c r="J171" s="14">
        <v>46188</v>
      </c>
      <c r="K171" s="14">
        <v>46188</v>
      </c>
      <c r="L171" s="15" t="s">
        <v>21</v>
      </c>
      <c r="M171" s="13"/>
      <c r="N171" s="16" t="s">
        <v>421</v>
      </c>
    </row>
    <row r="172" spans="1:14" ht="24" x14ac:dyDescent="0.25">
      <c r="A172" s="8" t="s">
        <v>16</v>
      </c>
      <c r="B172" s="13" t="s">
        <v>52</v>
      </c>
      <c r="C172" s="13" t="s">
        <v>412</v>
      </c>
      <c r="D172" s="8">
        <v>522</v>
      </c>
      <c r="E172" s="13" t="s">
        <v>422</v>
      </c>
      <c r="F172" s="8" t="s">
        <v>92</v>
      </c>
      <c r="G172" s="13"/>
      <c r="H172" s="8"/>
      <c r="I172" s="13" t="s">
        <v>75</v>
      </c>
      <c r="J172" s="14">
        <v>46188</v>
      </c>
      <c r="K172" s="14">
        <v>46193</v>
      </c>
      <c r="L172" s="15" t="s">
        <v>21</v>
      </c>
      <c r="M172" s="13" t="s">
        <v>254</v>
      </c>
      <c r="N172" s="16" t="s">
        <v>423</v>
      </c>
    </row>
    <row r="173" spans="1:14" ht="24" x14ac:dyDescent="0.25">
      <c r="A173" s="8" t="s">
        <v>16</v>
      </c>
      <c r="B173" s="13" t="s">
        <v>52</v>
      </c>
      <c r="C173" s="13" t="s">
        <v>412</v>
      </c>
      <c r="D173" s="8">
        <v>523</v>
      </c>
      <c r="E173" s="13" t="s">
        <v>424</v>
      </c>
      <c r="F173" s="8" t="s">
        <v>92</v>
      </c>
      <c r="G173" s="13"/>
      <c r="H173" s="8"/>
      <c r="I173" s="13" t="s">
        <v>75</v>
      </c>
      <c r="J173" s="14">
        <v>46188</v>
      </c>
      <c r="K173" s="14">
        <v>46189</v>
      </c>
      <c r="L173" s="15" t="s">
        <v>21</v>
      </c>
      <c r="M173" s="13"/>
      <c r="N173" s="16" t="s">
        <v>425</v>
      </c>
    </row>
    <row r="174" spans="1:14" ht="24" x14ac:dyDescent="0.25">
      <c r="A174" s="8" t="s">
        <v>16</v>
      </c>
      <c r="B174" s="13" t="s">
        <v>52</v>
      </c>
      <c r="C174" s="13" t="s">
        <v>412</v>
      </c>
      <c r="D174" s="8">
        <v>525</v>
      </c>
      <c r="E174" s="13" t="s">
        <v>426</v>
      </c>
      <c r="F174" s="8" t="s">
        <v>92</v>
      </c>
      <c r="G174" s="13"/>
      <c r="H174" s="8"/>
      <c r="I174" s="13" t="s">
        <v>75</v>
      </c>
      <c r="J174" s="14">
        <v>46188</v>
      </c>
      <c r="K174" s="14">
        <v>46193</v>
      </c>
      <c r="L174" s="15" t="s">
        <v>21</v>
      </c>
      <c r="M174" s="13"/>
      <c r="N174" s="16" t="s">
        <v>427</v>
      </c>
    </row>
    <row r="175" spans="1:14" ht="24" x14ac:dyDescent="0.25">
      <c r="A175" s="8" t="s">
        <v>16</v>
      </c>
      <c r="B175" s="13" t="s">
        <v>52</v>
      </c>
      <c r="C175" s="13" t="s">
        <v>412</v>
      </c>
      <c r="D175" s="8">
        <v>544</v>
      </c>
      <c r="E175" s="13" t="s">
        <v>428</v>
      </c>
      <c r="F175" s="8" t="s">
        <v>92</v>
      </c>
      <c r="G175" s="13"/>
      <c r="H175" s="8"/>
      <c r="I175" s="13" t="s">
        <v>75</v>
      </c>
      <c r="J175" s="14">
        <v>46188</v>
      </c>
      <c r="K175" s="14">
        <v>46188</v>
      </c>
      <c r="L175" s="15" t="s">
        <v>21</v>
      </c>
      <c r="M175" s="13"/>
      <c r="N175" s="16" t="s">
        <v>429</v>
      </c>
    </row>
    <row r="176" spans="1:14" ht="24" x14ac:dyDescent="0.25">
      <c r="A176" s="8" t="s">
        <v>16</v>
      </c>
      <c r="B176" s="13" t="s">
        <v>52</v>
      </c>
      <c r="C176" s="13" t="s">
        <v>412</v>
      </c>
      <c r="D176" s="8">
        <v>575</v>
      </c>
      <c r="E176" s="13" t="s">
        <v>430</v>
      </c>
      <c r="F176" s="8" t="s">
        <v>92</v>
      </c>
      <c r="G176" s="13"/>
      <c r="H176" s="8"/>
      <c r="I176" s="13" t="s">
        <v>75</v>
      </c>
      <c r="J176" s="14">
        <v>46189</v>
      </c>
      <c r="K176" s="14">
        <v>46190</v>
      </c>
      <c r="L176" s="15" t="s">
        <v>21</v>
      </c>
      <c r="M176" s="13"/>
      <c r="N176" s="16" t="s">
        <v>431</v>
      </c>
    </row>
    <row r="177" spans="1:14" ht="24" x14ac:dyDescent="0.25">
      <c r="A177" s="8" t="s">
        <v>16</v>
      </c>
      <c r="B177" s="13" t="s">
        <v>52</v>
      </c>
      <c r="C177" s="13" t="s">
        <v>412</v>
      </c>
      <c r="D177" s="8">
        <v>592</v>
      </c>
      <c r="E177" s="13" t="s">
        <v>432</v>
      </c>
      <c r="F177" s="8" t="s">
        <v>92</v>
      </c>
      <c r="G177" s="13"/>
      <c r="H177" s="8"/>
      <c r="I177" s="13" t="s">
        <v>75</v>
      </c>
      <c r="J177" s="14">
        <v>46189</v>
      </c>
      <c r="K177" s="14">
        <v>46189</v>
      </c>
      <c r="L177" s="15" t="s">
        <v>21</v>
      </c>
      <c r="M177" s="13"/>
      <c r="N177" s="16" t="s">
        <v>433</v>
      </c>
    </row>
    <row r="178" spans="1:14" ht="24" x14ac:dyDescent="0.25">
      <c r="A178" s="8" t="s">
        <v>16</v>
      </c>
      <c r="B178" s="13" t="s">
        <v>52</v>
      </c>
      <c r="C178" s="13" t="s">
        <v>412</v>
      </c>
      <c r="D178" s="8">
        <v>593</v>
      </c>
      <c r="E178" s="13" t="s">
        <v>432</v>
      </c>
      <c r="F178" s="8" t="s">
        <v>92</v>
      </c>
      <c r="G178" s="13"/>
      <c r="H178" s="8"/>
      <c r="I178" s="13" t="s">
        <v>75</v>
      </c>
      <c r="J178" s="14">
        <v>46189</v>
      </c>
      <c r="K178" s="14">
        <v>46189</v>
      </c>
      <c r="L178" s="15" t="s">
        <v>21</v>
      </c>
      <c r="M178" s="13"/>
      <c r="N178" s="16" t="s">
        <v>434</v>
      </c>
    </row>
    <row r="179" spans="1:14" ht="24" x14ac:dyDescent="0.25">
      <c r="A179" s="8" t="s">
        <v>16</v>
      </c>
      <c r="B179" s="13" t="s">
        <v>52</v>
      </c>
      <c r="C179" s="13" t="s">
        <v>412</v>
      </c>
      <c r="D179" s="8">
        <v>594</v>
      </c>
      <c r="E179" s="13" t="s">
        <v>435</v>
      </c>
      <c r="F179" s="8" t="s">
        <v>92</v>
      </c>
      <c r="G179" s="13"/>
      <c r="H179" s="8"/>
      <c r="I179" s="13" t="s">
        <v>75</v>
      </c>
      <c r="J179" s="14">
        <v>46189</v>
      </c>
      <c r="K179" s="14">
        <v>46189</v>
      </c>
      <c r="L179" s="15" t="s">
        <v>21</v>
      </c>
      <c r="M179" s="13"/>
      <c r="N179" s="16" t="s">
        <v>436</v>
      </c>
    </row>
    <row r="180" spans="1:14" ht="24" x14ac:dyDescent="0.25">
      <c r="A180" s="8" t="s">
        <v>16</v>
      </c>
      <c r="B180" s="13" t="s">
        <v>52</v>
      </c>
      <c r="C180" s="13" t="s">
        <v>412</v>
      </c>
      <c r="D180" s="8">
        <v>595</v>
      </c>
      <c r="E180" s="13" t="s">
        <v>437</v>
      </c>
      <c r="F180" s="8" t="s">
        <v>92</v>
      </c>
      <c r="G180" s="13"/>
      <c r="H180" s="8"/>
      <c r="I180" s="13" t="s">
        <v>75</v>
      </c>
      <c r="J180" s="14">
        <v>46189</v>
      </c>
      <c r="K180" s="14">
        <v>46189</v>
      </c>
      <c r="L180" s="15" t="s">
        <v>21</v>
      </c>
      <c r="M180" s="13"/>
      <c r="N180" s="16" t="s">
        <v>438</v>
      </c>
    </row>
    <row r="181" spans="1:14" ht="24" x14ac:dyDescent="0.25">
      <c r="A181" s="8" t="s">
        <v>16</v>
      </c>
      <c r="B181" s="13" t="s">
        <v>52</v>
      </c>
      <c r="C181" s="13" t="s">
        <v>412</v>
      </c>
      <c r="D181" s="8">
        <v>596</v>
      </c>
      <c r="E181" s="13" t="s">
        <v>439</v>
      </c>
      <c r="F181" s="8" t="s">
        <v>92</v>
      </c>
      <c r="G181" s="13"/>
      <c r="H181" s="8"/>
      <c r="I181" s="13" t="s">
        <v>75</v>
      </c>
      <c r="J181" s="14">
        <v>46189</v>
      </c>
      <c r="K181" s="14">
        <v>46189</v>
      </c>
      <c r="L181" s="15" t="s">
        <v>21</v>
      </c>
      <c r="M181" s="13"/>
      <c r="N181" s="16" t="s">
        <v>440</v>
      </c>
    </row>
    <row r="182" spans="1:14" ht="24" x14ac:dyDescent="0.25">
      <c r="A182" s="8" t="s">
        <v>16</v>
      </c>
      <c r="B182" s="13" t="s">
        <v>52</v>
      </c>
      <c r="C182" s="13" t="s">
        <v>412</v>
      </c>
      <c r="D182" s="8">
        <v>598</v>
      </c>
      <c r="E182" s="13" t="s">
        <v>441</v>
      </c>
      <c r="F182" s="8" t="s">
        <v>92</v>
      </c>
      <c r="G182" s="13"/>
      <c r="H182" s="8"/>
      <c r="I182" s="13" t="s">
        <v>75</v>
      </c>
      <c r="J182" s="14">
        <v>46189</v>
      </c>
      <c r="K182" s="14">
        <v>46190</v>
      </c>
      <c r="L182" s="15" t="s">
        <v>21</v>
      </c>
      <c r="M182" s="13"/>
      <c r="N182" s="16" t="s">
        <v>442</v>
      </c>
    </row>
    <row r="183" spans="1:14" ht="24" x14ac:dyDescent="0.25">
      <c r="A183" s="8" t="s">
        <v>16</v>
      </c>
      <c r="B183" s="13" t="s">
        <v>52</v>
      </c>
      <c r="C183" s="13" t="s">
        <v>412</v>
      </c>
      <c r="D183" s="8">
        <v>601</v>
      </c>
      <c r="E183" s="13" t="s">
        <v>443</v>
      </c>
      <c r="F183" s="8" t="s">
        <v>72</v>
      </c>
      <c r="G183" s="13"/>
      <c r="H183" s="8"/>
      <c r="I183" s="13" t="s">
        <v>290</v>
      </c>
      <c r="J183" s="14">
        <v>46189</v>
      </c>
      <c r="K183" s="14">
        <v>46193</v>
      </c>
      <c r="L183" s="15" t="s">
        <v>21</v>
      </c>
      <c r="M183" s="13"/>
      <c r="N183" s="16" t="s">
        <v>444</v>
      </c>
    </row>
    <row r="184" spans="1:14" ht="24" x14ac:dyDescent="0.25">
      <c r="A184" s="8" t="s">
        <v>16</v>
      </c>
      <c r="B184" s="13" t="s">
        <v>52</v>
      </c>
      <c r="C184" s="13" t="s">
        <v>412</v>
      </c>
      <c r="D184" s="8">
        <v>602</v>
      </c>
      <c r="E184" s="13" t="s">
        <v>445</v>
      </c>
      <c r="F184" s="8" t="s">
        <v>72</v>
      </c>
      <c r="G184" s="13"/>
      <c r="H184" s="8"/>
      <c r="I184" s="13" t="s">
        <v>290</v>
      </c>
      <c r="J184" s="14">
        <v>46189</v>
      </c>
      <c r="K184" s="14">
        <v>46193</v>
      </c>
      <c r="L184" s="15" t="s">
        <v>21</v>
      </c>
      <c r="M184" s="13"/>
      <c r="N184" s="16" t="s">
        <v>446</v>
      </c>
    </row>
    <row r="185" spans="1:14" ht="24" x14ac:dyDescent="0.25">
      <c r="A185" s="8" t="s">
        <v>16</v>
      </c>
      <c r="B185" s="13" t="s">
        <v>52</v>
      </c>
      <c r="C185" s="13" t="s">
        <v>412</v>
      </c>
      <c r="D185" s="8">
        <v>603</v>
      </c>
      <c r="E185" s="13" t="s">
        <v>447</v>
      </c>
      <c r="F185" s="8" t="s">
        <v>72</v>
      </c>
      <c r="G185" s="13"/>
      <c r="H185" s="8"/>
      <c r="I185" s="13" t="s">
        <v>290</v>
      </c>
      <c r="J185" s="14">
        <v>46189</v>
      </c>
      <c r="K185" s="14">
        <v>46193</v>
      </c>
      <c r="L185" s="15" t="s">
        <v>21</v>
      </c>
      <c r="M185" s="13"/>
      <c r="N185" s="16" t="s">
        <v>448</v>
      </c>
    </row>
    <row r="186" spans="1:14" ht="24" x14ac:dyDescent="0.25">
      <c r="A186" s="8" t="s">
        <v>16</v>
      </c>
      <c r="B186" s="13" t="s">
        <v>52</v>
      </c>
      <c r="C186" s="13" t="s">
        <v>412</v>
      </c>
      <c r="D186" s="8">
        <v>604</v>
      </c>
      <c r="E186" s="13" t="s">
        <v>449</v>
      </c>
      <c r="F186" s="8" t="s">
        <v>92</v>
      </c>
      <c r="G186" s="13"/>
      <c r="H186" s="8"/>
      <c r="I186" s="13" t="s">
        <v>75</v>
      </c>
      <c r="J186" s="14">
        <v>46189</v>
      </c>
      <c r="K186" s="14">
        <v>46189</v>
      </c>
      <c r="L186" s="15" t="s">
        <v>21</v>
      </c>
      <c r="M186" s="13"/>
      <c r="N186" s="16" t="s">
        <v>450</v>
      </c>
    </row>
    <row r="187" spans="1:14" ht="24" x14ac:dyDescent="0.25">
      <c r="A187" s="8" t="s">
        <v>16</v>
      </c>
      <c r="B187" s="13" t="s">
        <v>52</v>
      </c>
      <c r="C187" s="13" t="s">
        <v>412</v>
      </c>
      <c r="D187" s="8">
        <v>605</v>
      </c>
      <c r="E187" s="13" t="s">
        <v>451</v>
      </c>
      <c r="F187" s="8" t="s">
        <v>92</v>
      </c>
      <c r="G187" s="13"/>
      <c r="H187" s="8"/>
      <c r="I187" s="13" t="s">
        <v>75</v>
      </c>
      <c r="J187" s="14">
        <v>46189</v>
      </c>
      <c r="K187" s="14">
        <v>46189</v>
      </c>
      <c r="L187" s="15" t="s">
        <v>21</v>
      </c>
      <c r="M187" s="13"/>
      <c r="N187" s="16" t="s">
        <v>452</v>
      </c>
    </row>
    <row r="188" spans="1:14" ht="24" x14ac:dyDescent="0.25">
      <c r="A188" s="8" t="s">
        <v>16</v>
      </c>
      <c r="B188" s="13" t="s">
        <v>52</v>
      </c>
      <c r="C188" s="13" t="s">
        <v>412</v>
      </c>
      <c r="D188" s="8">
        <v>606</v>
      </c>
      <c r="E188" s="13" t="s">
        <v>453</v>
      </c>
      <c r="F188" s="8" t="s">
        <v>72</v>
      </c>
      <c r="G188" s="13"/>
      <c r="H188" s="8"/>
      <c r="I188" s="13" t="s">
        <v>290</v>
      </c>
      <c r="J188" s="14">
        <v>46189</v>
      </c>
      <c r="K188" s="14">
        <v>46193</v>
      </c>
      <c r="L188" s="15" t="s">
        <v>21</v>
      </c>
      <c r="M188" s="13"/>
      <c r="N188" s="16" t="s">
        <v>454</v>
      </c>
    </row>
    <row r="189" spans="1:14" ht="24" x14ac:dyDescent="0.25">
      <c r="A189" s="8" t="s">
        <v>16</v>
      </c>
      <c r="B189" s="13" t="s">
        <v>52</v>
      </c>
      <c r="C189" s="13" t="s">
        <v>412</v>
      </c>
      <c r="D189" s="8">
        <v>607</v>
      </c>
      <c r="E189" s="13" t="s">
        <v>455</v>
      </c>
      <c r="F189" s="8" t="s">
        <v>72</v>
      </c>
      <c r="G189" s="13"/>
      <c r="H189" s="8"/>
      <c r="I189" s="13" t="s">
        <v>290</v>
      </c>
      <c r="J189" s="14">
        <v>46189</v>
      </c>
      <c r="K189" s="14">
        <v>46193</v>
      </c>
      <c r="L189" s="15" t="s">
        <v>21</v>
      </c>
      <c r="M189" s="13"/>
      <c r="N189" s="16" t="s">
        <v>456</v>
      </c>
    </row>
    <row r="190" spans="1:14" ht="24" x14ac:dyDescent="0.25">
      <c r="A190" s="8" t="s">
        <v>16</v>
      </c>
      <c r="B190" s="13" t="s">
        <v>52</v>
      </c>
      <c r="C190" s="13" t="s">
        <v>412</v>
      </c>
      <c r="D190" s="8">
        <v>608</v>
      </c>
      <c r="E190" s="13" t="s">
        <v>457</v>
      </c>
      <c r="F190" s="8" t="s">
        <v>72</v>
      </c>
      <c r="G190" s="13"/>
      <c r="H190" s="8"/>
      <c r="I190" s="13" t="s">
        <v>290</v>
      </c>
      <c r="J190" s="14">
        <v>46189</v>
      </c>
      <c r="K190" s="14">
        <v>46194</v>
      </c>
      <c r="L190" s="15" t="s">
        <v>21</v>
      </c>
      <c r="M190" s="13"/>
      <c r="N190" s="16" t="s">
        <v>458</v>
      </c>
    </row>
    <row r="191" spans="1:14" ht="24" x14ac:dyDescent="0.25">
      <c r="A191" s="8" t="s">
        <v>16</v>
      </c>
      <c r="B191" s="13" t="s">
        <v>52</v>
      </c>
      <c r="C191" s="13" t="s">
        <v>412</v>
      </c>
      <c r="D191" s="8">
        <v>609</v>
      </c>
      <c r="E191" s="13" t="s">
        <v>459</v>
      </c>
      <c r="F191" s="8" t="s">
        <v>72</v>
      </c>
      <c r="G191" s="13"/>
      <c r="H191" s="8"/>
      <c r="I191" s="13" t="s">
        <v>290</v>
      </c>
      <c r="J191" s="14">
        <v>46189</v>
      </c>
      <c r="K191" s="14">
        <v>46193</v>
      </c>
      <c r="L191" s="15" t="s">
        <v>21</v>
      </c>
      <c r="M191" s="13"/>
      <c r="N191" s="16" t="s">
        <v>460</v>
      </c>
    </row>
    <row r="192" spans="1:14" ht="24" x14ac:dyDescent="0.25">
      <c r="A192" s="8" t="s">
        <v>16</v>
      </c>
      <c r="B192" s="13" t="s">
        <v>52</v>
      </c>
      <c r="C192" s="13" t="s">
        <v>412</v>
      </c>
      <c r="D192" s="8">
        <v>610</v>
      </c>
      <c r="E192" s="13" t="s">
        <v>461</v>
      </c>
      <c r="F192" s="8" t="s">
        <v>72</v>
      </c>
      <c r="G192" s="13"/>
      <c r="H192" s="8"/>
      <c r="I192" s="13" t="s">
        <v>290</v>
      </c>
      <c r="J192" s="14">
        <v>46189</v>
      </c>
      <c r="K192" s="14">
        <v>46193</v>
      </c>
      <c r="L192" s="15" t="s">
        <v>21</v>
      </c>
      <c r="M192" s="13"/>
      <c r="N192" s="16" t="s">
        <v>462</v>
      </c>
    </row>
    <row r="193" spans="1:14" ht="24" x14ac:dyDescent="0.25">
      <c r="A193" s="8" t="s">
        <v>16</v>
      </c>
      <c r="B193" s="13" t="s">
        <v>52</v>
      </c>
      <c r="C193" s="13" t="s">
        <v>412</v>
      </c>
      <c r="D193" s="8">
        <v>611</v>
      </c>
      <c r="E193" s="13" t="s">
        <v>463</v>
      </c>
      <c r="F193" s="8" t="s">
        <v>72</v>
      </c>
      <c r="G193" s="13"/>
      <c r="H193" s="8"/>
      <c r="I193" s="13" t="s">
        <v>290</v>
      </c>
      <c r="J193" s="14">
        <v>46189</v>
      </c>
      <c r="K193" s="14">
        <v>46189</v>
      </c>
      <c r="L193" s="15" t="s">
        <v>21</v>
      </c>
      <c r="M193" s="13"/>
      <c r="N193" s="16" t="s">
        <v>464</v>
      </c>
    </row>
    <row r="194" spans="1:14" ht="24" x14ac:dyDescent="0.25">
      <c r="A194" s="8" t="s">
        <v>16</v>
      </c>
      <c r="B194" s="13" t="s">
        <v>52</v>
      </c>
      <c r="C194" s="13" t="s">
        <v>412</v>
      </c>
      <c r="D194" s="8">
        <v>612</v>
      </c>
      <c r="E194" s="13" t="s">
        <v>465</v>
      </c>
      <c r="F194" s="8" t="s">
        <v>72</v>
      </c>
      <c r="G194" s="13"/>
      <c r="H194" s="8"/>
      <c r="I194" s="13" t="s">
        <v>290</v>
      </c>
      <c r="J194" s="14">
        <v>46189</v>
      </c>
      <c r="K194" s="14">
        <v>46193</v>
      </c>
      <c r="L194" s="15" t="s">
        <v>21</v>
      </c>
      <c r="M194" s="13"/>
      <c r="N194" s="16" t="s">
        <v>466</v>
      </c>
    </row>
    <row r="195" spans="1:14" ht="24" x14ac:dyDescent="0.25">
      <c r="A195" s="8" t="s">
        <v>16</v>
      </c>
      <c r="B195" s="13" t="s">
        <v>52</v>
      </c>
      <c r="C195" s="13" t="s">
        <v>412</v>
      </c>
      <c r="D195" s="8">
        <v>613</v>
      </c>
      <c r="E195" s="13" t="s">
        <v>467</v>
      </c>
      <c r="F195" s="8" t="s">
        <v>72</v>
      </c>
      <c r="G195" s="13"/>
      <c r="H195" s="8"/>
      <c r="I195" s="13" t="s">
        <v>290</v>
      </c>
      <c r="J195" s="14">
        <v>46189</v>
      </c>
      <c r="K195" s="14">
        <v>46193</v>
      </c>
      <c r="L195" s="15" t="s">
        <v>21</v>
      </c>
      <c r="M195" s="13"/>
      <c r="N195" s="16" t="s">
        <v>468</v>
      </c>
    </row>
    <row r="196" spans="1:14" ht="24" x14ac:dyDescent="0.25">
      <c r="A196" s="8" t="s">
        <v>16</v>
      </c>
      <c r="B196" s="13" t="s">
        <v>52</v>
      </c>
      <c r="C196" s="13" t="s">
        <v>412</v>
      </c>
      <c r="D196" s="8">
        <v>614</v>
      </c>
      <c r="E196" s="13" t="s">
        <v>469</v>
      </c>
      <c r="F196" s="8" t="s">
        <v>72</v>
      </c>
      <c r="G196" s="13"/>
      <c r="H196" s="8"/>
      <c r="I196" s="13" t="s">
        <v>290</v>
      </c>
      <c r="J196" s="14">
        <v>46189</v>
      </c>
      <c r="K196" s="14">
        <v>46193</v>
      </c>
      <c r="L196" s="15" t="s">
        <v>21</v>
      </c>
      <c r="M196" s="13"/>
      <c r="N196" s="16" t="s">
        <v>470</v>
      </c>
    </row>
    <row r="197" spans="1:14" ht="24" x14ac:dyDescent="0.25">
      <c r="A197" s="8" t="s">
        <v>16</v>
      </c>
      <c r="B197" s="13" t="s">
        <v>52</v>
      </c>
      <c r="C197" s="13" t="s">
        <v>412</v>
      </c>
      <c r="D197" s="8">
        <v>617</v>
      </c>
      <c r="E197" s="13" t="s">
        <v>471</v>
      </c>
      <c r="F197" s="8" t="s">
        <v>92</v>
      </c>
      <c r="G197" s="13"/>
      <c r="H197" s="8" t="s">
        <v>329</v>
      </c>
      <c r="I197" s="13" t="s">
        <v>75</v>
      </c>
      <c r="J197" s="14">
        <v>46189</v>
      </c>
      <c r="K197" s="14">
        <v>46190</v>
      </c>
      <c r="L197" s="15" t="s">
        <v>21</v>
      </c>
      <c r="M197" s="13"/>
      <c r="N197" s="16" t="s">
        <v>472</v>
      </c>
    </row>
    <row r="198" spans="1:14" ht="24" x14ac:dyDescent="0.25">
      <c r="A198" s="8" t="s">
        <v>16</v>
      </c>
      <c r="B198" s="13" t="s">
        <v>52</v>
      </c>
      <c r="C198" s="13" t="s">
        <v>412</v>
      </c>
      <c r="D198" s="8">
        <v>619</v>
      </c>
      <c r="E198" s="13" t="s">
        <v>473</v>
      </c>
      <c r="F198" s="8" t="s">
        <v>92</v>
      </c>
      <c r="G198" s="13"/>
      <c r="H198" s="8" t="s">
        <v>329</v>
      </c>
      <c r="I198" s="13" t="s">
        <v>75</v>
      </c>
      <c r="J198" s="14">
        <v>46190</v>
      </c>
      <c r="K198" s="14">
        <v>46190</v>
      </c>
      <c r="L198" s="15" t="s">
        <v>21</v>
      </c>
      <c r="M198" s="13"/>
      <c r="N198" s="16" t="s">
        <v>474</v>
      </c>
    </row>
    <row r="199" spans="1:14" ht="24" x14ac:dyDescent="0.25">
      <c r="A199" s="8" t="s">
        <v>16</v>
      </c>
      <c r="B199" s="13" t="s">
        <v>52</v>
      </c>
      <c r="C199" s="13" t="s">
        <v>412</v>
      </c>
      <c r="D199" s="8">
        <v>620</v>
      </c>
      <c r="E199" s="13" t="s">
        <v>475</v>
      </c>
      <c r="F199" s="8" t="s">
        <v>92</v>
      </c>
      <c r="G199" s="13"/>
      <c r="H199" s="8" t="s">
        <v>329</v>
      </c>
      <c r="I199" s="13" t="s">
        <v>75</v>
      </c>
      <c r="J199" s="14">
        <v>46190</v>
      </c>
      <c r="K199" s="14">
        <v>46190</v>
      </c>
      <c r="L199" s="15" t="s">
        <v>21</v>
      </c>
      <c r="M199" s="13"/>
      <c r="N199" s="16" t="s">
        <v>476</v>
      </c>
    </row>
    <row r="200" spans="1:14" ht="24" x14ac:dyDescent="0.25">
      <c r="A200" s="8" t="s">
        <v>16</v>
      </c>
      <c r="B200" s="13" t="s">
        <v>52</v>
      </c>
      <c r="C200" s="13" t="s">
        <v>412</v>
      </c>
      <c r="D200" s="8">
        <v>624</v>
      </c>
      <c r="E200" s="13" t="s">
        <v>477</v>
      </c>
      <c r="F200" s="8" t="s">
        <v>92</v>
      </c>
      <c r="G200" s="13"/>
      <c r="H200" s="8"/>
      <c r="I200" s="13" t="s">
        <v>75</v>
      </c>
      <c r="J200" s="14">
        <v>46190</v>
      </c>
      <c r="K200" s="14">
        <v>46190</v>
      </c>
      <c r="L200" s="15" t="s">
        <v>21</v>
      </c>
      <c r="M200" s="13"/>
      <c r="N200" s="16" t="s">
        <v>478</v>
      </c>
    </row>
    <row r="201" spans="1:14" ht="24" x14ac:dyDescent="0.25">
      <c r="A201" s="8" t="s">
        <v>16</v>
      </c>
      <c r="B201" s="13" t="s">
        <v>52</v>
      </c>
      <c r="C201" s="13" t="s">
        <v>412</v>
      </c>
      <c r="D201" s="8">
        <v>625</v>
      </c>
      <c r="E201" s="13" t="s">
        <v>479</v>
      </c>
      <c r="F201" s="8" t="s">
        <v>92</v>
      </c>
      <c r="G201" s="13"/>
      <c r="H201" s="8"/>
      <c r="I201" s="13" t="s">
        <v>75</v>
      </c>
      <c r="J201" s="14">
        <v>46190</v>
      </c>
      <c r="K201" s="14">
        <v>46190</v>
      </c>
      <c r="L201" s="15" t="s">
        <v>21</v>
      </c>
      <c r="M201" s="13"/>
      <c r="N201" s="16" t="s">
        <v>480</v>
      </c>
    </row>
    <row r="202" spans="1:14" ht="24" x14ac:dyDescent="0.25">
      <c r="A202" s="8" t="s">
        <v>16</v>
      </c>
      <c r="B202" s="13" t="s">
        <v>52</v>
      </c>
      <c r="C202" s="13" t="s">
        <v>412</v>
      </c>
      <c r="D202" s="8">
        <v>626</v>
      </c>
      <c r="E202" s="13" t="s">
        <v>479</v>
      </c>
      <c r="F202" s="8" t="s">
        <v>92</v>
      </c>
      <c r="G202" s="13"/>
      <c r="H202" s="8"/>
      <c r="I202" s="13" t="s">
        <v>75</v>
      </c>
      <c r="J202" s="14">
        <v>46190</v>
      </c>
      <c r="K202" s="14">
        <v>46190</v>
      </c>
      <c r="L202" s="15" t="s">
        <v>21</v>
      </c>
      <c r="M202" s="13"/>
      <c r="N202" s="16" t="s">
        <v>481</v>
      </c>
    </row>
    <row r="203" spans="1:14" ht="24" x14ac:dyDescent="0.25">
      <c r="A203" s="8" t="s">
        <v>16</v>
      </c>
      <c r="B203" s="13" t="s">
        <v>52</v>
      </c>
      <c r="C203" s="13" t="s">
        <v>412</v>
      </c>
      <c r="D203" s="8">
        <v>627</v>
      </c>
      <c r="E203" s="13" t="s">
        <v>482</v>
      </c>
      <c r="F203" s="8" t="s">
        <v>92</v>
      </c>
      <c r="G203" s="13"/>
      <c r="H203" s="8"/>
      <c r="I203" s="13" t="s">
        <v>75</v>
      </c>
      <c r="J203" s="14">
        <v>46190</v>
      </c>
      <c r="K203" s="14">
        <v>46190</v>
      </c>
      <c r="L203" s="15" t="s">
        <v>21</v>
      </c>
      <c r="M203" s="13"/>
      <c r="N203" s="16" t="s">
        <v>483</v>
      </c>
    </row>
    <row r="204" spans="1:14" ht="24" x14ac:dyDescent="0.25">
      <c r="A204" s="8" t="s">
        <v>16</v>
      </c>
      <c r="B204" s="13" t="s">
        <v>52</v>
      </c>
      <c r="C204" s="13" t="s">
        <v>412</v>
      </c>
      <c r="D204" s="8">
        <v>628</v>
      </c>
      <c r="E204" s="13" t="s">
        <v>484</v>
      </c>
      <c r="F204" s="8" t="s">
        <v>92</v>
      </c>
      <c r="G204" s="13"/>
      <c r="H204" s="8"/>
      <c r="I204" s="13" t="s">
        <v>75</v>
      </c>
      <c r="J204" s="14">
        <v>46190</v>
      </c>
      <c r="K204" s="14">
        <v>46190</v>
      </c>
      <c r="L204" s="15" t="s">
        <v>21</v>
      </c>
      <c r="M204" s="13"/>
      <c r="N204" s="16" t="s">
        <v>485</v>
      </c>
    </row>
    <row r="205" spans="1:14" ht="24" x14ac:dyDescent="0.25">
      <c r="A205" s="8" t="s">
        <v>16</v>
      </c>
      <c r="B205" s="13" t="s">
        <v>52</v>
      </c>
      <c r="C205" s="13" t="s">
        <v>412</v>
      </c>
      <c r="D205" s="8">
        <v>633</v>
      </c>
      <c r="E205" s="13" t="s">
        <v>475</v>
      </c>
      <c r="F205" s="8" t="s">
        <v>92</v>
      </c>
      <c r="G205" s="13"/>
      <c r="H205" s="8"/>
      <c r="I205" s="13" t="s">
        <v>75</v>
      </c>
      <c r="J205" s="14">
        <v>46190</v>
      </c>
      <c r="K205" s="14">
        <v>46190</v>
      </c>
      <c r="L205" s="15" t="s">
        <v>21</v>
      </c>
      <c r="M205" s="13"/>
      <c r="N205" s="16" t="s">
        <v>486</v>
      </c>
    </row>
    <row r="206" spans="1:14" ht="24" x14ac:dyDescent="0.25">
      <c r="A206" s="8" t="s">
        <v>16</v>
      </c>
      <c r="B206" s="13" t="s">
        <v>52</v>
      </c>
      <c r="C206" s="13" t="s">
        <v>412</v>
      </c>
      <c r="D206" s="8">
        <v>634</v>
      </c>
      <c r="E206" s="13" t="s">
        <v>487</v>
      </c>
      <c r="F206" s="8" t="s">
        <v>92</v>
      </c>
      <c r="G206" s="13"/>
      <c r="H206" s="8" t="s">
        <v>329</v>
      </c>
      <c r="I206" s="13" t="s">
        <v>75</v>
      </c>
      <c r="J206" s="14">
        <v>46190</v>
      </c>
      <c r="K206" s="14">
        <v>46190</v>
      </c>
      <c r="L206" s="15" t="s">
        <v>21</v>
      </c>
      <c r="M206" s="13"/>
      <c r="N206" s="16" t="s">
        <v>488</v>
      </c>
    </row>
    <row r="207" spans="1:14" ht="24" x14ac:dyDescent="0.25">
      <c r="A207" s="8" t="s">
        <v>16</v>
      </c>
      <c r="B207" s="13" t="s">
        <v>52</v>
      </c>
      <c r="C207" s="13" t="s">
        <v>412</v>
      </c>
      <c r="D207" s="8">
        <v>637</v>
      </c>
      <c r="E207" s="13" t="s">
        <v>489</v>
      </c>
      <c r="F207" s="8" t="s">
        <v>92</v>
      </c>
      <c r="G207" s="13"/>
      <c r="H207" s="8" t="s">
        <v>329</v>
      </c>
      <c r="I207" s="13" t="s">
        <v>75</v>
      </c>
      <c r="J207" s="14">
        <v>46190</v>
      </c>
      <c r="K207" s="14">
        <v>46190</v>
      </c>
      <c r="L207" s="15" t="s">
        <v>21</v>
      </c>
      <c r="M207" s="13"/>
      <c r="N207" s="16" t="s">
        <v>490</v>
      </c>
    </row>
    <row r="208" spans="1:14" ht="24" x14ac:dyDescent="0.25">
      <c r="A208" s="8" t="s">
        <v>16</v>
      </c>
      <c r="B208" s="13" t="s">
        <v>52</v>
      </c>
      <c r="C208" s="13" t="s">
        <v>412</v>
      </c>
      <c r="D208" s="8">
        <v>638</v>
      </c>
      <c r="E208" s="13" t="s">
        <v>489</v>
      </c>
      <c r="F208" s="8" t="s">
        <v>92</v>
      </c>
      <c r="G208" s="13"/>
      <c r="H208" s="8" t="s">
        <v>329</v>
      </c>
      <c r="I208" s="13" t="s">
        <v>75</v>
      </c>
      <c r="J208" s="14">
        <v>46190</v>
      </c>
      <c r="K208" s="14">
        <v>46190</v>
      </c>
      <c r="L208" s="15" t="s">
        <v>21</v>
      </c>
      <c r="M208" s="13"/>
      <c r="N208" s="16" t="s">
        <v>491</v>
      </c>
    </row>
    <row r="209" spans="1:14" ht="24" x14ac:dyDescent="0.25">
      <c r="A209" s="8" t="s">
        <v>16</v>
      </c>
      <c r="B209" s="13" t="s">
        <v>52</v>
      </c>
      <c r="C209" s="13" t="s">
        <v>412</v>
      </c>
      <c r="D209" s="8">
        <v>641</v>
      </c>
      <c r="E209" s="13" t="s">
        <v>492</v>
      </c>
      <c r="F209" s="8" t="s">
        <v>72</v>
      </c>
      <c r="G209" s="13"/>
      <c r="H209" s="8"/>
      <c r="I209" s="13" t="s">
        <v>290</v>
      </c>
      <c r="J209" s="14">
        <v>46190</v>
      </c>
      <c r="K209" s="14">
        <v>46193</v>
      </c>
      <c r="L209" s="15" t="s">
        <v>21</v>
      </c>
      <c r="M209" s="13"/>
      <c r="N209" s="16" t="s">
        <v>493</v>
      </c>
    </row>
    <row r="210" spans="1:14" ht="24" x14ac:dyDescent="0.25">
      <c r="A210" s="8" t="s">
        <v>16</v>
      </c>
      <c r="B210" s="13" t="s">
        <v>52</v>
      </c>
      <c r="C210" s="13" t="s">
        <v>412</v>
      </c>
      <c r="D210" s="8">
        <v>642</v>
      </c>
      <c r="E210" s="13" t="s">
        <v>494</v>
      </c>
      <c r="F210" s="8" t="s">
        <v>72</v>
      </c>
      <c r="G210" s="13"/>
      <c r="H210" s="8"/>
      <c r="I210" s="13" t="s">
        <v>290</v>
      </c>
      <c r="J210" s="14">
        <v>46190</v>
      </c>
      <c r="K210" s="14">
        <v>46190</v>
      </c>
      <c r="L210" s="15" t="s">
        <v>21</v>
      </c>
      <c r="M210" s="13"/>
      <c r="N210" s="16" t="s">
        <v>495</v>
      </c>
    </row>
    <row r="211" spans="1:14" ht="24" x14ac:dyDescent="0.25">
      <c r="A211" s="8" t="s">
        <v>16</v>
      </c>
      <c r="B211" s="13" t="s">
        <v>52</v>
      </c>
      <c r="C211" s="13" t="s">
        <v>412</v>
      </c>
      <c r="D211" s="8">
        <v>643</v>
      </c>
      <c r="E211" s="13" t="s">
        <v>496</v>
      </c>
      <c r="F211" s="8" t="s">
        <v>72</v>
      </c>
      <c r="G211" s="13"/>
      <c r="H211" s="8"/>
      <c r="I211" s="13" t="s">
        <v>290</v>
      </c>
      <c r="J211" s="14">
        <v>46190</v>
      </c>
      <c r="K211" s="14">
        <v>46193</v>
      </c>
      <c r="L211" s="15" t="s">
        <v>21</v>
      </c>
      <c r="M211" s="13"/>
      <c r="N211" s="16" t="s">
        <v>497</v>
      </c>
    </row>
    <row r="212" spans="1:14" ht="24" x14ac:dyDescent="0.25">
      <c r="A212" s="8" t="s">
        <v>16</v>
      </c>
      <c r="B212" s="13" t="s">
        <v>52</v>
      </c>
      <c r="C212" s="13" t="s">
        <v>412</v>
      </c>
      <c r="D212" s="8">
        <v>644</v>
      </c>
      <c r="E212" s="13" t="s">
        <v>498</v>
      </c>
      <c r="F212" s="8" t="s">
        <v>72</v>
      </c>
      <c r="G212" s="13"/>
      <c r="H212" s="8"/>
      <c r="I212" s="13" t="s">
        <v>290</v>
      </c>
      <c r="J212" s="14">
        <v>46190</v>
      </c>
      <c r="K212" s="14">
        <v>46191</v>
      </c>
      <c r="L212" s="15" t="s">
        <v>21</v>
      </c>
      <c r="M212" s="13"/>
      <c r="N212" s="16" t="s">
        <v>499</v>
      </c>
    </row>
    <row r="213" spans="1:14" ht="24" x14ac:dyDescent="0.25">
      <c r="A213" s="8" t="s">
        <v>16</v>
      </c>
      <c r="B213" s="13" t="s">
        <v>52</v>
      </c>
      <c r="C213" s="13" t="s">
        <v>412</v>
      </c>
      <c r="D213" s="8">
        <v>645</v>
      </c>
      <c r="E213" s="13" t="s">
        <v>500</v>
      </c>
      <c r="F213" s="8" t="s">
        <v>72</v>
      </c>
      <c r="G213" s="13"/>
      <c r="H213" s="8"/>
      <c r="I213" s="13" t="s">
        <v>290</v>
      </c>
      <c r="J213" s="14">
        <v>46190</v>
      </c>
      <c r="K213" s="14">
        <v>46193</v>
      </c>
      <c r="L213" s="15" t="s">
        <v>21</v>
      </c>
      <c r="M213" s="13"/>
      <c r="N213" s="16" t="s">
        <v>501</v>
      </c>
    </row>
    <row r="214" spans="1:14" ht="24" x14ac:dyDescent="0.25">
      <c r="A214" s="8" t="s">
        <v>16</v>
      </c>
      <c r="B214" s="13" t="s">
        <v>52</v>
      </c>
      <c r="C214" s="13" t="s">
        <v>412</v>
      </c>
      <c r="D214" s="8">
        <v>646</v>
      </c>
      <c r="E214" s="13" t="s">
        <v>502</v>
      </c>
      <c r="F214" s="8" t="s">
        <v>72</v>
      </c>
      <c r="G214" s="13"/>
      <c r="H214" s="8"/>
      <c r="I214" s="13" t="s">
        <v>290</v>
      </c>
      <c r="J214" s="14">
        <v>46190</v>
      </c>
      <c r="K214" s="14">
        <v>46191</v>
      </c>
      <c r="L214" s="15" t="s">
        <v>21</v>
      </c>
      <c r="M214" s="13"/>
      <c r="N214" s="16" t="s">
        <v>503</v>
      </c>
    </row>
    <row r="215" spans="1:14" ht="24" x14ac:dyDescent="0.25">
      <c r="A215" s="8" t="s">
        <v>16</v>
      </c>
      <c r="B215" s="13" t="s">
        <v>52</v>
      </c>
      <c r="C215" s="13" t="s">
        <v>412</v>
      </c>
      <c r="D215" s="8">
        <v>647</v>
      </c>
      <c r="E215" s="13" t="s">
        <v>504</v>
      </c>
      <c r="F215" s="8" t="s">
        <v>72</v>
      </c>
      <c r="G215" s="13"/>
      <c r="H215" s="8"/>
      <c r="I215" s="13" t="s">
        <v>290</v>
      </c>
      <c r="J215" s="14">
        <v>46190</v>
      </c>
      <c r="K215" s="14">
        <v>46191</v>
      </c>
      <c r="L215" s="15" t="s">
        <v>21</v>
      </c>
      <c r="M215" s="13"/>
      <c r="N215" s="16" t="s">
        <v>505</v>
      </c>
    </row>
    <row r="216" spans="1:14" ht="24" x14ac:dyDescent="0.25">
      <c r="A216" s="8" t="s">
        <v>16</v>
      </c>
      <c r="B216" s="13" t="s">
        <v>52</v>
      </c>
      <c r="C216" s="13" t="s">
        <v>412</v>
      </c>
      <c r="D216" s="8">
        <v>648</v>
      </c>
      <c r="E216" s="13" t="s">
        <v>506</v>
      </c>
      <c r="F216" s="8" t="s">
        <v>72</v>
      </c>
      <c r="G216" s="13"/>
      <c r="H216" s="8"/>
      <c r="I216" s="13" t="s">
        <v>290</v>
      </c>
      <c r="J216" s="14">
        <v>46190</v>
      </c>
      <c r="K216" s="14">
        <v>46193</v>
      </c>
      <c r="L216" s="15" t="s">
        <v>21</v>
      </c>
      <c r="M216" s="13"/>
      <c r="N216" s="16" t="s">
        <v>507</v>
      </c>
    </row>
    <row r="217" spans="1:14" ht="24" x14ac:dyDescent="0.25">
      <c r="A217" s="8" t="s">
        <v>16</v>
      </c>
      <c r="B217" s="13" t="s">
        <v>52</v>
      </c>
      <c r="C217" s="13" t="s">
        <v>412</v>
      </c>
      <c r="D217" s="8">
        <v>649</v>
      </c>
      <c r="E217" s="13" t="s">
        <v>508</v>
      </c>
      <c r="F217" s="8" t="s">
        <v>92</v>
      </c>
      <c r="G217" s="13"/>
      <c r="H217" s="8"/>
      <c r="I217" s="13" t="s">
        <v>75</v>
      </c>
      <c r="J217" s="14">
        <v>46190</v>
      </c>
      <c r="K217" s="14">
        <v>46193</v>
      </c>
      <c r="L217" s="15" t="s">
        <v>21</v>
      </c>
      <c r="M217" s="13"/>
      <c r="N217" s="16" t="s">
        <v>509</v>
      </c>
    </row>
    <row r="218" spans="1:14" ht="24" x14ac:dyDescent="0.25">
      <c r="A218" s="8" t="s">
        <v>16</v>
      </c>
      <c r="B218" s="13" t="s">
        <v>52</v>
      </c>
      <c r="C218" s="13" t="s">
        <v>412</v>
      </c>
      <c r="D218" s="8">
        <v>650</v>
      </c>
      <c r="E218" s="13" t="s">
        <v>510</v>
      </c>
      <c r="F218" s="8" t="s">
        <v>72</v>
      </c>
      <c r="G218" s="13"/>
      <c r="H218" s="8"/>
      <c r="I218" s="13" t="s">
        <v>290</v>
      </c>
      <c r="J218" s="14">
        <v>46190</v>
      </c>
      <c r="K218" s="14">
        <v>46191</v>
      </c>
      <c r="L218" s="15" t="s">
        <v>21</v>
      </c>
      <c r="M218" s="13"/>
      <c r="N218" s="16" t="s">
        <v>511</v>
      </c>
    </row>
    <row r="219" spans="1:14" ht="24" x14ac:dyDescent="0.25">
      <c r="A219" s="8" t="s">
        <v>16</v>
      </c>
      <c r="B219" s="13" t="s">
        <v>52</v>
      </c>
      <c r="C219" s="13" t="s">
        <v>412</v>
      </c>
      <c r="D219" s="8">
        <v>651</v>
      </c>
      <c r="E219" s="13" t="s">
        <v>512</v>
      </c>
      <c r="F219" s="8" t="s">
        <v>72</v>
      </c>
      <c r="G219" s="13"/>
      <c r="H219" s="8"/>
      <c r="I219" s="13" t="s">
        <v>290</v>
      </c>
      <c r="J219" s="14">
        <v>46190</v>
      </c>
      <c r="K219" s="14">
        <v>46193</v>
      </c>
      <c r="L219" s="15" t="s">
        <v>21</v>
      </c>
      <c r="M219" s="13"/>
      <c r="N219" s="16" t="s">
        <v>513</v>
      </c>
    </row>
    <row r="220" spans="1:14" ht="24" x14ac:dyDescent="0.25">
      <c r="A220" s="8" t="s">
        <v>16</v>
      </c>
      <c r="B220" s="13" t="s">
        <v>52</v>
      </c>
      <c r="C220" s="13" t="s">
        <v>412</v>
      </c>
      <c r="D220" s="8">
        <v>652</v>
      </c>
      <c r="E220" s="13" t="s">
        <v>514</v>
      </c>
      <c r="F220" s="8" t="s">
        <v>92</v>
      </c>
      <c r="G220" s="13"/>
      <c r="H220" s="8"/>
      <c r="I220" s="13" t="s">
        <v>75</v>
      </c>
      <c r="J220" s="14">
        <v>46190</v>
      </c>
      <c r="K220" s="14">
        <v>46193</v>
      </c>
      <c r="L220" s="15" t="s">
        <v>21</v>
      </c>
      <c r="M220" s="13"/>
      <c r="N220" s="16" t="s">
        <v>515</v>
      </c>
    </row>
    <row r="221" spans="1:14" ht="24" x14ac:dyDescent="0.25">
      <c r="A221" s="8" t="s">
        <v>16</v>
      </c>
      <c r="B221" s="13" t="s">
        <v>52</v>
      </c>
      <c r="C221" s="13" t="s">
        <v>412</v>
      </c>
      <c r="D221" s="8">
        <v>653</v>
      </c>
      <c r="E221" s="13" t="s">
        <v>516</v>
      </c>
      <c r="F221" s="8" t="s">
        <v>92</v>
      </c>
      <c r="G221" s="13"/>
      <c r="H221" s="8"/>
      <c r="I221" s="13" t="s">
        <v>75</v>
      </c>
      <c r="J221" s="14">
        <v>46190</v>
      </c>
      <c r="K221" s="14">
        <v>46190</v>
      </c>
      <c r="L221" s="15" t="s">
        <v>21</v>
      </c>
      <c r="M221" s="13"/>
      <c r="N221" s="16" t="s">
        <v>517</v>
      </c>
    </row>
    <row r="222" spans="1:14" ht="24" x14ac:dyDescent="0.25">
      <c r="A222" s="8" t="s">
        <v>16</v>
      </c>
      <c r="B222" s="13" t="s">
        <v>52</v>
      </c>
      <c r="C222" s="13" t="s">
        <v>412</v>
      </c>
      <c r="D222" s="8">
        <v>654</v>
      </c>
      <c r="E222" s="13" t="s">
        <v>518</v>
      </c>
      <c r="F222" s="8" t="s">
        <v>92</v>
      </c>
      <c r="G222" s="13"/>
      <c r="H222" s="8"/>
      <c r="I222" s="13" t="s">
        <v>75</v>
      </c>
      <c r="J222" s="14">
        <v>46190</v>
      </c>
      <c r="K222" s="14">
        <v>46190</v>
      </c>
      <c r="L222" s="15" t="s">
        <v>21</v>
      </c>
      <c r="M222" s="13"/>
      <c r="N222" s="16" t="s">
        <v>519</v>
      </c>
    </row>
    <row r="223" spans="1:14" ht="24" x14ac:dyDescent="0.25">
      <c r="A223" s="8" t="s">
        <v>16</v>
      </c>
      <c r="B223" s="13" t="s">
        <v>52</v>
      </c>
      <c r="C223" s="13" t="s">
        <v>412</v>
      </c>
      <c r="D223" s="8">
        <v>655</v>
      </c>
      <c r="E223" s="13" t="s">
        <v>520</v>
      </c>
      <c r="F223" s="8" t="s">
        <v>72</v>
      </c>
      <c r="G223" s="13"/>
      <c r="H223" s="8"/>
      <c r="I223" s="13" t="s">
        <v>290</v>
      </c>
      <c r="J223" s="14">
        <v>46190</v>
      </c>
      <c r="K223" s="14">
        <v>46193</v>
      </c>
      <c r="L223" s="15" t="s">
        <v>21</v>
      </c>
      <c r="M223" s="13"/>
      <c r="N223" s="16" t="s">
        <v>521</v>
      </c>
    </row>
    <row r="224" spans="1:14" ht="24" x14ac:dyDescent="0.25">
      <c r="A224" s="8" t="s">
        <v>16</v>
      </c>
      <c r="B224" s="13" t="s">
        <v>52</v>
      </c>
      <c r="C224" s="13" t="s">
        <v>412</v>
      </c>
      <c r="D224" s="8">
        <v>656</v>
      </c>
      <c r="E224" s="13" t="s">
        <v>522</v>
      </c>
      <c r="F224" s="8" t="s">
        <v>72</v>
      </c>
      <c r="G224" s="13"/>
      <c r="H224" s="8"/>
      <c r="I224" s="13" t="s">
        <v>290</v>
      </c>
      <c r="J224" s="14">
        <v>46190</v>
      </c>
      <c r="K224" s="14">
        <v>46190</v>
      </c>
      <c r="L224" s="15" t="s">
        <v>21</v>
      </c>
      <c r="M224" s="13"/>
      <c r="N224" s="16" t="s">
        <v>523</v>
      </c>
    </row>
    <row r="225" spans="1:14" ht="24" x14ac:dyDescent="0.25">
      <c r="A225" s="8" t="s">
        <v>16</v>
      </c>
      <c r="B225" s="13" t="s">
        <v>52</v>
      </c>
      <c r="C225" s="13" t="s">
        <v>412</v>
      </c>
      <c r="D225" s="8">
        <v>657</v>
      </c>
      <c r="E225" s="13" t="s">
        <v>524</v>
      </c>
      <c r="F225" s="8" t="s">
        <v>72</v>
      </c>
      <c r="G225" s="13"/>
      <c r="H225" s="8"/>
      <c r="I225" s="13" t="s">
        <v>290</v>
      </c>
      <c r="J225" s="14">
        <v>46190</v>
      </c>
      <c r="K225" s="14">
        <v>46193</v>
      </c>
      <c r="L225" s="15" t="s">
        <v>21</v>
      </c>
      <c r="M225" s="13"/>
      <c r="N225" s="16" t="s">
        <v>525</v>
      </c>
    </row>
    <row r="226" spans="1:14" ht="24" x14ac:dyDescent="0.25">
      <c r="A226" s="8" t="s">
        <v>16</v>
      </c>
      <c r="B226" s="13" t="s">
        <v>52</v>
      </c>
      <c r="C226" s="13" t="s">
        <v>412</v>
      </c>
      <c r="D226" s="8">
        <v>658</v>
      </c>
      <c r="E226" s="13" t="s">
        <v>526</v>
      </c>
      <c r="F226" s="8" t="s">
        <v>72</v>
      </c>
      <c r="G226" s="13"/>
      <c r="H226" s="8"/>
      <c r="I226" s="13" t="s">
        <v>290</v>
      </c>
      <c r="J226" s="14">
        <v>46190</v>
      </c>
      <c r="K226" s="14">
        <v>46194</v>
      </c>
      <c r="L226" s="15" t="s">
        <v>21</v>
      </c>
      <c r="M226" s="13"/>
      <c r="N226" s="16" t="s">
        <v>527</v>
      </c>
    </row>
    <row r="227" spans="1:14" ht="24" x14ac:dyDescent="0.25">
      <c r="A227" s="8" t="s">
        <v>16</v>
      </c>
      <c r="B227" s="13" t="s">
        <v>52</v>
      </c>
      <c r="C227" s="13" t="s">
        <v>412</v>
      </c>
      <c r="D227" s="8">
        <v>659</v>
      </c>
      <c r="E227" s="13" t="s">
        <v>528</v>
      </c>
      <c r="F227" s="8" t="s">
        <v>92</v>
      </c>
      <c r="G227" s="13"/>
      <c r="H227" s="8"/>
      <c r="I227" s="13" t="s">
        <v>75</v>
      </c>
      <c r="J227" s="14">
        <v>46190</v>
      </c>
      <c r="K227" s="14">
        <v>46191</v>
      </c>
      <c r="L227" s="15" t="s">
        <v>21</v>
      </c>
      <c r="M227" s="13"/>
      <c r="N227" s="16" t="s">
        <v>529</v>
      </c>
    </row>
    <row r="228" spans="1:14" ht="24" x14ac:dyDescent="0.25">
      <c r="A228" s="8" t="s">
        <v>16</v>
      </c>
      <c r="B228" s="13" t="s">
        <v>52</v>
      </c>
      <c r="C228" s="13" t="s">
        <v>412</v>
      </c>
      <c r="D228" s="8">
        <v>660</v>
      </c>
      <c r="E228" s="13" t="s">
        <v>530</v>
      </c>
      <c r="F228" s="8" t="s">
        <v>92</v>
      </c>
      <c r="G228" s="13"/>
      <c r="H228" s="8"/>
      <c r="I228" s="13" t="s">
        <v>75</v>
      </c>
      <c r="J228" s="14">
        <v>46190</v>
      </c>
      <c r="K228" s="14">
        <v>46190</v>
      </c>
      <c r="L228" s="15" t="s">
        <v>21</v>
      </c>
      <c r="M228" s="13"/>
      <c r="N228" s="16" t="s">
        <v>531</v>
      </c>
    </row>
    <row r="229" spans="1:14" ht="24" x14ac:dyDescent="0.25">
      <c r="A229" s="8" t="s">
        <v>16</v>
      </c>
      <c r="B229" s="13" t="s">
        <v>52</v>
      </c>
      <c r="C229" s="13" t="s">
        <v>412</v>
      </c>
      <c r="D229" s="8">
        <v>661</v>
      </c>
      <c r="E229" s="13" t="s">
        <v>532</v>
      </c>
      <c r="F229" s="8" t="s">
        <v>92</v>
      </c>
      <c r="G229" s="13"/>
      <c r="H229" s="8"/>
      <c r="I229" s="13" t="s">
        <v>75</v>
      </c>
      <c r="J229" s="14">
        <v>46190</v>
      </c>
      <c r="K229" s="14">
        <v>46193</v>
      </c>
      <c r="L229" s="15" t="s">
        <v>21</v>
      </c>
      <c r="M229" s="13"/>
      <c r="N229" s="16" t="s">
        <v>533</v>
      </c>
    </row>
    <row r="230" spans="1:14" ht="24" x14ac:dyDescent="0.25">
      <c r="A230" s="8" t="s">
        <v>16</v>
      </c>
      <c r="B230" s="13" t="s">
        <v>52</v>
      </c>
      <c r="C230" s="13" t="s">
        <v>412</v>
      </c>
      <c r="D230" s="8">
        <v>662</v>
      </c>
      <c r="E230" s="13" t="s">
        <v>534</v>
      </c>
      <c r="F230" s="8" t="s">
        <v>92</v>
      </c>
      <c r="G230" s="13"/>
      <c r="H230" s="8"/>
      <c r="I230" s="13" t="s">
        <v>75</v>
      </c>
      <c r="J230" s="14">
        <v>46190</v>
      </c>
      <c r="K230" s="14">
        <v>46190</v>
      </c>
      <c r="L230" s="15" t="s">
        <v>21</v>
      </c>
      <c r="M230" s="13"/>
      <c r="N230" s="16" t="s">
        <v>535</v>
      </c>
    </row>
    <row r="231" spans="1:14" ht="24" x14ac:dyDescent="0.25">
      <c r="A231" s="8" t="s">
        <v>16</v>
      </c>
      <c r="B231" s="13" t="s">
        <v>52</v>
      </c>
      <c r="C231" s="13" t="s">
        <v>412</v>
      </c>
      <c r="D231" s="8">
        <v>663</v>
      </c>
      <c r="E231" s="13" t="s">
        <v>536</v>
      </c>
      <c r="F231" s="8" t="s">
        <v>72</v>
      </c>
      <c r="G231" s="13"/>
      <c r="H231" s="8"/>
      <c r="I231" s="13" t="s">
        <v>290</v>
      </c>
      <c r="J231" s="14">
        <v>46190</v>
      </c>
      <c r="K231" s="14">
        <v>46191</v>
      </c>
      <c r="L231" s="15" t="s">
        <v>21</v>
      </c>
      <c r="M231" s="13"/>
      <c r="N231" s="16" t="s">
        <v>537</v>
      </c>
    </row>
    <row r="232" spans="1:14" ht="24" x14ac:dyDescent="0.25">
      <c r="A232" s="8" t="s">
        <v>16</v>
      </c>
      <c r="B232" s="13" t="s">
        <v>52</v>
      </c>
      <c r="C232" s="13" t="s">
        <v>412</v>
      </c>
      <c r="D232" s="8">
        <v>664</v>
      </c>
      <c r="E232" s="13" t="s">
        <v>538</v>
      </c>
      <c r="F232" s="8" t="s">
        <v>92</v>
      </c>
      <c r="G232" s="13"/>
      <c r="H232" s="8"/>
      <c r="I232" s="13" t="s">
        <v>75</v>
      </c>
      <c r="J232" s="14">
        <v>46190</v>
      </c>
      <c r="K232" s="14">
        <v>46193</v>
      </c>
      <c r="L232" s="15" t="s">
        <v>21</v>
      </c>
      <c r="M232" s="13"/>
      <c r="N232" s="16" t="s">
        <v>539</v>
      </c>
    </row>
    <row r="233" spans="1:14" ht="24" x14ac:dyDescent="0.25">
      <c r="A233" s="8" t="s">
        <v>16</v>
      </c>
      <c r="B233" s="13" t="s">
        <v>52</v>
      </c>
      <c r="C233" s="13" t="s">
        <v>412</v>
      </c>
      <c r="D233" s="8">
        <v>665</v>
      </c>
      <c r="E233" s="13" t="s">
        <v>540</v>
      </c>
      <c r="F233" s="8" t="s">
        <v>92</v>
      </c>
      <c r="G233" s="13"/>
      <c r="H233" s="8"/>
      <c r="I233" s="13" t="s">
        <v>75</v>
      </c>
      <c r="J233" s="14">
        <v>46190</v>
      </c>
      <c r="K233" s="14">
        <v>46190</v>
      </c>
      <c r="L233" s="15" t="s">
        <v>21</v>
      </c>
      <c r="M233" s="13"/>
      <c r="N233" s="16" t="s">
        <v>541</v>
      </c>
    </row>
    <row r="234" spans="1:14" ht="24" x14ac:dyDescent="0.25">
      <c r="A234" s="8" t="s">
        <v>16</v>
      </c>
      <c r="B234" s="13" t="s">
        <v>52</v>
      </c>
      <c r="C234" s="13" t="s">
        <v>412</v>
      </c>
      <c r="D234" s="8">
        <v>666</v>
      </c>
      <c r="E234" s="13" t="s">
        <v>542</v>
      </c>
      <c r="F234" s="8" t="s">
        <v>72</v>
      </c>
      <c r="G234" s="13"/>
      <c r="H234" s="8"/>
      <c r="I234" s="13" t="s">
        <v>290</v>
      </c>
      <c r="J234" s="14">
        <v>46190</v>
      </c>
      <c r="K234" s="14">
        <v>46191</v>
      </c>
      <c r="L234" s="15" t="s">
        <v>21</v>
      </c>
      <c r="M234" s="13"/>
      <c r="N234" s="16" t="s">
        <v>543</v>
      </c>
    </row>
    <row r="235" spans="1:14" ht="24" x14ac:dyDescent="0.25">
      <c r="A235" s="8" t="s">
        <v>16</v>
      </c>
      <c r="B235" s="13" t="s">
        <v>52</v>
      </c>
      <c r="C235" s="13" t="s">
        <v>412</v>
      </c>
      <c r="D235" s="8">
        <v>667</v>
      </c>
      <c r="E235" s="13" t="s">
        <v>544</v>
      </c>
      <c r="F235" s="8" t="s">
        <v>72</v>
      </c>
      <c r="G235" s="13"/>
      <c r="H235" s="8"/>
      <c r="I235" s="13" t="s">
        <v>290</v>
      </c>
      <c r="J235" s="14">
        <v>46190</v>
      </c>
      <c r="K235" s="14">
        <v>46191</v>
      </c>
      <c r="L235" s="15" t="s">
        <v>21</v>
      </c>
      <c r="M235" s="13"/>
      <c r="N235" s="16" t="s">
        <v>545</v>
      </c>
    </row>
    <row r="236" spans="1:14" ht="24" x14ac:dyDescent="0.25">
      <c r="A236" s="8" t="s">
        <v>16</v>
      </c>
      <c r="B236" s="13" t="s">
        <v>52</v>
      </c>
      <c r="C236" s="13" t="s">
        <v>412</v>
      </c>
      <c r="D236" s="8">
        <v>668</v>
      </c>
      <c r="E236" s="13" t="s">
        <v>546</v>
      </c>
      <c r="F236" s="8" t="s">
        <v>92</v>
      </c>
      <c r="G236" s="13"/>
      <c r="H236" s="8" t="s">
        <v>329</v>
      </c>
      <c r="I236" s="13" t="s">
        <v>75</v>
      </c>
      <c r="J236" s="14">
        <v>46190</v>
      </c>
      <c r="K236" s="14">
        <v>46190</v>
      </c>
      <c r="L236" s="15" t="s">
        <v>21</v>
      </c>
      <c r="M236" s="13"/>
      <c r="N236" s="16" t="s">
        <v>547</v>
      </c>
    </row>
    <row r="237" spans="1:14" ht="24" x14ac:dyDescent="0.25">
      <c r="A237" s="8" t="s">
        <v>16</v>
      </c>
      <c r="B237" s="13" t="s">
        <v>52</v>
      </c>
      <c r="C237" s="13" t="s">
        <v>412</v>
      </c>
      <c r="D237" s="8">
        <v>676</v>
      </c>
      <c r="E237" s="13" t="s">
        <v>548</v>
      </c>
      <c r="F237" s="8" t="s">
        <v>72</v>
      </c>
      <c r="G237" s="13"/>
      <c r="H237" s="8"/>
      <c r="I237" s="13" t="s">
        <v>290</v>
      </c>
      <c r="J237" s="14">
        <v>46190</v>
      </c>
      <c r="K237" s="14">
        <v>46194</v>
      </c>
      <c r="L237" s="15" t="s">
        <v>21</v>
      </c>
      <c r="M237" s="13"/>
      <c r="N237" s="16" t="s">
        <v>549</v>
      </c>
    </row>
    <row r="238" spans="1:14" ht="24" x14ac:dyDescent="0.25">
      <c r="A238" s="8" t="s">
        <v>16</v>
      </c>
      <c r="B238" s="13" t="s">
        <v>52</v>
      </c>
      <c r="C238" s="13" t="s">
        <v>412</v>
      </c>
      <c r="D238" s="8">
        <v>677</v>
      </c>
      <c r="E238" s="13" t="s">
        <v>550</v>
      </c>
      <c r="F238" s="8" t="s">
        <v>92</v>
      </c>
      <c r="G238" s="13"/>
      <c r="H238" s="8"/>
      <c r="I238" s="13" t="s">
        <v>75</v>
      </c>
      <c r="J238" s="14">
        <v>46190</v>
      </c>
      <c r="K238" s="14">
        <v>46193</v>
      </c>
      <c r="L238" s="15" t="s">
        <v>21</v>
      </c>
      <c r="M238" s="13"/>
      <c r="N238" s="16" t="s">
        <v>551</v>
      </c>
    </row>
    <row r="239" spans="1:14" ht="24" x14ac:dyDescent="0.25">
      <c r="A239" s="8" t="s">
        <v>16</v>
      </c>
      <c r="B239" s="13" t="s">
        <v>52</v>
      </c>
      <c r="C239" s="13" t="s">
        <v>412</v>
      </c>
      <c r="D239" s="8">
        <v>678</v>
      </c>
      <c r="E239" s="13" t="s">
        <v>552</v>
      </c>
      <c r="F239" s="8" t="s">
        <v>72</v>
      </c>
      <c r="G239" s="13"/>
      <c r="H239" s="8"/>
      <c r="I239" s="13" t="s">
        <v>290</v>
      </c>
      <c r="J239" s="14">
        <v>46190</v>
      </c>
      <c r="K239" s="14">
        <v>46193</v>
      </c>
      <c r="L239" s="15" t="s">
        <v>21</v>
      </c>
      <c r="M239" s="13"/>
      <c r="N239" s="16" t="s">
        <v>553</v>
      </c>
    </row>
    <row r="240" spans="1:14" ht="24" x14ac:dyDescent="0.25">
      <c r="A240" s="8" t="s">
        <v>16</v>
      </c>
      <c r="B240" s="13" t="s">
        <v>52</v>
      </c>
      <c r="C240" s="13" t="s">
        <v>412</v>
      </c>
      <c r="D240" s="8">
        <v>679</v>
      </c>
      <c r="E240" s="13" t="s">
        <v>554</v>
      </c>
      <c r="F240" s="8" t="s">
        <v>72</v>
      </c>
      <c r="G240" s="13"/>
      <c r="H240" s="8"/>
      <c r="I240" s="13" t="s">
        <v>290</v>
      </c>
      <c r="J240" s="14">
        <v>46190</v>
      </c>
      <c r="K240" s="14">
        <v>46194</v>
      </c>
      <c r="L240" s="15" t="s">
        <v>21</v>
      </c>
      <c r="M240" s="13"/>
      <c r="N240" s="16" t="s">
        <v>555</v>
      </c>
    </row>
    <row r="241" spans="1:14" ht="24" x14ac:dyDescent="0.25">
      <c r="A241" s="8" t="s">
        <v>16</v>
      </c>
      <c r="B241" s="13" t="s">
        <v>52</v>
      </c>
      <c r="C241" s="13" t="s">
        <v>412</v>
      </c>
      <c r="D241" s="8">
        <v>680</v>
      </c>
      <c r="E241" s="13" t="s">
        <v>556</v>
      </c>
      <c r="F241" s="8" t="s">
        <v>72</v>
      </c>
      <c r="G241" s="13"/>
      <c r="H241" s="8"/>
      <c r="I241" s="13" t="s">
        <v>290</v>
      </c>
      <c r="J241" s="14">
        <v>46190</v>
      </c>
      <c r="K241" s="14">
        <v>46193</v>
      </c>
      <c r="L241" s="15" t="s">
        <v>21</v>
      </c>
      <c r="M241" s="13"/>
      <c r="N241" s="16" t="s">
        <v>557</v>
      </c>
    </row>
    <row r="242" spans="1:14" ht="24" x14ac:dyDescent="0.25">
      <c r="A242" s="8" t="s">
        <v>16</v>
      </c>
      <c r="B242" s="13" t="s">
        <v>52</v>
      </c>
      <c r="C242" s="13" t="s">
        <v>412</v>
      </c>
      <c r="D242" s="8">
        <v>681</v>
      </c>
      <c r="E242" s="13" t="s">
        <v>558</v>
      </c>
      <c r="F242" s="8" t="s">
        <v>72</v>
      </c>
      <c r="G242" s="13"/>
      <c r="H242" s="8"/>
      <c r="I242" s="13" t="s">
        <v>290</v>
      </c>
      <c r="J242" s="14">
        <v>46190</v>
      </c>
      <c r="K242" s="14">
        <v>46193</v>
      </c>
      <c r="L242" s="15" t="s">
        <v>21</v>
      </c>
      <c r="M242" s="13"/>
      <c r="N242" s="16" t="s">
        <v>559</v>
      </c>
    </row>
    <row r="243" spans="1:14" ht="24" x14ac:dyDescent="0.25">
      <c r="A243" s="8" t="s">
        <v>16</v>
      </c>
      <c r="B243" s="13" t="s">
        <v>52</v>
      </c>
      <c r="C243" s="13" t="s">
        <v>412</v>
      </c>
      <c r="D243" s="8">
        <v>682</v>
      </c>
      <c r="E243" s="13" t="s">
        <v>560</v>
      </c>
      <c r="F243" s="8" t="s">
        <v>72</v>
      </c>
      <c r="G243" s="13"/>
      <c r="H243" s="8"/>
      <c r="I243" s="13" t="s">
        <v>290</v>
      </c>
      <c r="J243" s="14">
        <v>46190</v>
      </c>
      <c r="K243" s="14">
        <v>46193</v>
      </c>
      <c r="L243" s="15" t="s">
        <v>21</v>
      </c>
      <c r="M243" s="13"/>
      <c r="N243" s="16" t="s">
        <v>561</v>
      </c>
    </row>
    <row r="244" spans="1:14" ht="24" x14ac:dyDescent="0.25">
      <c r="A244" s="8" t="s">
        <v>16</v>
      </c>
      <c r="B244" s="13" t="s">
        <v>52</v>
      </c>
      <c r="C244" s="13" t="s">
        <v>412</v>
      </c>
      <c r="D244" s="8">
        <v>683</v>
      </c>
      <c r="E244" s="13" t="s">
        <v>562</v>
      </c>
      <c r="F244" s="8" t="s">
        <v>72</v>
      </c>
      <c r="G244" s="13"/>
      <c r="H244" s="8"/>
      <c r="I244" s="13" t="s">
        <v>290</v>
      </c>
      <c r="J244" s="14">
        <v>46190</v>
      </c>
      <c r="K244" s="14">
        <v>46193</v>
      </c>
      <c r="L244" s="15" t="s">
        <v>21</v>
      </c>
      <c r="M244" s="13"/>
      <c r="N244" s="16" t="s">
        <v>563</v>
      </c>
    </row>
    <row r="245" spans="1:14" ht="24" x14ac:dyDescent="0.25">
      <c r="A245" s="8" t="s">
        <v>16</v>
      </c>
      <c r="B245" s="13" t="s">
        <v>52</v>
      </c>
      <c r="C245" s="13" t="s">
        <v>412</v>
      </c>
      <c r="D245" s="8">
        <v>684</v>
      </c>
      <c r="E245" s="13" t="s">
        <v>564</v>
      </c>
      <c r="F245" s="8" t="s">
        <v>72</v>
      </c>
      <c r="G245" s="13"/>
      <c r="H245" s="8"/>
      <c r="I245" s="13" t="s">
        <v>290</v>
      </c>
      <c r="J245" s="14">
        <v>46190</v>
      </c>
      <c r="K245" s="14">
        <v>46191</v>
      </c>
      <c r="L245" s="15" t="s">
        <v>21</v>
      </c>
      <c r="M245" s="13"/>
      <c r="N245" s="16" t="s">
        <v>565</v>
      </c>
    </row>
    <row r="246" spans="1:14" ht="24" x14ac:dyDescent="0.25">
      <c r="A246" s="8" t="s">
        <v>16</v>
      </c>
      <c r="B246" s="13" t="s">
        <v>52</v>
      </c>
      <c r="C246" s="13" t="s">
        <v>412</v>
      </c>
      <c r="D246" s="8">
        <v>685</v>
      </c>
      <c r="E246" s="13" t="s">
        <v>566</v>
      </c>
      <c r="F246" s="8" t="s">
        <v>92</v>
      </c>
      <c r="G246" s="13"/>
      <c r="H246" s="8"/>
      <c r="I246" s="13" t="s">
        <v>75</v>
      </c>
      <c r="J246" s="14">
        <v>46190</v>
      </c>
      <c r="K246" s="14">
        <v>46193</v>
      </c>
      <c r="L246" s="15" t="s">
        <v>21</v>
      </c>
      <c r="M246" s="13"/>
      <c r="N246" s="16" t="s">
        <v>567</v>
      </c>
    </row>
    <row r="247" spans="1:14" ht="24" x14ac:dyDescent="0.25">
      <c r="A247" s="8" t="s">
        <v>16</v>
      </c>
      <c r="B247" s="13" t="s">
        <v>52</v>
      </c>
      <c r="C247" s="13" t="s">
        <v>412</v>
      </c>
      <c r="D247" s="8">
        <v>686</v>
      </c>
      <c r="E247" s="13" t="s">
        <v>568</v>
      </c>
      <c r="F247" s="8" t="s">
        <v>72</v>
      </c>
      <c r="G247" s="13"/>
      <c r="H247" s="8"/>
      <c r="I247" s="13" t="s">
        <v>290</v>
      </c>
      <c r="J247" s="14">
        <v>46190</v>
      </c>
      <c r="K247" s="14">
        <v>46191</v>
      </c>
      <c r="L247" s="15" t="s">
        <v>21</v>
      </c>
      <c r="M247" s="13"/>
      <c r="N247" s="16" t="s">
        <v>569</v>
      </c>
    </row>
    <row r="248" spans="1:14" ht="24" x14ac:dyDescent="0.25">
      <c r="A248" s="8" t="s">
        <v>16</v>
      </c>
      <c r="B248" s="13" t="s">
        <v>52</v>
      </c>
      <c r="C248" s="13" t="s">
        <v>412</v>
      </c>
      <c r="D248" s="8">
        <v>687</v>
      </c>
      <c r="E248" s="13" t="s">
        <v>570</v>
      </c>
      <c r="F248" s="8" t="s">
        <v>72</v>
      </c>
      <c r="G248" s="13"/>
      <c r="H248" s="8"/>
      <c r="I248" s="13" t="s">
        <v>290</v>
      </c>
      <c r="J248" s="14">
        <v>46190</v>
      </c>
      <c r="K248" s="14">
        <v>46194</v>
      </c>
      <c r="L248" s="15" t="s">
        <v>21</v>
      </c>
      <c r="M248" s="13"/>
      <c r="N248" s="16" t="s">
        <v>571</v>
      </c>
    </row>
    <row r="249" spans="1:14" ht="24" x14ac:dyDescent="0.25">
      <c r="A249" s="8" t="s">
        <v>16</v>
      </c>
      <c r="B249" s="13" t="s">
        <v>52</v>
      </c>
      <c r="C249" s="13" t="s">
        <v>412</v>
      </c>
      <c r="D249" s="8">
        <v>688</v>
      </c>
      <c r="E249" s="13" t="s">
        <v>572</v>
      </c>
      <c r="F249" s="8" t="s">
        <v>92</v>
      </c>
      <c r="G249" s="13"/>
      <c r="H249" s="8"/>
      <c r="I249" s="13" t="s">
        <v>75</v>
      </c>
      <c r="J249" s="14">
        <v>46190</v>
      </c>
      <c r="K249" s="14">
        <v>46192</v>
      </c>
      <c r="L249" s="15" t="s">
        <v>21</v>
      </c>
      <c r="M249" s="13"/>
      <c r="N249" s="16" t="s">
        <v>573</v>
      </c>
    </row>
    <row r="250" spans="1:14" ht="24" x14ac:dyDescent="0.25">
      <c r="A250" s="8" t="s">
        <v>16</v>
      </c>
      <c r="B250" s="13" t="s">
        <v>52</v>
      </c>
      <c r="C250" s="13" t="s">
        <v>412</v>
      </c>
      <c r="D250" s="8">
        <v>697</v>
      </c>
      <c r="E250" s="13" t="s">
        <v>574</v>
      </c>
      <c r="F250" s="8" t="s">
        <v>92</v>
      </c>
      <c r="G250" s="13"/>
      <c r="H250" s="8"/>
      <c r="I250" s="13" t="s">
        <v>75</v>
      </c>
      <c r="J250" s="14">
        <v>46191</v>
      </c>
      <c r="K250" s="14">
        <v>46191</v>
      </c>
      <c r="L250" s="15" t="s">
        <v>21</v>
      </c>
      <c r="M250" s="13"/>
      <c r="N250" s="16" t="s">
        <v>575</v>
      </c>
    </row>
    <row r="251" spans="1:14" ht="24" x14ac:dyDescent="0.25">
      <c r="A251" s="8" t="s">
        <v>16</v>
      </c>
      <c r="B251" s="13" t="s">
        <v>52</v>
      </c>
      <c r="C251" s="13" t="s">
        <v>412</v>
      </c>
      <c r="D251" s="8">
        <v>698</v>
      </c>
      <c r="E251" s="13" t="s">
        <v>576</v>
      </c>
      <c r="F251" s="8" t="s">
        <v>92</v>
      </c>
      <c r="G251" s="13"/>
      <c r="H251" s="8"/>
      <c r="I251" s="13" t="s">
        <v>75</v>
      </c>
      <c r="J251" s="14">
        <v>46191</v>
      </c>
      <c r="K251" s="14">
        <v>46191</v>
      </c>
      <c r="L251" s="15" t="s">
        <v>21</v>
      </c>
      <c r="M251" s="13"/>
      <c r="N251" s="16" t="s">
        <v>577</v>
      </c>
    </row>
    <row r="252" spans="1:14" ht="24" x14ac:dyDescent="0.25">
      <c r="A252" s="8" t="s">
        <v>16</v>
      </c>
      <c r="B252" s="13" t="s">
        <v>52</v>
      </c>
      <c r="C252" s="13" t="s">
        <v>412</v>
      </c>
      <c r="D252" s="8">
        <v>699</v>
      </c>
      <c r="E252" s="13" t="s">
        <v>484</v>
      </c>
      <c r="F252" s="8" t="s">
        <v>92</v>
      </c>
      <c r="G252" s="13"/>
      <c r="H252" s="8"/>
      <c r="I252" s="13" t="s">
        <v>75</v>
      </c>
      <c r="J252" s="14">
        <v>46191</v>
      </c>
      <c r="K252" s="14">
        <v>46191</v>
      </c>
      <c r="L252" s="15" t="s">
        <v>21</v>
      </c>
      <c r="M252" s="13"/>
      <c r="N252" s="16" t="s">
        <v>578</v>
      </c>
    </row>
    <row r="253" spans="1:14" ht="24" x14ac:dyDescent="0.25">
      <c r="A253" s="8" t="s">
        <v>16</v>
      </c>
      <c r="B253" s="13" t="s">
        <v>52</v>
      </c>
      <c r="C253" s="13" t="s">
        <v>412</v>
      </c>
      <c r="D253" s="8">
        <v>701</v>
      </c>
      <c r="E253" s="13" t="s">
        <v>579</v>
      </c>
      <c r="F253" s="8" t="s">
        <v>92</v>
      </c>
      <c r="G253" s="13"/>
      <c r="H253" s="8"/>
      <c r="I253" s="13" t="s">
        <v>75</v>
      </c>
      <c r="J253" s="14">
        <v>46191</v>
      </c>
      <c r="K253" s="14">
        <v>46191</v>
      </c>
      <c r="L253" s="15" t="s">
        <v>21</v>
      </c>
      <c r="M253" s="13"/>
      <c r="N253" s="16" t="s">
        <v>580</v>
      </c>
    </row>
    <row r="254" spans="1:14" ht="24" x14ac:dyDescent="0.25">
      <c r="A254" s="8" t="s">
        <v>16</v>
      </c>
      <c r="B254" s="13" t="s">
        <v>52</v>
      </c>
      <c r="C254" s="13" t="s">
        <v>412</v>
      </c>
      <c r="D254" s="8">
        <v>702</v>
      </c>
      <c r="E254" s="13" t="s">
        <v>581</v>
      </c>
      <c r="F254" s="8" t="s">
        <v>92</v>
      </c>
      <c r="G254" s="13"/>
      <c r="H254" s="8"/>
      <c r="I254" s="13" t="s">
        <v>75</v>
      </c>
      <c r="J254" s="14">
        <v>46191</v>
      </c>
      <c r="K254" s="14">
        <v>46191</v>
      </c>
      <c r="L254" s="15" t="s">
        <v>21</v>
      </c>
      <c r="M254" s="13"/>
      <c r="N254" s="16" t="s">
        <v>582</v>
      </c>
    </row>
    <row r="255" spans="1:14" ht="24" x14ac:dyDescent="0.25">
      <c r="A255" s="8" t="s">
        <v>16</v>
      </c>
      <c r="B255" s="13" t="s">
        <v>52</v>
      </c>
      <c r="C255" s="13" t="s">
        <v>412</v>
      </c>
      <c r="D255" s="8">
        <v>703</v>
      </c>
      <c r="E255" s="13" t="s">
        <v>583</v>
      </c>
      <c r="F255" s="8" t="s">
        <v>92</v>
      </c>
      <c r="G255" s="13"/>
      <c r="H255" s="8"/>
      <c r="I255" s="13" t="s">
        <v>75</v>
      </c>
      <c r="J255" s="14">
        <v>46191</v>
      </c>
      <c r="K255" s="14">
        <v>46191</v>
      </c>
      <c r="L255" s="15" t="s">
        <v>21</v>
      </c>
      <c r="M255" s="13"/>
      <c r="N255" s="16" t="s">
        <v>584</v>
      </c>
    </row>
    <row r="256" spans="1:14" ht="24" x14ac:dyDescent="0.25">
      <c r="A256" s="8" t="s">
        <v>16</v>
      </c>
      <c r="B256" s="13" t="s">
        <v>52</v>
      </c>
      <c r="C256" s="13" t="s">
        <v>412</v>
      </c>
      <c r="D256" s="8">
        <v>705</v>
      </c>
      <c r="E256" s="13" t="s">
        <v>585</v>
      </c>
      <c r="F256" s="8" t="s">
        <v>92</v>
      </c>
      <c r="G256" s="13"/>
      <c r="H256" s="8"/>
      <c r="I256" s="13" t="s">
        <v>75</v>
      </c>
      <c r="J256" s="14">
        <v>46191</v>
      </c>
      <c r="K256" s="14">
        <v>46193</v>
      </c>
      <c r="L256" s="17" t="s">
        <v>23</v>
      </c>
      <c r="M256" s="13" t="s">
        <v>402</v>
      </c>
      <c r="N256" s="16" t="s">
        <v>586</v>
      </c>
    </row>
    <row r="257" spans="1:14" ht="24" x14ac:dyDescent="0.25">
      <c r="A257" s="8" t="s">
        <v>16</v>
      </c>
      <c r="B257" s="13" t="s">
        <v>52</v>
      </c>
      <c r="C257" s="13" t="s">
        <v>412</v>
      </c>
      <c r="D257" s="8">
        <v>706</v>
      </c>
      <c r="E257" s="13" t="s">
        <v>587</v>
      </c>
      <c r="F257" s="8" t="s">
        <v>92</v>
      </c>
      <c r="G257" s="13"/>
      <c r="H257" s="8"/>
      <c r="I257" s="13" t="s">
        <v>75</v>
      </c>
      <c r="J257" s="14">
        <v>46191</v>
      </c>
      <c r="K257" s="14">
        <v>46193</v>
      </c>
      <c r="L257" s="17" t="s">
        <v>23</v>
      </c>
      <c r="M257" s="13" t="s">
        <v>402</v>
      </c>
      <c r="N257" s="16" t="s">
        <v>588</v>
      </c>
    </row>
    <row r="258" spans="1:14" ht="24" x14ac:dyDescent="0.25">
      <c r="A258" s="8" t="s">
        <v>16</v>
      </c>
      <c r="B258" s="13" t="s">
        <v>52</v>
      </c>
      <c r="C258" s="13" t="s">
        <v>412</v>
      </c>
      <c r="D258" s="8">
        <v>707</v>
      </c>
      <c r="E258" s="13" t="s">
        <v>589</v>
      </c>
      <c r="F258" s="8" t="s">
        <v>92</v>
      </c>
      <c r="G258" s="13"/>
      <c r="H258" s="8"/>
      <c r="I258" s="13" t="s">
        <v>75</v>
      </c>
      <c r="J258" s="14">
        <v>46191</v>
      </c>
      <c r="K258" s="14">
        <v>46193</v>
      </c>
      <c r="L258" s="17" t="s">
        <v>23</v>
      </c>
      <c r="M258" s="13" t="s">
        <v>402</v>
      </c>
      <c r="N258" s="16" t="s">
        <v>590</v>
      </c>
    </row>
    <row r="259" spans="1:14" ht="24" x14ac:dyDescent="0.25">
      <c r="A259" s="8" t="s">
        <v>16</v>
      </c>
      <c r="B259" s="13" t="s">
        <v>52</v>
      </c>
      <c r="C259" s="13" t="s">
        <v>412</v>
      </c>
      <c r="D259" s="8">
        <v>708</v>
      </c>
      <c r="E259" s="13" t="s">
        <v>591</v>
      </c>
      <c r="F259" s="8" t="s">
        <v>92</v>
      </c>
      <c r="G259" s="13"/>
      <c r="H259" s="8"/>
      <c r="I259" s="13" t="s">
        <v>75</v>
      </c>
      <c r="J259" s="14">
        <v>46191</v>
      </c>
      <c r="K259" s="14">
        <v>46192</v>
      </c>
      <c r="L259" s="15" t="s">
        <v>21</v>
      </c>
      <c r="M259" s="13"/>
      <c r="N259" s="16" t="s">
        <v>592</v>
      </c>
    </row>
    <row r="260" spans="1:14" ht="24" x14ac:dyDescent="0.25">
      <c r="A260" s="8" t="s">
        <v>16</v>
      </c>
      <c r="B260" s="13" t="s">
        <v>52</v>
      </c>
      <c r="C260" s="13" t="s">
        <v>412</v>
      </c>
      <c r="D260" s="8">
        <v>709</v>
      </c>
      <c r="E260" s="13" t="s">
        <v>593</v>
      </c>
      <c r="F260" s="8" t="s">
        <v>92</v>
      </c>
      <c r="G260" s="13"/>
      <c r="H260" s="8"/>
      <c r="I260" s="13" t="s">
        <v>75</v>
      </c>
      <c r="J260" s="14">
        <v>46191</v>
      </c>
      <c r="K260" s="14">
        <v>46192</v>
      </c>
      <c r="L260" s="15" t="s">
        <v>21</v>
      </c>
      <c r="M260" s="13"/>
      <c r="N260" s="16" t="s">
        <v>594</v>
      </c>
    </row>
    <row r="261" spans="1:14" ht="24" x14ac:dyDescent="0.25">
      <c r="A261" s="8" t="s">
        <v>16</v>
      </c>
      <c r="B261" s="13" t="s">
        <v>52</v>
      </c>
      <c r="C261" s="13" t="s">
        <v>595</v>
      </c>
      <c r="D261" s="8">
        <v>391</v>
      </c>
      <c r="E261" s="13" t="s">
        <v>596</v>
      </c>
      <c r="F261" s="8" t="s">
        <v>72</v>
      </c>
      <c r="G261" s="13"/>
      <c r="H261" s="8"/>
      <c r="I261" s="13" t="s">
        <v>290</v>
      </c>
      <c r="J261" s="14">
        <v>46187</v>
      </c>
      <c r="K261" s="14">
        <v>46193</v>
      </c>
      <c r="L261" s="17" t="s">
        <v>23</v>
      </c>
      <c r="M261" s="13" t="s">
        <v>402</v>
      </c>
      <c r="N261" s="16" t="s">
        <v>597</v>
      </c>
    </row>
    <row r="262" spans="1:14" ht="24" x14ac:dyDescent="0.25">
      <c r="A262" s="8" t="s">
        <v>16</v>
      </c>
      <c r="B262" s="13" t="s">
        <v>52</v>
      </c>
      <c r="C262" s="13" t="s">
        <v>595</v>
      </c>
      <c r="D262" s="8">
        <v>394</v>
      </c>
      <c r="E262" s="13" t="s">
        <v>598</v>
      </c>
      <c r="F262" s="8" t="s">
        <v>72</v>
      </c>
      <c r="G262" s="13"/>
      <c r="H262" s="8"/>
      <c r="I262" s="13" t="s">
        <v>290</v>
      </c>
      <c r="J262" s="14">
        <v>46187</v>
      </c>
      <c r="K262" s="14">
        <v>46187</v>
      </c>
      <c r="L262" s="15" t="s">
        <v>21</v>
      </c>
      <c r="M262" s="13"/>
      <c r="N262" s="16" t="s">
        <v>599</v>
      </c>
    </row>
    <row r="263" spans="1:14" ht="24" x14ac:dyDescent="0.25">
      <c r="A263" s="8" t="s">
        <v>16</v>
      </c>
      <c r="B263" s="13" t="s">
        <v>52</v>
      </c>
      <c r="C263" s="13" t="s">
        <v>595</v>
      </c>
      <c r="D263" s="8">
        <v>395</v>
      </c>
      <c r="E263" s="13" t="s">
        <v>600</v>
      </c>
      <c r="F263" s="8" t="s">
        <v>72</v>
      </c>
      <c r="G263" s="13"/>
      <c r="H263" s="8"/>
      <c r="I263" s="13" t="s">
        <v>290</v>
      </c>
      <c r="J263" s="14">
        <v>46187</v>
      </c>
      <c r="K263" s="14">
        <v>46187</v>
      </c>
      <c r="L263" s="15" t="s">
        <v>21</v>
      </c>
      <c r="M263" s="13"/>
      <c r="N263" s="16" t="s">
        <v>601</v>
      </c>
    </row>
    <row r="264" spans="1:14" ht="24" x14ac:dyDescent="0.25">
      <c r="A264" s="8" t="s">
        <v>16</v>
      </c>
      <c r="B264" s="13" t="s">
        <v>52</v>
      </c>
      <c r="C264" s="13" t="s">
        <v>595</v>
      </c>
      <c r="D264" s="8">
        <v>396</v>
      </c>
      <c r="E264" s="13" t="s">
        <v>602</v>
      </c>
      <c r="F264" s="8" t="s">
        <v>72</v>
      </c>
      <c r="G264" s="13"/>
      <c r="H264" s="8"/>
      <c r="I264" s="13" t="s">
        <v>290</v>
      </c>
      <c r="J264" s="14">
        <v>46187</v>
      </c>
      <c r="K264" s="14">
        <v>46187</v>
      </c>
      <c r="L264" s="15" t="s">
        <v>21</v>
      </c>
      <c r="M264" s="13"/>
      <c r="N264" s="16" t="s">
        <v>603</v>
      </c>
    </row>
    <row r="265" spans="1:14" ht="24" x14ac:dyDescent="0.25">
      <c r="A265" s="8" t="s">
        <v>16</v>
      </c>
      <c r="B265" s="13" t="s">
        <v>52</v>
      </c>
      <c r="C265" s="13" t="s">
        <v>595</v>
      </c>
      <c r="D265" s="8">
        <v>397</v>
      </c>
      <c r="E265" s="13" t="s">
        <v>604</v>
      </c>
      <c r="F265" s="8" t="s">
        <v>72</v>
      </c>
      <c r="G265" s="13"/>
      <c r="H265" s="8"/>
      <c r="I265" s="13" t="s">
        <v>290</v>
      </c>
      <c r="J265" s="14">
        <v>46187</v>
      </c>
      <c r="K265" s="14">
        <v>46187</v>
      </c>
      <c r="L265" s="15" t="s">
        <v>21</v>
      </c>
      <c r="M265" s="13"/>
      <c r="N265" s="16" t="s">
        <v>605</v>
      </c>
    </row>
    <row r="266" spans="1:14" ht="24" x14ac:dyDescent="0.25">
      <c r="A266" s="8" t="s">
        <v>16</v>
      </c>
      <c r="B266" s="13" t="s">
        <v>52</v>
      </c>
      <c r="C266" s="13" t="s">
        <v>595</v>
      </c>
      <c r="D266" s="8">
        <v>398</v>
      </c>
      <c r="E266" s="13" t="s">
        <v>606</v>
      </c>
      <c r="F266" s="8" t="s">
        <v>253</v>
      </c>
      <c r="G266" s="13"/>
      <c r="H266" s="8"/>
      <c r="I266" s="13" t="s">
        <v>290</v>
      </c>
      <c r="J266" s="14">
        <v>46187</v>
      </c>
      <c r="K266" s="14">
        <v>46191</v>
      </c>
      <c r="L266" s="15" t="s">
        <v>21</v>
      </c>
      <c r="M266" s="13" t="s">
        <v>254</v>
      </c>
      <c r="N266" s="16" t="s">
        <v>607</v>
      </c>
    </row>
    <row r="267" spans="1:14" ht="24" x14ac:dyDescent="0.25">
      <c r="A267" s="8" t="s">
        <v>16</v>
      </c>
      <c r="B267" s="13" t="s">
        <v>52</v>
      </c>
      <c r="C267" s="13" t="s">
        <v>595</v>
      </c>
      <c r="D267" s="8">
        <v>399</v>
      </c>
      <c r="E267" s="13" t="s">
        <v>608</v>
      </c>
      <c r="F267" s="8" t="s">
        <v>72</v>
      </c>
      <c r="G267" s="13"/>
      <c r="H267" s="8"/>
      <c r="I267" s="13" t="s">
        <v>290</v>
      </c>
      <c r="J267" s="14">
        <v>46187</v>
      </c>
      <c r="K267" s="14">
        <v>46187</v>
      </c>
      <c r="L267" s="15" t="s">
        <v>21</v>
      </c>
      <c r="M267" s="13"/>
      <c r="N267" s="16" t="s">
        <v>609</v>
      </c>
    </row>
    <row r="268" spans="1:14" ht="24" x14ac:dyDescent="0.25">
      <c r="A268" s="8" t="s">
        <v>16</v>
      </c>
      <c r="B268" s="13" t="s">
        <v>52</v>
      </c>
      <c r="C268" s="13" t="s">
        <v>595</v>
      </c>
      <c r="D268" s="8">
        <v>400</v>
      </c>
      <c r="E268" s="13" t="s">
        <v>610</v>
      </c>
      <c r="F268" s="8" t="s">
        <v>72</v>
      </c>
      <c r="G268" s="13"/>
      <c r="H268" s="8"/>
      <c r="I268" s="13" t="s">
        <v>290</v>
      </c>
      <c r="J268" s="14">
        <v>46187</v>
      </c>
      <c r="K268" s="14">
        <v>46187</v>
      </c>
      <c r="L268" s="15" t="s">
        <v>21</v>
      </c>
      <c r="M268" s="13"/>
      <c r="N268" s="16" t="s">
        <v>611</v>
      </c>
    </row>
    <row r="269" spans="1:14" ht="24" x14ac:dyDescent="0.25">
      <c r="A269" s="8" t="s">
        <v>16</v>
      </c>
      <c r="B269" s="13" t="s">
        <v>52</v>
      </c>
      <c r="C269" s="13" t="s">
        <v>595</v>
      </c>
      <c r="D269" s="8">
        <v>412</v>
      </c>
      <c r="E269" s="13" t="s">
        <v>612</v>
      </c>
      <c r="F269" s="8" t="s">
        <v>253</v>
      </c>
      <c r="G269" s="13"/>
      <c r="H269" s="8"/>
      <c r="I269" s="13" t="s">
        <v>290</v>
      </c>
      <c r="J269" s="14">
        <v>46187</v>
      </c>
      <c r="K269" s="14">
        <v>46191</v>
      </c>
      <c r="L269" s="15" t="s">
        <v>21</v>
      </c>
      <c r="M269" s="13" t="s">
        <v>254</v>
      </c>
      <c r="N269" s="16" t="s">
        <v>613</v>
      </c>
    </row>
    <row r="270" spans="1:14" ht="24" x14ac:dyDescent="0.25">
      <c r="A270" s="8" t="s">
        <v>16</v>
      </c>
      <c r="B270" s="13" t="s">
        <v>52</v>
      </c>
      <c r="C270" s="13" t="s">
        <v>595</v>
      </c>
      <c r="D270" s="8">
        <v>427</v>
      </c>
      <c r="E270" s="13" t="s">
        <v>614</v>
      </c>
      <c r="F270" s="8" t="s">
        <v>72</v>
      </c>
      <c r="G270" s="13"/>
      <c r="H270" s="8"/>
      <c r="I270" s="13" t="s">
        <v>290</v>
      </c>
      <c r="J270" s="14">
        <v>46187</v>
      </c>
      <c r="K270" s="14">
        <v>46187</v>
      </c>
      <c r="L270" s="15" t="s">
        <v>21</v>
      </c>
      <c r="M270" s="13"/>
      <c r="N270" s="16" t="s">
        <v>615</v>
      </c>
    </row>
    <row r="271" spans="1:14" ht="24" x14ac:dyDescent="0.25">
      <c r="A271" s="8" t="s">
        <v>16</v>
      </c>
      <c r="B271" s="13" t="s">
        <v>52</v>
      </c>
      <c r="C271" s="13" t="s">
        <v>595</v>
      </c>
      <c r="D271" s="8">
        <v>430</v>
      </c>
      <c r="E271" s="13" t="s">
        <v>616</v>
      </c>
      <c r="F271" s="8" t="s">
        <v>253</v>
      </c>
      <c r="G271" s="13"/>
      <c r="H271" s="8"/>
      <c r="I271" s="13" t="s">
        <v>290</v>
      </c>
      <c r="J271" s="14">
        <v>46187</v>
      </c>
      <c r="K271" s="14">
        <v>46191</v>
      </c>
      <c r="L271" s="15" t="s">
        <v>21</v>
      </c>
      <c r="M271" s="13" t="s">
        <v>254</v>
      </c>
      <c r="N271" s="16" t="s">
        <v>617</v>
      </c>
    </row>
    <row r="272" spans="1:14" ht="24" x14ac:dyDescent="0.25">
      <c r="A272" s="8" t="s">
        <v>16</v>
      </c>
      <c r="B272" s="13" t="s">
        <v>52</v>
      </c>
      <c r="C272" s="13" t="s">
        <v>595</v>
      </c>
      <c r="D272" s="8">
        <v>433</v>
      </c>
      <c r="E272" s="13" t="s">
        <v>618</v>
      </c>
      <c r="F272" s="8" t="s">
        <v>72</v>
      </c>
      <c r="G272" s="13"/>
      <c r="H272" s="8"/>
      <c r="I272" s="13" t="s">
        <v>290</v>
      </c>
      <c r="J272" s="14">
        <v>46187</v>
      </c>
      <c r="K272" s="14">
        <v>46187</v>
      </c>
      <c r="L272" s="15" t="s">
        <v>21</v>
      </c>
      <c r="M272" s="13"/>
      <c r="N272" s="16" t="s">
        <v>619</v>
      </c>
    </row>
    <row r="273" spans="1:14" ht="25.5" x14ac:dyDescent="0.25">
      <c r="A273" s="8" t="s">
        <v>16</v>
      </c>
      <c r="B273" s="13" t="s">
        <v>52</v>
      </c>
      <c r="C273" s="13" t="s">
        <v>595</v>
      </c>
      <c r="D273" s="8">
        <v>435</v>
      </c>
      <c r="E273" s="13" t="s">
        <v>620</v>
      </c>
      <c r="F273" s="8" t="s">
        <v>72</v>
      </c>
      <c r="G273" s="13"/>
      <c r="H273" s="8"/>
      <c r="I273" s="13" t="s">
        <v>290</v>
      </c>
      <c r="J273" s="14">
        <v>46187</v>
      </c>
      <c r="K273" s="14">
        <v>46187</v>
      </c>
      <c r="L273" s="15" t="s">
        <v>21</v>
      </c>
      <c r="M273" s="13"/>
      <c r="N273" s="16" t="s">
        <v>621</v>
      </c>
    </row>
    <row r="274" spans="1:14" ht="24" x14ac:dyDescent="0.25">
      <c r="A274" s="8" t="s">
        <v>16</v>
      </c>
      <c r="B274" s="13" t="s">
        <v>52</v>
      </c>
      <c r="C274" s="13" t="s">
        <v>595</v>
      </c>
      <c r="D274" s="8">
        <v>436</v>
      </c>
      <c r="E274" s="13" t="s">
        <v>622</v>
      </c>
      <c r="F274" s="8" t="s">
        <v>72</v>
      </c>
      <c r="G274" s="13"/>
      <c r="H274" s="8"/>
      <c r="I274" s="13" t="s">
        <v>290</v>
      </c>
      <c r="J274" s="14">
        <v>46187</v>
      </c>
      <c r="K274" s="14">
        <v>46187</v>
      </c>
      <c r="L274" s="15" t="s">
        <v>21</v>
      </c>
      <c r="M274" s="13"/>
      <c r="N274" s="16" t="s">
        <v>623</v>
      </c>
    </row>
    <row r="275" spans="1:14" ht="24" x14ac:dyDescent="0.25">
      <c r="A275" s="8" t="s">
        <v>16</v>
      </c>
      <c r="B275" s="13" t="s">
        <v>52</v>
      </c>
      <c r="C275" s="13" t="s">
        <v>595</v>
      </c>
      <c r="D275" s="8">
        <v>438</v>
      </c>
      <c r="E275" s="13" t="s">
        <v>624</v>
      </c>
      <c r="F275" s="8" t="s">
        <v>253</v>
      </c>
      <c r="G275" s="13"/>
      <c r="H275" s="8"/>
      <c r="I275" s="13" t="s">
        <v>290</v>
      </c>
      <c r="J275" s="14">
        <v>46187</v>
      </c>
      <c r="K275" s="14">
        <v>46191</v>
      </c>
      <c r="L275" s="15" t="s">
        <v>21</v>
      </c>
      <c r="M275" s="13" t="s">
        <v>254</v>
      </c>
      <c r="N275" s="16" t="s">
        <v>625</v>
      </c>
    </row>
    <row r="276" spans="1:14" ht="24" x14ac:dyDescent="0.25">
      <c r="A276" s="8" t="s">
        <v>16</v>
      </c>
      <c r="B276" s="13" t="s">
        <v>52</v>
      </c>
      <c r="C276" s="13" t="s">
        <v>595</v>
      </c>
      <c r="D276" s="8">
        <v>440</v>
      </c>
      <c r="E276" s="13" t="s">
        <v>626</v>
      </c>
      <c r="F276" s="8" t="s">
        <v>72</v>
      </c>
      <c r="G276" s="13"/>
      <c r="H276" s="8"/>
      <c r="I276" s="13" t="s">
        <v>290</v>
      </c>
      <c r="J276" s="14">
        <v>46187</v>
      </c>
      <c r="K276" s="14">
        <v>46187</v>
      </c>
      <c r="L276" s="15" t="s">
        <v>21</v>
      </c>
      <c r="M276" s="13"/>
      <c r="N276" s="16" t="s">
        <v>627</v>
      </c>
    </row>
    <row r="277" spans="1:14" ht="25.5" x14ac:dyDescent="0.25">
      <c r="A277" s="8" t="s">
        <v>16</v>
      </c>
      <c r="B277" s="13" t="s">
        <v>52</v>
      </c>
      <c r="C277" s="13" t="s">
        <v>595</v>
      </c>
      <c r="D277" s="8">
        <v>441</v>
      </c>
      <c r="E277" s="13" t="s">
        <v>628</v>
      </c>
      <c r="F277" s="8" t="s">
        <v>72</v>
      </c>
      <c r="G277" s="13"/>
      <c r="H277" s="8"/>
      <c r="I277" s="13" t="s">
        <v>290</v>
      </c>
      <c r="J277" s="14">
        <v>46187</v>
      </c>
      <c r="K277" s="14">
        <v>46187</v>
      </c>
      <c r="L277" s="15" t="s">
        <v>21</v>
      </c>
      <c r="M277" s="13"/>
      <c r="N277" s="16" t="s">
        <v>629</v>
      </c>
    </row>
    <row r="278" spans="1:14" ht="25.5" x14ac:dyDescent="0.25">
      <c r="A278" s="8" t="s">
        <v>16</v>
      </c>
      <c r="B278" s="13" t="s">
        <v>52</v>
      </c>
      <c r="C278" s="13" t="s">
        <v>595</v>
      </c>
      <c r="D278" s="8">
        <v>442</v>
      </c>
      <c r="E278" s="13" t="s">
        <v>630</v>
      </c>
      <c r="F278" s="8" t="s">
        <v>72</v>
      </c>
      <c r="G278" s="13"/>
      <c r="H278" s="8"/>
      <c r="I278" s="13" t="s">
        <v>290</v>
      </c>
      <c r="J278" s="14">
        <v>46187</v>
      </c>
      <c r="K278" s="14">
        <v>46187</v>
      </c>
      <c r="L278" s="15" t="s">
        <v>21</v>
      </c>
      <c r="M278" s="13"/>
      <c r="N278" s="16" t="s">
        <v>631</v>
      </c>
    </row>
    <row r="279" spans="1:14" ht="24" x14ac:dyDescent="0.25">
      <c r="A279" s="8" t="s">
        <v>16</v>
      </c>
      <c r="B279" s="13" t="s">
        <v>52</v>
      </c>
      <c r="C279" s="13" t="s">
        <v>595</v>
      </c>
      <c r="D279" s="8">
        <v>443</v>
      </c>
      <c r="E279" s="13" t="s">
        <v>632</v>
      </c>
      <c r="F279" s="8" t="s">
        <v>72</v>
      </c>
      <c r="G279" s="13"/>
      <c r="H279" s="8"/>
      <c r="I279" s="13" t="s">
        <v>290</v>
      </c>
      <c r="J279" s="14">
        <v>46187</v>
      </c>
      <c r="K279" s="14">
        <v>46187</v>
      </c>
      <c r="L279" s="15" t="s">
        <v>21</v>
      </c>
      <c r="M279" s="13"/>
      <c r="N279" s="16" t="s">
        <v>633</v>
      </c>
    </row>
    <row r="280" spans="1:14" ht="24" x14ac:dyDescent="0.25">
      <c r="A280" s="8" t="s">
        <v>16</v>
      </c>
      <c r="B280" s="13" t="s">
        <v>52</v>
      </c>
      <c r="C280" s="13" t="s">
        <v>595</v>
      </c>
      <c r="D280" s="8">
        <v>448</v>
      </c>
      <c r="E280" s="13" t="s">
        <v>634</v>
      </c>
      <c r="F280" s="8" t="s">
        <v>72</v>
      </c>
      <c r="G280" s="13"/>
      <c r="H280" s="8"/>
      <c r="I280" s="13" t="s">
        <v>290</v>
      </c>
      <c r="J280" s="14">
        <v>46187</v>
      </c>
      <c r="K280" s="14">
        <v>46187</v>
      </c>
      <c r="L280" s="15" t="s">
        <v>21</v>
      </c>
      <c r="M280" s="13"/>
      <c r="N280" s="16" t="s">
        <v>635</v>
      </c>
    </row>
    <row r="281" spans="1:14" ht="24" x14ac:dyDescent="0.25">
      <c r="A281" s="8" t="s">
        <v>16</v>
      </c>
      <c r="B281" s="13" t="s">
        <v>52</v>
      </c>
      <c r="C281" s="13" t="s">
        <v>595</v>
      </c>
      <c r="D281" s="8">
        <v>449</v>
      </c>
      <c r="E281" s="13" t="s">
        <v>636</v>
      </c>
      <c r="F281" s="8" t="s">
        <v>72</v>
      </c>
      <c r="G281" s="13"/>
      <c r="H281" s="8"/>
      <c r="I281" s="13" t="s">
        <v>290</v>
      </c>
      <c r="J281" s="14">
        <v>46187</v>
      </c>
      <c r="K281" s="14">
        <v>46187</v>
      </c>
      <c r="L281" s="15" t="s">
        <v>21</v>
      </c>
      <c r="M281" s="13"/>
      <c r="N281" s="16" t="s">
        <v>637</v>
      </c>
    </row>
    <row r="282" spans="1:14" ht="24" x14ac:dyDescent="0.25">
      <c r="A282" s="8" t="s">
        <v>16</v>
      </c>
      <c r="B282" s="13" t="s">
        <v>52</v>
      </c>
      <c r="C282" s="13" t="s">
        <v>595</v>
      </c>
      <c r="D282" s="8">
        <v>455</v>
      </c>
      <c r="E282" s="13" t="s">
        <v>638</v>
      </c>
      <c r="F282" s="8" t="s">
        <v>253</v>
      </c>
      <c r="G282" s="13"/>
      <c r="H282" s="8"/>
      <c r="I282" s="13" t="s">
        <v>290</v>
      </c>
      <c r="J282" s="14">
        <v>46187</v>
      </c>
      <c r="K282" s="14">
        <v>46191</v>
      </c>
      <c r="L282" s="15" t="s">
        <v>21</v>
      </c>
      <c r="M282" s="13" t="s">
        <v>254</v>
      </c>
      <c r="N282" s="16" t="s">
        <v>639</v>
      </c>
    </row>
    <row r="283" spans="1:14" ht="24" x14ac:dyDescent="0.25">
      <c r="A283" s="8" t="s">
        <v>16</v>
      </c>
      <c r="B283" s="13" t="s">
        <v>52</v>
      </c>
      <c r="C283" s="13" t="s">
        <v>595</v>
      </c>
      <c r="D283" s="8">
        <v>461</v>
      </c>
      <c r="E283" s="13" t="s">
        <v>640</v>
      </c>
      <c r="F283" s="8" t="s">
        <v>72</v>
      </c>
      <c r="G283" s="13"/>
      <c r="H283" s="8"/>
      <c r="I283" s="13" t="s">
        <v>290</v>
      </c>
      <c r="J283" s="14">
        <v>46187</v>
      </c>
      <c r="K283" s="14">
        <v>46187</v>
      </c>
      <c r="L283" s="15" t="s">
        <v>21</v>
      </c>
      <c r="M283" s="13"/>
      <c r="N283" s="16" t="s">
        <v>641</v>
      </c>
    </row>
    <row r="284" spans="1:14" ht="24" x14ac:dyDescent="0.25">
      <c r="A284" s="8" t="s">
        <v>16</v>
      </c>
      <c r="B284" s="13" t="s">
        <v>52</v>
      </c>
      <c r="C284" s="13" t="s">
        <v>595</v>
      </c>
      <c r="D284" s="8">
        <v>464</v>
      </c>
      <c r="E284" s="13" t="s">
        <v>642</v>
      </c>
      <c r="F284" s="8" t="s">
        <v>253</v>
      </c>
      <c r="G284" s="13"/>
      <c r="H284" s="8"/>
      <c r="I284" s="13" t="s">
        <v>290</v>
      </c>
      <c r="J284" s="14">
        <v>46187</v>
      </c>
      <c r="K284" s="14">
        <v>46193</v>
      </c>
      <c r="L284" s="15" t="s">
        <v>21</v>
      </c>
      <c r="M284" s="13" t="s">
        <v>254</v>
      </c>
      <c r="N284" s="16" t="s">
        <v>643</v>
      </c>
    </row>
    <row r="285" spans="1:14" ht="24" x14ac:dyDescent="0.25">
      <c r="A285" s="8" t="s">
        <v>16</v>
      </c>
      <c r="B285" s="13" t="s">
        <v>52</v>
      </c>
      <c r="C285" s="13" t="s">
        <v>595</v>
      </c>
      <c r="D285" s="8">
        <v>470</v>
      </c>
      <c r="E285" s="13" t="s">
        <v>644</v>
      </c>
      <c r="F285" s="8" t="s">
        <v>72</v>
      </c>
      <c r="G285" s="13"/>
      <c r="H285" s="8"/>
      <c r="I285" s="13" t="s">
        <v>290</v>
      </c>
      <c r="J285" s="14">
        <v>46187</v>
      </c>
      <c r="K285" s="14">
        <v>46187</v>
      </c>
      <c r="L285" s="15" t="s">
        <v>21</v>
      </c>
      <c r="M285" s="13"/>
      <c r="N285" s="16" t="s">
        <v>645</v>
      </c>
    </row>
    <row r="286" spans="1:14" ht="24" x14ac:dyDescent="0.25">
      <c r="A286" s="8" t="s">
        <v>16</v>
      </c>
      <c r="B286" s="13" t="s">
        <v>52</v>
      </c>
      <c r="C286" s="13" t="s">
        <v>595</v>
      </c>
      <c r="D286" s="8">
        <v>476</v>
      </c>
      <c r="E286" s="13" t="s">
        <v>646</v>
      </c>
      <c r="F286" s="8" t="s">
        <v>72</v>
      </c>
      <c r="G286" s="13"/>
      <c r="H286" s="8"/>
      <c r="I286" s="13" t="s">
        <v>290</v>
      </c>
      <c r="J286" s="14">
        <v>46187</v>
      </c>
      <c r="K286" s="14">
        <v>46187</v>
      </c>
      <c r="L286" s="15" t="s">
        <v>21</v>
      </c>
      <c r="M286" s="13"/>
      <c r="N286" s="16" t="s">
        <v>647</v>
      </c>
    </row>
    <row r="287" spans="1:14" ht="24" x14ac:dyDescent="0.25">
      <c r="A287" s="8" t="s">
        <v>16</v>
      </c>
      <c r="B287" s="13" t="s">
        <v>52</v>
      </c>
      <c r="C287" s="13" t="s">
        <v>595</v>
      </c>
      <c r="D287" s="8">
        <v>477</v>
      </c>
      <c r="E287" s="13" t="s">
        <v>648</v>
      </c>
      <c r="F287" s="8" t="s">
        <v>253</v>
      </c>
      <c r="G287" s="13"/>
      <c r="H287" s="8"/>
      <c r="I287" s="13" t="s">
        <v>290</v>
      </c>
      <c r="J287" s="14">
        <v>46187</v>
      </c>
      <c r="K287" s="14">
        <v>46193</v>
      </c>
      <c r="L287" s="15" t="s">
        <v>21</v>
      </c>
      <c r="M287" s="13" t="s">
        <v>254</v>
      </c>
      <c r="N287" s="16" t="s">
        <v>649</v>
      </c>
    </row>
    <row r="288" spans="1:14" ht="24" x14ac:dyDescent="0.25">
      <c r="A288" s="8" t="s">
        <v>16</v>
      </c>
      <c r="B288" s="13" t="s">
        <v>52</v>
      </c>
      <c r="C288" s="13" t="s">
        <v>595</v>
      </c>
      <c r="D288" s="8">
        <v>479</v>
      </c>
      <c r="E288" s="13" t="s">
        <v>650</v>
      </c>
      <c r="F288" s="8" t="s">
        <v>72</v>
      </c>
      <c r="G288" s="13"/>
      <c r="H288" s="8"/>
      <c r="I288" s="13" t="s">
        <v>290</v>
      </c>
      <c r="J288" s="14">
        <v>46187</v>
      </c>
      <c r="K288" s="14">
        <v>46187</v>
      </c>
      <c r="L288" s="15" t="s">
        <v>21</v>
      </c>
      <c r="M288" s="13"/>
      <c r="N288" s="16" t="s">
        <v>651</v>
      </c>
    </row>
    <row r="289" spans="1:14" ht="24" x14ac:dyDescent="0.25">
      <c r="A289" s="8" t="s">
        <v>16</v>
      </c>
      <c r="B289" s="13" t="s">
        <v>52</v>
      </c>
      <c r="C289" s="13" t="s">
        <v>595</v>
      </c>
      <c r="D289" s="8">
        <v>481</v>
      </c>
      <c r="E289" s="13" t="s">
        <v>652</v>
      </c>
      <c r="F289" s="8" t="s">
        <v>253</v>
      </c>
      <c r="G289" s="13"/>
      <c r="H289" s="8"/>
      <c r="I289" s="13" t="s">
        <v>290</v>
      </c>
      <c r="J289" s="14">
        <v>46187</v>
      </c>
      <c r="K289" s="14">
        <v>46191</v>
      </c>
      <c r="L289" s="15" t="s">
        <v>21</v>
      </c>
      <c r="M289" s="13" t="s">
        <v>254</v>
      </c>
      <c r="N289" s="16" t="s">
        <v>653</v>
      </c>
    </row>
    <row r="290" spans="1:14" ht="25.5" x14ac:dyDescent="0.25">
      <c r="A290" s="8" t="s">
        <v>16</v>
      </c>
      <c r="B290" s="13" t="s">
        <v>52</v>
      </c>
      <c r="C290" s="13" t="s">
        <v>595</v>
      </c>
      <c r="D290" s="8">
        <v>485</v>
      </c>
      <c r="E290" s="13" t="s">
        <v>654</v>
      </c>
      <c r="F290" s="8" t="s">
        <v>72</v>
      </c>
      <c r="G290" s="13"/>
      <c r="H290" s="8"/>
      <c r="I290" s="13" t="s">
        <v>290</v>
      </c>
      <c r="J290" s="14">
        <v>46187</v>
      </c>
      <c r="K290" s="14">
        <v>46187</v>
      </c>
      <c r="L290" s="15" t="s">
        <v>21</v>
      </c>
      <c r="M290" s="13"/>
      <c r="N290" s="16" t="s">
        <v>655</v>
      </c>
    </row>
    <row r="291" spans="1:14" ht="24" x14ac:dyDescent="0.25">
      <c r="A291" s="8" t="s">
        <v>16</v>
      </c>
      <c r="B291" s="13" t="s">
        <v>52</v>
      </c>
      <c r="C291" s="13" t="s">
        <v>595</v>
      </c>
      <c r="D291" s="8">
        <v>488</v>
      </c>
      <c r="E291" s="13" t="s">
        <v>656</v>
      </c>
      <c r="F291" s="8" t="s">
        <v>72</v>
      </c>
      <c r="G291" s="13"/>
      <c r="H291" s="8"/>
      <c r="I291" s="13" t="s">
        <v>290</v>
      </c>
      <c r="J291" s="14">
        <v>46187</v>
      </c>
      <c r="K291" s="14">
        <v>46187</v>
      </c>
      <c r="L291" s="15" t="s">
        <v>21</v>
      </c>
      <c r="M291" s="13"/>
      <c r="N291" s="16" t="s">
        <v>657</v>
      </c>
    </row>
    <row r="292" spans="1:14" ht="24" x14ac:dyDescent="0.25">
      <c r="A292" s="8" t="s">
        <v>16</v>
      </c>
      <c r="B292" s="13" t="s">
        <v>52</v>
      </c>
      <c r="C292" s="13" t="s">
        <v>595</v>
      </c>
      <c r="D292" s="8">
        <v>489</v>
      </c>
      <c r="E292" s="13" t="s">
        <v>658</v>
      </c>
      <c r="F292" s="8" t="s">
        <v>72</v>
      </c>
      <c r="G292" s="13"/>
      <c r="H292" s="8"/>
      <c r="I292" s="13" t="s">
        <v>290</v>
      </c>
      <c r="J292" s="14">
        <v>46187</v>
      </c>
      <c r="K292" s="14">
        <v>46187</v>
      </c>
      <c r="L292" s="15" t="s">
        <v>21</v>
      </c>
      <c r="M292" s="13"/>
      <c r="N292" s="16" t="s">
        <v>659</v>
      </c>
    </row>
    <row r="293" spans="1:14" ht="25.5" x14ac:dyDescent="0.25">
      <c r="A293" s="8" t="s">
        <v>16</v>
      </c>
      <c r="B293" s="13" t="s">
        <v>52</v>
      </c>
      <c r="C293" s="13" t="s">
        <v>595</v>
      </c>
      <c r="D293" s="8">
        <v>491</v>
      </c>
      <c r="E293" s="13" t="s">
        <v>660</v>
      </c>
      <c r="F293" s="8" t="s">
        <v>253</v>
      </c>
      <c r="G293" s="13"/>
      <c r="H293" s="8"/>
      <c r="I293" s="13" t="s">
        <v>290</v>
      </c>
      <c r="J293" s="14">
        <v>46187</v>
      </c>
      <c r="K293" s="14">
        <v>46194</v>
      </c>
      <c r="L293" s="15" t="s">
        <v>21</v>
      </c>
      <c r="M293" s="13" t="s">
        <v>254</v>
      </c>
      <c r="N293" s="16" t="s">
        <v>661</v>
      </c>
    </row>
    <row r="294" spans="1:14" ht="24" x14ac:dyDescent="0.25">
      <c r="A294" s="8" t="s">
        <v>16</v>
      </c>
      <c r="B294" s="13" t="s">
        <v>52</v>
      </c>
      <c r="C294" s="13" t="s">
        <v>595</v>
      </c>
      <c r="D294" s="8">
        <v>494</v>
      </c>
      <c r="E294" s="13" t="s">
        <v>662</v>
      </c>
      <c r="F294" s="8" t="s">
        <v>72</v>
      </c>
      <c r="G294" s="13"/>
      <c r="H294" s="8"/>
      <c r="I294" s="13" t="s">
        <v>290</v>
      </c>
      <c r="J294" s="14">
        <v>46187</v>
      </c>
      <c r="K294" s="14">
        <v>46187</v>
      </c>
      <c r="L294" s="15" t="s">
        <v>21</v>
      </c>
      <c r="M294" s="13"/>
      <c r="N294" s="16" t="s">
        <v>663</v>
      </c>
    </row>
    <row r="295" spans="1:14" ht="24" x14ac:dyDescent="0.25">
      <c r="A295" s="8" t="s">
        <v>16</v>
      </c>
      <c r="B295" s="13" t="s">
        <v>52</v>
      </c>
      <c r="C295" s="13" t="s">
        <v>595</v>
      </c>
      <c r="D295" s="8">
        <v>500</v>
      </c>
      <c r="E295" s="13" t="s">
        <v>664</v>
      </c>
      <c r="F295" s="8" t="s">
        <v>253</v>
      </c>
      <c r="G295" s="13"/>
      <c r="H295" s="8"/>
      <c r="I295" s="13" t="s">
        <v>290</v>
      </c>
      <c r="J295" s="14">
        <v>46187</v>
      </c>
      <c r="K295" s="14">
        <v>46191</v>
      </c>
      <c r="L295" s="15" t="s">
        <v>21</v>
      </c>
      <c r="M295" s="13" t="s">
        <v>254</v>
      </c>
      <c r="N295" s="16" t="s">
        <v>665</v>
      </c>
    </row>
    <row r="296" spans="1:14" ht="24" x14ac:dyDescent="0.25">
      <c r="A296" s="8" t="s">
        <v>16</v>
      </c>
      <c r="B296" s="13" t="s">
        <v>52</v>
      </c>
      <c r="C296" s="13" t="s">
        <v>595</v>
      </c>
      <c r="D296" s="8">
        <v>505</v>
      </c>
      <c r="E296" s="13" t="s">
        <v>666</v>
      </c>
      <c r="F296" s="8" t="s">
        <v>72</v>
      </c>
      <c r="G296" s="13"/>
      <c r="H296" s="8"/>
      <c r="I296" s="13" t="s">
        <v>290</v>
      </c>
      <c r="J296" s="14">
        <v>46187</v>
      </c>
      <c r="K296" s="14">
        <v>46187</v>
      </c>
      <c r="L296" s="15" t="s">
        <v>21</v>
      </c>
      <c r="M296" s="13"/>
      <c r="N296" s="16" t="s">
        <v>667</v>
      </c>
    </row>
    <row r="297" spans="1:14" ht="24" x14ac:dyDescent="0.25">
      <c r="A297" s="8" t="s">
        <v>16</v>
      </c>
      <c r="B297" s="13" t="s">
        <v>52</v>
      </c>
      <c r="C297" s="13" t="s">
        <v>595</v>
      </c>
      <c r="D297" s="8">
        <v>507</v>
      </c>
      <c r="E297" s="13" t="s">
        <v>668</v>
      </c>
      <c r="F297" s="8" t="s">
        <v>72</v>
      </c>
      <c r="G297" s="13"/>
      <c r="H297" s="8"/>
      <c r="I297" s="13" t="s">
        <v>290</v>
      </c>
      <c r="J297" s="14">
        <v>46187</v>
      </c>
      <c r="K297" s="14">
        <v>46187</v>
      </c>
      <c r="L297" s="15" t="s">
        <v>21</v>
      </c>
      <c r="M297" s="13"/>
      <c r="N297" s="16" t="s">
        <v>669</v>
      </c>
    </row>
    <row r="298" spans="1:14" ht="24" x14ac:dyDescent="0.25">
      <c r="A298" s="8" t="s">
        <v>16</v>
      </c>
      <c r="B298" s="13" t="s">
        <v>52</v>
      </c>
      <c r="C298" s="13" t="s">
        <v>595</v>
      </c>
      <c r="D298" s="8">
        <v>510</v>
      </c>
      <c r="E298" s="13" t="s">
        <v>670</v>
      </c>
      <c r="F298" s="8" t="s">
        <v>72</v>
      </c>
      <c r="G298" s="13"/>
      <c r="H298" s="8"/>
      <c r="I298" s="13" t="s">
        <v>290</v>
      </c>
      <c r="J298" s="14">
        <v>46187</v>
      </c>
      <c r="K298" s="14">
        <v>46187</v>
      </c>
      <c r="L298" s="15" t="s">
        <v>21</v>
      </c>
      <c r="M298" s="13"/>
      <c r="N298" s="16" t="s">
        <v>671</v>
      </c>
    </row>
    <row r="299" spans="1:14" ht="24" x14ac:dyDescent="0.25">
      <c r="A299" s="8" t="s">
        <v>16</v>
      </c>
      <c r="B299" s="13" t="s">
        <v>52</v>
      </c>
      <c r="C299" s="13" t="s">
        <v>595</v>
      </c>
      <c r="D299" s="8">
        <v>513</v>
      </c>
      <c r="E299" s="13" t="s">
        <v>672</v>
      </c>
      <c r="F299" s="8" t="s">
        <v>72</v>
      </c>
      <c r="G299" s="13"/>
      <c r="H299" s="8"/>
      <c r="I299" s="13" t="s">
        <v>290</v>
      </c>
      <c r="J299" s="14">
        <v>46187</v>
      </c>
      <c r="K299" s="14">
        <v>46187</v>
      </c>
      <c r="L299" s="15" t="s">
        <v>21</v>
      </c>
      <c r="M299" s="13"/>
      <c r="N299" s="16" t="s">
        <v>673</v>
      </c>
    </row>
    <row r="300" spans="1:14" ht="24" x14ac:dyDescent="0.25">
      <c r="A300" s="8" t="s">
        <v>16</v>
      </c>
      <c r="B300" s="13" t="s">
        <v>52</v>
      </c>
      <c r="C300" s="13" t="s">
        <v>595</v>
      </c>
      <c r="D300" s="8">
        <v>514</v>
      </c>
      <c r="E300" s="13" t="s">
        <v>674</v>
      </c>
      <c r="F300" s="8" t="s">
        <v>253</v>
      </c>
      <c r="G300" s="13"/>
      <c r="H300" s="8"/>
      <c r="I300" s="13" t="s">
        <v>290</v>
      </c>
      <c r="J300" s="14">
        <v>46187</v>
      </c>
      <c r="K300" s="14">
        <v>46191</v>
      </c>
      <c r="L300" s="15" t="s">
        <v>21</v>
      </c>
      <c r="M300" s="13" t="s">
        <v>254</v>
      </c>
      <c r="N300" s="16" t="s">
        <v>675</v>
      </c>
    </row>
    <row r="301" spans="1:14" ht="25.5" x14ac:dyDescent="0.25">
      <c r="A301" s="8" t="s">
        <v>16</v>
      </c>
      <c r="B301" s="13" t="s">
        <v>52</v>
      </c>
      <c r="C301" s="13" t="s">
        <v>595</v>
      </c>
      <c r="D301" s="8">
        <v>515</v>
      </c>
      <c r="E301" s="13" t="s">
        <v>676</v>
      </c>
      <c r="F301" s="8" t="s">
        <v>253</v>
      </c>
      <c r="G301" s="13"/>
      <c r="H301" s="8"/>
      <c r="I301" s="13" t="s">
        <v>290</v>
      </c>
      <c r="J301" s="14">
        <v>46187</v>
      </c>
      <c r="K301" s="14">
        <v>46193</v>
      </c>
      <c r="L301" s="15" t="s">
        <v>21</v>
      </c>
      <c r="M301" s="13" t="s">
        <v>254</v>
      </c>
      <c r="N301" s="16" t="s">
        <v>677</v>
      </c>
    </row>
    <row r="302" spans="1:14" ht="24" x14ac:dyDescent="0.25">
      <c r="A302" s="8" t="s">
        <v>16</v>
      </c>
      <c r="B302" s="13" t="s">
        <v>52</v>
      </c>
      <c r="C302" s="13" t="s">
        <v>595</v>
      </c>
      <c r="D302" s="8">
        <v>559</v>
      </c>
      <c r="E302" s="13" t="s">
        <v>678</v>
      </c>
      <c r="F302" s="8" t="s">
        <v>72</v>
      </c>
      <c r="G302" s="13"/>
      <c r="H302" s="8"/>
      <c r="I302" s="13" t="s">
        <v>290</v>
      </c>
      <c r="J302" s="14">
        <v>46188</v>
      </c>
      <c r="K302" s="14">
        <v>46188</v>
      </c>
      <c r="L302" s="15" t="s">
        <v>21</v>
      </c>
      <c r="M302" s="13"/>
      <c r="N302" s="16" t="s">
        <v>679</v>
      </c>
    </row>
    <row r="303" spans="1:14" ht="25.5" x14ac:dyDescent="0.25">
      <c r="A303" s="8" t="s">
        <v>16</v>
      </c>
      <c r="B303" s="13" t="s">
        <v>52</v>
      </c>
      <c r="C303" s="13" t="s">
        <v>595</v>
      </c>
      <c r="D303" s="8">
        <v>560</v>
      </c>
      <c r="E303" s="13" t="s">
        <v>680</v>
      </c>
      <c r="F303" s="8" t="s">
        <v>72</v>
      </c>
      <c r="G303" s="13"/>
      <c r="H303" s="8"/>
      <c r="I303" s="13" t="s">
        <v>290</v>
      </c>
      <c r="J303" s="14">
        <v>46188</v>
      </c>
      <c r="K303" s="14">
        <v>46189</v>
      </c>
      <c r="L303" s="15" t="s">
        <v>21</v>
      </c>
      <c r="M303" s="13"/>
      <c r="N303" s="16" t="s">
        <v>681</v>
      </c>
    </row>
    <row r="304" spans="1:14" ht="24" x14ac:dyDescent="0.25">
      <c r="A304" s="8" t="s">
        <v>16</v>
      </c>
      <c r="B304" s="13" t="s">
        <v>52</v>
      </c>
      <c r="C304" s="13" t="s">
        <v>595</v>
      </c>
      <c r="D304" s="8">
        <v>561</v>
      </c>
      <c r="E304" s="13" t="s">
        <v>682</v>
      </c>
      <c r="F304" s="8" t="s">
        <v>72</v>
      </c>
      <c r="G304" s="13"/>
      <c r="H304" s="8"/>
      <c r="I304" s="13" t="s">
        <v>290</v>
      </c>
      <c r="J304" s="14">
        <v>46188</v>
      </c>
      <c r="K304" s="14">
        <v>46193</v>
      </c>
      <c r="L304" s="15" t="s">
        <v>21</v>
      </c>
      <c r="M304" s="13"/>
      <c r="N304" s="16" t="s">
        <v>683</v>
      </c>
    </row>
    <row r="305" spans="1:14" ht="25.5" x14ac:dyDescent="0.25">
      <c r="A305" s="8" t="s">
        <v>16</v>
      </c>
      <c r="B305" s="13" t="s">
        <v>52</v>
      </c>
      <c r="C305" s="13" t="s">
        <v>595</v>
      </c>
      <c r="D305" s="8">
        <v>622</v>
      </c>
      <c r="E305" s="13" t="s">
        <v>684</v>
      </c>
      <c r="F305" s="8" t="s">
        <v>72</v>
      </c>
      <c r="G305" s="13"/>
      <c r="H305" s="8" t="s">
        <v>329</v>
      </c>
      <c r="I305" s="13" t="s">
        <v>290</v>
      </c>
      <c r="J305" s="14">
        <v>46190</v>
      </c>
      <c r="K305" s="14">
        <v>46192</v>
      </c>
      <c r="L305" s="15" t="s">
        <v>21</v>
      </c>
      <c r="M305" s="13"/>
      <c r="N305" s="16" t="s">
        <v>685</v>
      </c>
    </row>
    <row r="306" spans="1:14" ht="24" x14ac:dyDescent="0.25">
      <c r="A306" s="8" t="s">
        <v>18</v>
      </c>
      <c r="B306" s="13" t="s">
        <v>52</v>
      </c>
      <c r="C306" s="13" t="s">
        <v>279</v>
      </c>
      <c r="D306" s="8">
        <v>728</v>
      </c>
      <c r="E306" s="13" t="s">
        <v>686</v>
      </c>
      <c r="F306" s="8" t="s">
        <v>92</v>
      </c>
      <c r="G306" s="13"/>
      <c r="H306" s="8"/>
      <c r="I306" s="13" t="s">
        <v>75</v>
      </c>
      <c r="J306" s="14">
        <v>46195</v>
      </c>
      <c r="K306" s="14">
        <v>46195</v>
      </c>
      <c r="L306" s="17" t="s">
        <v>23</v>
      </c>
      <c r="M306" s="13" t="s">
        <v>200</v>
      </c>
      <c r="N306" s="16" t="s">
        <v>687</v>
      </c>
    </row>
    <row r="307" spans="1:14" ht="24" x14ac:dyDescent="0.25">
      <c r="A307" s="8" t="s">
        <v>18</v>
      </c>
      <c r="B307" s="13" t="s">
        <v>52</v>
      </c>
      <c r="C307" s="13" t="s">
        <v>279</v>
      </c>
      <c r="D307" s="8">
        <v>734</v>
      </c>
      <c r="E307" s="13" t="s">
        <v>688</v>
      </c>
      <c r="F307" s="8" t="s">
        <v>92</v>
      </c>
      <c r="G307" s="13"/>
      <c r="H307" s="8" t="s">
        <v>329</v>
      </c>
      <c r="I307" s="13" t="s">
        <v>75</v>
      </c>
      <c r="J307" s="14">
        <v>46195</v>
      </c>
      <c r="K307" s="14">
        <v>46195</v>
      </c>
      <c r="L307" s="15" t="s">
        <v>21</v>
      </c>
      <c r="M307" s="13"/>
      <c r="N307" s="16" t="s">
        <v>689</v>
      </c>
    </row>
    <row r="308" spans="1:14" ht="24" x14ac:dyDescent="0.25">
      <c r="A308" s="8" t="s">
        <v>18</v>
      </c>
      <c r="B308" s="13" t="s">
        <v>52</v>
      </c>
      <c r="C308" s="13" t="s">
        <v>279</v>
      </c>
      <c r="D308" s="8">
        <v>737</v>
      </c>
      <c r="E308" s="13" t="s">
        <v>690</v>
      </c>
      <c r="F308" s="8" t="s">
        <v>92</v>
      </c>
      <c r="G308" s="13"/>
      <c r="H308" s="8"/>
      <c r="I308" s="13" t="s">
        <v>75</v>
      </c>
      <c r="J308" s="14">
        <v>46195</v>
      </c>
      <c r="K308" s="14">
        <v>46195</v>
      </c>
      <c r="L308" s="15" t="s">
        <v>21</v>
      </c>
      <c r="M308" s="13"/>
      <c r="N308" s="16" t="s">
        <v>691</v>
      </c>
    </row>
    <row r="309" spans="1:14" ht="24" x14ac:dyDescent="0.25">
      <c r="A309" s="8" t="s">
        <v>18</v>
      </c>
      <c r="B309" s="13" t="s">
        <v>52</v>
      </c>
      <c r="C309" s="13" t="s">
        <v>279</v>
      </c>
      <c r="D309" s="8">
        <v>744</v>
      </c>
      <c r="E309" s="13" t="s">
        <v>692</v>
      </c>
      <c r="F309" s="8" t="s">
        <v>92</v>
      </c>
      <c r="G309" s="13"/>
      <c r="H309" s="8" t="s">
        <v>329</v>
      </c>
      <c r="I309" s="13" t="s">
        <v>75</v>
      </c>
      <c r="J309" s="14">
        <v>46196</v>
      </c>
      <c r="K309" s="14">
        <v>46196</v>
      </c>
      <c r="L309" s="15" t="s">
        <v>21</v>
      </c>
      <c r="M309" s="13"/>
      <c r="N309" s="16" t="s">
        <v>693</v>
      </c>
    </row>
    <row r="310" spans="1:14" ht="24" x14ac:dyDescent="0.25">
      <c r="A310" s="8" t="s">
        <v>18</v>
      </c>
      <c r="B310" s="13" t="s">
        <v>52</v>
      </c>
      <c r="C310" s="13" t="s">
        <v>279</v>
      </c>
      <c r="D310" s="8">
        <v>802</v>
      </c>
      <c r="E310" s="13" t="s">
        <v>694</v>
      </c>
      <c r="F310" s="8" t="s">
        <v>92</v>
      </c>
      <c r="G310" s="13"/>
      <c r="H310" s="8" t="s">
        <v>329</v>
      </c>
      <c r="I310" s="13" t="s">
        <v>75</v>
      </c>
      <c r="J310" s="14">
        <v>46199</v>
      </c>
      <c r="K310" s="14">
        <v>46199</v>
      </c>
      <c r="L310" s="15" t="s">
        <v>21</v>
      </c>
      <c r="M310" s="13"/>
      <c r="N310" s="16" t="s">
        <v>695</v>
      </c>
    </row>
    <row r="311" spans="1:14" ht="24" x14ac:dyDescent="0.25">
      <c r="A311" s="8" t="s">
        <v>18</v>
      </c>
      <c r="B311" s="13" t="s">
        <v>52</v>
      </c>
      <c r="C311" s="13" t="s">
        <v>335</v>
      </c>
      <c r="D311" s="8">
        <v>729</v>
      </c>
      <c r="E311" s="13" t="s">
        <v>696</v>
      </c>
      <c r="F311" s="8" t="s">
        <v>92</v>
      </c>
      <c r="G311" s="13"/>
      <c r="H311" s="8" t="s">
        <v>329</v>
      </c>
      <c r="I311" s="13" t="s">
        <v>75</v>
      </c>
      <c r="J311" s="14">
        <v>46195</v>
      </c>
      <c r="K311" s="14">
        <v>46195</v>
      </c>
      <c r="L311" s="15" t="s">
        <v>21</v>
      </c>
      <c r="M311" s="13"/>
      <c r="N311" s="16" t="s">
        <v>697</v>
      </c>
    </row>
    <row r="312" spans="1:14" ht="25.5" x14ac:dyDescent="0.25">
      <c r="A312" s="8" t="s">
        <v>18</v>
      </c>
      <c r="B312" s="13" t="s">
        <v>52</v>
      </c>
      <c r="C312" s="13" t="s">
        <v>335</v>
      </c>
      <c r="D312" s="8">
        <v>730</v>
      </c>
      <c r="E312" s="13" t="s">
        <v>698</v>
      </c>
      <c r="F312" s="8" t="s">
        <v>92</v>
      </c>
      <c r="G312" s="13"/>
      <c r="H312" s="8"/>
      <c r="I312" s="13" t="s">
        <v>75</v>
      </c>
      <c r="J312" s="14">
        <v>46195</v>
      </c>
      <c r="K312" s="14">
        <v>46196</v>
      </c>
      <c r="L312" s="15" t="s">
        <v>21</v>
      </c>
      <c r="M312" s="13"/>
      <c r="N312" s="16" t="s">
        <v>699</v>
      </c>
    </row>
    <row r="313" spans="1:14" ht="24" x14ac:dyDescent="0.25">
      <c r="A313" s="8" t="s">
        <v>18</v>
      </c>
      <c r="B313" s="13" t="s">
        <v>52</v>
      </c>
      <c r="C313" s="13" t="s">
        <v>335</v>
      </c>
      <c r="D313" s="8">
        <v>731</v>
      </c>
      <c r="E313" s="13" t="s">
        <v>700</v>
      </c>
      <c r="F313" s="8" t="s">
        <v>92</v>
      </c>
      <c r="G313" s="13"/>
      <c r="H313" s="8" t="s">
        <v>329</v>
      </c>
      <c r="I313" s="13" t="s">
        <v>75</v>
      </c>
      <c r="J313" s="14">
        <v>46195</v>
      </c>
      <c r="K313" s="14">
        <v>46195</v>
      </c>
      <c r="L313" s="15" t="s">
        <v>21</v>
      </c>
      <c r="M313" s="13"/>
      <c r="N313" s="16" t="s">
        <v>701</v>
      </c>
    </row>
    <row r="314" spans="1:14" ht="24" x14ac:dyDescent="0.25">
      <c r="A314" s="8" t="s">
        <v>18</v>
      </c>
      <c r="B314" s="13" t="s">
        <v>52</v>
      </c>
      <c r="C314" s="13" t="s">
        <v>335</v>
      </c>
      <c r="D314" s="8">
        <v>732</v>
      </c>
      <c r="E314" s="13" t="s">
        <v>702</v>
      </c>
      <c r="F314" s="8" t="s">
        <v>92</v>
      </c>
      <c r="G314" s="13"/>
      <c r="H314" s="8" t="s">
        <v>329</v>
      </c>
      <c r="I314" s="13" t="s">
        <v>75</v>
      </c>
      <c r="J314" s="14">
        <v>46195</v>
      </c>
      <c r="K314" s="14">
        <v>46195</v>
      </c>
      <c r="L314" s="15" t="s">
        <v>21</v>
      </c>
      <c r="M314" s="13"/>
      <c r="N314" s="16" t="s">
        <v>703</v>
      </c>
    </row>
    <row r="315" spans="1:14" ht="24" x14ac:dyDescent="0.25">
      <c r="A315" s="8" t="s">
        <v>18</v>
      </c>
      <c r="B315" s="13" t="s">
        <v>52</v>
      </c>
      <c r="C315" s="13" t="s">
        <v>335</v>
      </c>
      <c r="D315" s="8">
        <v>748</v>
      </c>
      <c r="E315" s="13" t="s">
        <v>704</v>
      </c>
      <c r="F315" s="8" t="s">
        <v>92</v>
      </c>
      <c r="G315" s="13"/>
      <c r="H315" s="8"/>
      <c r="I315" s="13" t="s">
        <v>75</v>
      </c>
      <c r="J315" s="14">
        <v>46196</v>
      </c>
      <c r="K315" s="14">
        <v>46196</v>
      </c>
      <c r="L315" s="15" t="s">
        <v>21</v>
      </c>
      <c r="M315" s="13"/>
      <c r="N315" s="16" t="s">
        <v>705</v>
      </c>
    </row>
    <row r="316" spans="1:14" ht="24" x14ac:dyDescent="0.25">
      <c r="A316" s="8" t="s">
        <v>18</v>
      </c>
      <c r="B316" s="13" t="s">
        <v>52</v>
      </c>
      <c r="C316" s="13" t="s">
        <v>335</v>
      </c>
      <c r="D316" s="8">
        <v>749</v>
      </c>
      <c r="E316" s="13" t="s">
        <v>706</v>
      </c>
      <c r="F316" s="8" t="s">
        <v>92</v>
      </c>
      <c r="G316" s="13"/>
      <c r="H316" s="8"/>
      <c r="I316" s="13" t="s">
        <v>75</v>
      </c>
      <c r="J316" s="14">
        <v>46196</v>
      </c>
      <c r="K316" s="14">
        <v>46196</v>
      </c>
      <c r="L316" s="15" t="s">
        <v>21</v>
      </c>
      <c r="M316" s="13"/>
      <c r="N316" s="16" t="s">
        <v>707</v>
      </c>
    </row>
    <row r="317" spans="1:14" ht="25.5" x14ac:dyDescent="0.25">
      <c r="A317" s="8" t="s">
        <v>18</v>
      </c>
      <c r="B317" s="13" t="s">
        <v>52</v>
      </c>
      <c r="C317" s="13" t="s">
        <v>335</v>
      </c>
      <c r="D317" s="8">
        <v>750</v>
      </c>
      <c r="E317" s="13" t="s">
        <v>708</v>
      </c>
      <c r="F317" s="8" t="s">
        <v>92</v>
      </c>
      <c r="G317" s="13"/>
      <c r="H317" s="8"/>
      <c r="I317" s="13" t="s">
        <v>75</v>
      </c>
      <c r="J317" s="14">
        <v>46196</v>
      </c>
      <c r="K317" s="14">
        <v>46196</v>
      </c>
      <c r="L317" s="15" t="s">
        <v>21</v>
      </c>
      <c r="M317" s="13"/>
      <c r="N317" s="16" t="s">
        <v>709</v>
      </c>
    </row>
    <row r="318" spans="1:14" ht="24" x14ac:dyDescent="0.25">
      <c r="A318" s="8" t="s">
        <v>18</v>
      </c>
      <c r="B318" s="13" t="s">
        <v>52</v>
      </c>
      <c r="C318" s="13" t="s">
        <v>335</v>
      </c>
      <c r="D318" s="8">
        <v>751</v>
      </c>
      <c r="E318" s="13" t="s">
        <v>710</v>
      </c>
      <c r="F318" s="8" t="s">
        <v>92</v>
      </c>
      <c r="G318" s="13"/>
      <c r="H318" s="8"/>
      <c r="I318" s="13" t="s">
        <v>75</v>
      </c>
      <c r="J318" s="14">
        <v>46196</v>
      </c>
      <c r="K318" s="14">
        <v>46196</v>
      </c>
      <c r="L318" s="15" t="s">
        <v>21</v>
      </c>
      <c r="M318" s="13"/>
      <c r="N318" s="16" t="s">
        <v>711</v>
      </c>
    </row>
    <row r="319" spans="1:14" ht="24" x14ac:dyDescent="0.25">
      <c r="A319" s="8" t="s">
        <v>18</v>
      </c>
      <c r="B319" s="13" t="s">
        <v>52</v>
      </c>
      <c r="C319" s="13" t="s">
        <v>335</v>
      </c>
      <c r="D319" s="8">
        <v>760</v>
      </c>
      <c r="E319" s="13" t="s">
        <v>712</v>
      </c>
      <c r="F319" s="8" t="s">
        <v>92</v>
      </c>
      <c r="G319" s="13"/>
      <c r="H319" s="8" t="s">
        <v>329</v>
      </c>
      <c r="I319" s="13" t="s">
        <v>75</v>
      </c>
      <c r="J319" s="14">
        <v>46196</v>
      </c>
      <c r="K319" s="14">
        <v>46199</v>
      </c>
      <c r="L319" s="15" t="s">
        <v>21</v>
      </c>
      <c r="M319" s="13"/>
      <c r="N319" s="16" t="s">
        <v>713</v>
      </c>
    </row>
    <row r="320" spans="1:14" ht="24" x14ac:dyDescent="0.25">
      <c r="A320" s="8" t="s">
        <v>18</v>
      </c>
      <c r="B320" s="13" t="s">
        <v>52</v>
      </c>
      <c r="C320" s="13" t="s">
        <v>335</v>
      </c>
      <c r="D320" s="8">
        <v>761</v>
      </c>
      <c r="E320" s="13" t="s">
        <v>714</v>
      </c>
      <c r="F320" s="8" t="s">
        <v>92</v>
      </c>
      <c r="G320" s="13"/>
      <c r="H320" s="8" t="s">
        <v>329</v>
      </c>
      <c r="I320" s="13" t="s">
        <v>75</v>
      </c>
      <c r="J320" s="14">
        <v>46196</v>
      </c>
      <c r="K320" s="14">
        <v>46198</v>
      </c>
      <c r="L320" s="15" t="s">
        <v>21</v>
      </c>
      <c r="M320" s="13"/>
      <c r="N320" s="16" t="s">
        <v>715</v>
      </c>
    </row>
    <row r="321" spans="1:14" ht="24" x14ac:dyDescent="0.25">
      <c r="A321" s="8" t="s">
        <v>18</v>
      </c>
      <c r="B321" s="13" t="s">
        <v>52</v>
      </c>
      <c r="C321" s="13" t="s">
        <v>335</v>
      </c>
      <c r="D321" s="8">
        <v>762</v>
      </c>
      <c r="E321" s="13" t="s">
        <v>716</v>
      </c>
      <c r="F321" s="8" t="s">
        <v>92</v>
      </c>
      <c r="G321" s="13"/>
      <c r="H321" s="8" t="s">
        <v>329</v>
      </c>
      <c r="I321" s="13" t="s">
        <v>75</v>
      </c>
      <c r="J321" s="14">
        <v>46196</v>
      </c>
      <c r="K321" s="14">
        <v>46198</v>
      </c>
      <c r="L321" s="15" t="s">
        <v>21</v>
      </c>
      <c r="M321" s="13"/>
      <c r="N321" s="16" t="s">
        <v>717</v>
      </c>
    </row>
    <row r="322" spans="1:14" ht="24" x14ac:dyDescent="0.25">
      <c r="A322" s="8" t="s">
        <v>18</v>
      </c>
      <c r="B322" s="13" t="s">
        <v>52</v>
      </c>
      <c r="C322" s="13" t="s">
        <v>335</v>
      </c>
      <c r="D322" s="8">
        <v>763</v>
      </c>
      <c r="E322" s="13" t="s">
        <v>718</v>
      </c>
      <c r="F322" s="8" t="s">
        <v>92</v>
      </c>
      <c r="G322" s="13"/>
      <c r="H322" s="8" t="s">
        <v>329</v>
      </c>
      <c r="I322" s="13" t="s">
        <v>75</v>
      </c>
      <c r="J322" s="14">
        <v>46196</v>
      </c>
      <c r="K322" s="14">
        <v>46199</v>
      </c>
      <c r="L322" s="15" t="s">
        <v>21</v>
      </c>
      <c r="M322" s="13"/>
      <c r="N322" s="16" t="s">
        <v>719</v>
      </c>
    </row>
    <row r="323" spans="1:14" ht="24" x14ac:dyDescent="0.25">
      <c r="A323" s="8" t="s">
        <v>18</v>
      </c>
      <c r="B323" s="13" t="s">
        <v>52</v>
      </c>
      <c r="C323" s="13" t="s">
        <v>335</v>
      </c>
      <c r="D323" s="8">
        <v>764</v>
      </c>
      <c r="E323" s="13" t="s">
        <v>720</v>
      </c>
      <c r="F323" s="8" t="s">
        <v>92</v>
      </c>
      <c r="G323" s="13"/>
      <c r="H323" s="8" t="s">
        <v>329</v>
      </c>
      <c r="I323" s="13" t="s">
        <v>75</v>
      </c>
      <c r="J323" s="14">
        <v>46196</v>
      </c>
      <c r="K323" s="14">
        <v>46199</v>
      </c>
      <c r="L323" s="15" t="s">
        <v>21</v>
      </c>
      <c r="M323" s="13"/>
      <c r="N323" s="16" t="s">
        <v>721</v>
      </c>
    </row>
    <row r="324" spans="1:14" ht="24" x14ac:dyDescent="0.25">
      <c r="A324" s="8" t="s">
        <v>18</v>
      </c>
      <c r="B324" s="13" t="s">
        <v>52</v>
      </c>
      <c r="C324" s="13" t="s">
        <v>335</v>
      </c>
      <c r="D324" s="8">
        <v>765</v>
      </c>
      <c r="E324" s="13" t="s">
        <v>722</v>
      </c>
      <c r="F324" s="8" t="s">
        <v>92</v>
      </c>
      <c r="G324" s="13"/>
      <c r="H324" s="8" t="s">
        <v>329</v>
      </c>
      <c r="I324" s="13" t="s">
        <v>75</v>
      </c>
      <c r="J324" s="14">
        <v>46197</v>
      </c>
      <c r="K324" s="14">
        <v>46199</v>
      </c>
      <c r="L324" s="15" t="s">
        <v>21</v>
      </c>
      <c r="M324" s="13"/>
      <c r="N324" s="16" t="s">
        <v>723</v>
      </c>
    </row>
    <row r="325" spans="1:14" ht="24" x14ac:dyDescent="0.25">
      <c r="A325" s="8" t="s">
        <v>18</v>
      </c>
      <c r="B325" s="13" t="s">
        <v>52</v>
      </c>
      <c r="C325" s="13" t="s">
        <v>335</v>
      </c>
      <c r="D325" s="8">
        <v>766</v>
      </c>
      <c r="E325" s="13" t="s">
        <v>724</v>
      </c>
      <c r="F325" s="8" t="s">
        <v>92</v>
      </c>
      <c r="G325" s="13"/>
      <c r="H325" s="8" t="s">
        <v>329</v>
      </c>
      <c r="I325" s="13" t="s">
        <v>75</v>
      </c>
      <c r="J325" s="14">
        <v>46197</v>
      </c>
      <c r="K325" s="14">
        <v>46199</v>
      </c>
      <c r="L325" s="15" t="s">
        <v>21</v>
      </c>
      <c r="M325" s="13"/>
      <c r="N325" s="16" t="s">
        <v>725</v>
      </c>
    </row>
    <row r="326" spans="1:14" ht="24" x14ac:dyDescent="0.25">
      <c r="A326" s="8" t="s">
        <v>18</v>
      </c>
      <c r="B326" s="13" t="s">
        <v>52</v>
      </c>
      <c r="C326" s="13" t="s">
        <v>335</v>
      </c>
      <c r="D326" s="8">
        <v>767</v>
      </c>
      <c r="E326" s="13" t="s">
        <v>726</v>
      </c>
      <c r="F326" s="8" t="s">
        <v>92</v>
      </c>
      <c r="G326" s="13"/>
      <c r="H326" s="8" t="s">
        <v>329</v>
      </c>
      <c r="I326" s="13" t="s">
        <v>75</v>
      </c>
      <c r="J326" s="14">
        <v>46197</v>
      </c>
      <c r="K326" s="14">
        <v>46199</v>
      </c>
      <c r="L326" s="15" t="s">
        <v>21</v>
      </c>
      <c r="M326" s="13"/>
      <c r="N326" s="16" t="s">
        <v>727</v>
      </c>
    </row>
    <row r="327" spans="1:14" ht="24" x14ac:dyDescent="0.25">
      <c r="A327" s="8" t="s">
        <v>18</v>
      </c>
      <c r="B327" s="13" t="s">
        <v>52</v>
      </c>
      <c r="C327" s="13" t="s">
        <v>335</v>
      </c>
      <c r="D327" s="8">
        <v>769</v>
      </c>
      <c r="E327" s="13" t="s">
        <v>728</v>
      </c>
      <c r="F327" s="8" t="s">
        <v>92</v>
      </c>
      <c r="G327" s="13"/>
      <c r="H327" s="8" t="s">
        <v>329</v>
      </c>
      <c r="I327" s="13" t="s">
        <v>75</v>
      </c>
      <c r="J327" s="14">
        <v>46197</v>
      </c>
      <c r="K327" s="14">
        <v>46199</v>
      </c>
      <c r="L327" s="15" t="s">
        <v>21</v>
      </c>
      <c r="M327" s="13"/>
      <c r="N327" s="16" t="s">
        <v>729</v>
      </c>
    </row>
    <row r="328" spans="1:14" ht="24" x14ac:dyDescent="0.25">
      <c r="A328" s="8" t="s">
        <v>18</v>
      </c>
      <c r="B328" s="13" t="s">
        <v>52</v>
      </c>
      <c r="C328" s="13" t="s">
        <v>335</v>
      </c>
      <c r="D328" s="8">
        <v>770</v>
      </c>
      <c r="E328" s="13" t="s">
        <v>730</v>
      </c>
      <c r="F328" s="8" t="s">
        <v>92</v>
      </c>
      <c r="G328" s="13"/>
      <c r="H328" s="8" t="s">
        <v>329</v>
      </c>
      <c r="I328" s="13" t="s">
        <v>75</v>
      </c>
      <c r="J328" s="14">
        <v>46198</v>
      </c>
      <c r="K328" s="14">
        <v>46198</v>
      </c>
      <c r="L328" s="15" t="s">
        <v>21</v>
      </c>
      <c r="M328" s="13"/>
      <c r="N328" s="16" t="s">
        <v>731</v>
      </c>
    </row>
    <row r="329" spans="1:14" ht="24" x14ac:dyDescent="0.25">
      <c r="A329" s="8" t="s">
        <v>18</v>
      </c>
      <c r="B329" s="13" t="s">
        <v>52</v>
      </c>
      <c r="C329" s="13" t="s">
        <v>335</v>
      </c>
      <c r="D329" s="8">
        <v>771</v>
      </c>
      <c r="E329" s="13" t="s">
        <v>732</v>
      </c>
      <c r="F329" s="8" t="s">
        <v>92</v>
      </c>
      <c r="G329" s="13"/>
      <c r="H329" s="8" t="s">
        <v>329</v>
      </c>
      <c r="I329" s="13" t="s">
        <v>75</v>
      </c>
      <c r="J329" s="14">
        <v>46198</v>
      </c>
      <c r="K329" s="14">
        <v>46198</v>
      </c>
      <c r="L329" s="15" t="s">
        <v>21</v>
      </c>
      <c r="M329" s="13"/>
      <c r="N329" s="16" t="s">
        <v>733</v>
      </c>
    </row>
    <row r="330" spans="1:14" ht="24" x14ac:dyDescent="0.25">
      <c r="A330" s="8" t="s">
        <v>18</v>
      </c>
      <c r="B330" s="13" t="s">
        <v>52</v>
      </c>
      <c r="C330" s="13" t="s">
        <v>335</v>
      </c>
      <c r="D330" s="8">
        <v>772</v>
      </c>
      <c r="E330" s="13" t="s">
        <v>734</v>
      </c>
      <c r="F330" s="8" t="s">
        <v>92</v>
      </c>
      <c r="G330" s="13"/>
      <c r="H330" s="8" t="s">
        <v>329</v>
      </c>
      <c r="I330" s="13" t="s">
        <v>75</v>
      </c>
      <c r="J330" s="14">
        <v>46198</v>
      </c>
      <c r="K330" s="14">
        <v>46199</v>
      </c>
      <c r="L330" s="15" t="s">
        <v>21</v>
      </c>
      <c r="M330" s="13"/>
      <c r="N330" s="16" t="s">
        <v>735</v>
      </c>
    </row>
    <row r="331" spans="1:14" ht="24" x14ac:dyDescent="0.25">
      <c r="A331" s="8" t="s">
        <v>18</v>
      </c>
      <c r="B331" s="13" t="s">
        <v>52</v>
      </c>
      <c r="C331" s="13" t="s">
        <v>335</v>
      </c>
      <c r="D331" s="8">
        <v>773</v>
      </c>
      <c r="E331" s="13" t="s">
        <v>736</v>
      </c>
      <c r="F331" s="8" t="s">
        <v>92</v>
      </c>
      <c r="G331" s="13"/>
      <c r="H331" s="8" t="s">
        <v>329</v>
      </c>
      <c r="I331" s="13" t="s">
        <v>75</v>
      </c>
      <c r="J331" s="14">
        <v>46198</v>
      </c>
      <c r="K331" s="14">
        <v>46199</v>
      </c>
      <c r="L331" s="15" t="s">
        <v>21</v>
      </c>
      <c r="M331" s="13"/>
      <c r="N331" s="16" t="s">
        <v>737</v>
      </c>
    </row>
    <row r="332" spans="1:14" ht="24" x14ac:dyDescent="0.25">
      <c r="A332" s="8" t="s">
        <v>18</v>
      </c>
      <c r="B332" s="13" t="s">
        <v>52</v>
      </c>
      <c r="C332" s="13" t="s">
        <v>335</v>
      </c>
      <c r="D332" s="8">
        <v>775</v>
      </c>
      <c r="E332" s="13" t="s">
        <v>738</v>
      </c>
      <c r="F332" s="8" t="s">
        <v>92</v>
      </c>
      <c r="G332" s="13"/>
      <c r="H332" s="8" t="s">
        <v>329</v>
      </c>
      <c r="I332" s="13" t="s">
        <v>75</v>
      </c>
      <c r="J332" s="14">
        <v>46198</v>
      </c>
      <c r="K332" s="14">
        <v>46198</v>
      </c>
      <c r="L332" s="15" t="s">
        <v>21</v>
      </c>
      <c r="M332" s="13"/>
      <c r="N332" s="16" t="s">
        <v>739</v>
      </c>
    </row>
    <row r="333" spans="1:14" ht="24" x14ac:dyDescent="0.25">
      <c r="A333" s="8" t="s">
        <v>18</v>
      </c>
      <c r="B333" s="13" t="s">
        <v>52</v>
      </c>
      <c r="C333" s="13" t="s">
        <v>335</v>
      </c>
      <c r="D333" s="8">
        <v>776</v>
      </c>
      <c r="E333" s="13" t="s">
        <v>740</v>
      </c>
      <c r="F333" s="8" t="s">
        <v>92</v>
      </c>
      <c r="G333" s="13"/>
      <c r="H333" s="8" t="s">
        <v>329</v>
      </c>
      <c r="I333" s="13" t="s">
        <v>75</v>
      </c>
      <c r="J333" s="14">
        <v>46198</v>
      </c>
      <c r="K333" s="14">
        <v>46198</v>
      </c>
      <c r="L333" s="15" t="s">
        <v>21</v>
      </c>
      <c r="M333" s="13"/>
      <c r="N333" s="16" t="s">
        <v>741</v>
      </c>
    </row>
    <row r="334" spans="1:14" ht="24" x14ac:dyDescent="0.25">
      <c r="A334" s="8" t="s">
        <v>18</v>
      </c>
      <c r="B334" s="13" t="s">
        <v>52</v>
      </c>
      <c r="C334" s="13" t="s">
        <v>335</v>
      </c>
      <c r="D334" s="8">
        <v>777</v>
      </c>
      <c r="E334" s="13" t="s">
        <v>742</v>
      </c>
      <c r="F334" s="8" t="s">
        <v>92</v>
      </c>
      <c r="G334" s="13"/>
      <c r="H334" s="8" t="s">
        <v>329</v>
      </c>
      <c r="I334" s="13" t="s">
        <v>75</v>
      </c>
      <c r="J334" s="14">
        <v>46198</v>
      </c>
      <c r="K334" s="14">
        <v>46199</v>
      </c>
      <c r="L334" s="15" t="s">
        <v>21</v>
      </c>
      <c r="M334" s="13"/>
      <c r="N334" s="16" t="s">
        <v>743</v>
      </c>
    </row>
    <row r="335" spans="1:14" ht="24" x14ac:dyDescent="0.25">
      <c r="A335" s="8" t="s">
        <v>18</v>
      </c>
      <c r="B335" s="13" t="s">
        <v>52</v>
      </c>
      <c r="C335" s="13" t="s">
        <v>335</v>
      </c>
      <c r="D335" s="8">
        <v>778</v>
      </c>
      <c r="E335" s="13" t="s">
        <v>744</v>
      </c>
      <c r="F335" s="8" t="s">
        <v>92</v>
      </c>
      <c r="G335" s="13"/>
      <c r="H335" s="8" t="s">
        <v>329</v>
      </c>
      <c r="I335" s="13" t="s">
        <v>75</v>
      </c>
      <c r="J335" s="14">
        <v>46198</v>
      </c>
      <c r="K335" s="14">
        <v>46199</v>
      </c>
      <c r="L335" s="15" t="s">
        <v>21</v>
      </c>
      <c r="M335" s="13"/>
      <c r="N335" s="16" t="s">
        <v>745</v>
      </c>
    </row>
    <row r="336" spans="1:14" ht="24" x14ac:dyDescent="0.25">
      <c r="A336" s="8" t="s">
        <v>18</v>
      </c>
      <c r="B336" s="13" t="s">
        <v>52</v>
      </c>
      <c r="C336" s="13" t="s">
        <v>335</v>
      </c>
      <c r="D336" s="8">
        <v>779</v>
      </c>
      <c r="E336" s="13" t="s">
        <v>746</v>
      </c>
      <c r="F336" s="8" t="s">
        <v>92</v>
      </c>
      <c r="G336" s="13"/>
      <c r="H336" s="8" t="s">
        <v>329</v>
      </c>
      <c r="I336" s="13" t="s">
        <v>75</v>
      </c>
      <c r="J336" s="14">
        <v>46198</v>
      </c>
      <c r="K336" s="14">
        <v>46198</v>
      </c>
      <c r="L336" s="15" t="s">
        <v>21</v>
      </c>
      <c r="M336" s="13"/>
      <c r="N336" s="16" t="s">
        <v>747</v>
      </c>
    </row>
    <row r="337" spans="1:14" ht="24" x14ac:dyDescent="0.25">
      <c r="A337" s="8" t="s">
        <v>18</v>
      </c>
      <c r="B337" s="13" t="s">
        <v>52</v>
      </c>
      <c r="C337" s="13" t="s">
        <v>335</v>
      </c>
      <c r="D337" s="8">
        <v>780</v>
      </c>
      <c r="E337" s="13" t="s">
        <v>748</v>
      </c>
      <c r="F337" s="8" t="s">
        <v>92</v>
      </c>
      <c r="G337" s="13"/>
      <c r="H337" s="8" t="s">
        <v>329</v>
      </c>
      <c r="I337" s="13" t="s">
        <v>75</v>
      </c>
      <c r="J337" s="14">
        <v>46198</v>
      </c>
      <c r="K337" s="14">
        <v>46199</v>
      </c>
      <c r="L337" s="15" t="s">
        <v>21</v>
      </c>
      <c r="M337" s="13"/>
      <c r="N337" s="16" t="s">
        <v>749</v>
      </c>
    </row>
    <row r="338" spans="1:14" ht="24" x14ac:dyDescent="0.25">
      <c r="A338" s="8" t="s">
        <v>18</v>
      </c>
      <c r="B338" s="13" t="s">
        <v>52</v>
      </c>
      <c r="C338" s="13" t="s">
        <v>335</v>
      </c>
      <c r="D338" s="8">
        <v>781</v>
      </c>
      <c r="E338" s="13" t="s">
        <v>750</v>
      </c>
      <c r="F338" s="8" t="s">
        <v>92</v>
      </c>
      <c r="G338" s="13"/>
      <c r="H338" s="8" t="s">
        <v>329</v>
      </c>
      <c r="I338" s="13" t="s">
        <v>75</v>
      </c>
      <c r="J338" s="14">
        <v>46198</v>
      </c>
      <c r="K338" s="14">
        <v>46199</v>
      </c>
      <c r="L338" s="15" t="s">
        <v>21</v>
      </c>
      <c r="M338" s="13"/>
      <c r="N338" s="16" t="s">
        <v>751</v>
      </c>
    </row>
    <row r="339" spans="1:14" ht="24" x14ac:dyDescent="0.25">
      <c r="A339" s="8" t="s">
        <v>18</v>
      </c>
      <c r="B339" s="13" t="s">
        <v>52</v>
      </c>
      <c r="C339" s="13" t="s">
        <v>335</v>
      </c>
      <c r="D339" s="8">
        <v>782</v>
      </c>
      <c r="E339" s="13" t="s">
        <v>752</v>
      </c>
      <c r="F339" s="8" t="s">
        <v>92</v>
      </c>
      <c r="G339" s="13"/>
      <c r="H339" s="8" t="s">
        <v>329</v>
      </c>
      <c r="I339" s="13" t="s">
        <v>75</v>
      </c>
      <c r="J339" s="14">
        <v>46198</v>
      </c>
      <c r="K339" s="14">
        <v>46199</v>
      </c>
      <c r="L339" s="15" t="s">
        <v>21</v>
      </c>
      <c r="M339" s="13"/>
      <c r="N339" s="16" t="s">
        <v>753</v>
      </c>
    </row>
    <row r="340" spans="1:14" ht="24" x14ac:dyDescent="0.25">
      <c r="A340" s="8" t="s">
        <v>18</v>
      </c>
      <c r="B340" s="13" t="s">
        <v>52</v>
      </c>
      <c r="C340" s="13" t="s">
        <v>335</v>
      </c>
      <c r="D340" s="8">
        <v>783</v>
      </c>
      <c r="E340" s="13" t="s">
        <v>754</v>
      </c>
      <c r="F340" s="8" t="s">
        <v>92</v>
      </c>
      <c r="G340" s="13"/>
      <c r="H340" s="8" t="s">
        <v>329</v>
      </c>
      <c r="I340" s="13" t="s">
        <v>75</v>
      </c>
      <c r="J340" s="14">
        <v>46198</v>
      </c>
      <c r="K340" s="14">
        <v>46198</v>
      </c>
      <c r="L340" s="15" t="s">
        <v>21</v>
      </c>
      <c r="M340" s="13"/>
      <c r="N340" s="16" t="s">
        <v>755</v>
      </c>
    </row>
    <row r="341" spans="1:14" ht="24" x14ac:dyDescent="0.25">
      <c r="A341" s="8" t="s">
        <v>18</v>
      </c>
      <c r="B341" s="13" t="s">
        <v>52</v>
      </c>
      <c r="C341" s="13" t="s">
        <v>335</v>
      </c>
      <c r="D341" s="8">
        <v>784</v>
      </c>
      <c r="E341" s="13" t="s">
        <v>756</v>
      </c>
      <c r="F341" s="8" t="s">
        <v>92</v>
      </c>
      <c r="G341" s="13"/>
      <c r="H341" s="8" t="s">
        <v>329</v>
      </c>
      <c r="I341" s="13" t="s">
        <v>75</v>
      </c>
      <c r="J341" s="14">
        <v>46198</v>
      </c>
      <c r="K341" s="14">
        <v>46199</v>
      </c>
      <c r="L341" s="15" t="s">
        <v>21</v>
      </c>
      <c r="M341" s="13"/>
      <c r="N341" s="16" t="s">
        <v>757</v>
      </c>
    </row>
    <row r="342" spans="1:14" ht="24" x14ac:dyDescent="0.25">
      <c r="A342" s="8" t="s">
        <v>18</v>
      </c>
      <c r="B342" s="13" t="s">
        <v>52</v>
      </c>
      <c r="C342" s="13" t="s">
        <v>335</v>
      </c>
      <c r="D342" s="8">
        <v>785</v>
      </c>
      <c r="E342" s="13" t="s">
        <v>758</v>
      </c>
      <c r="F342" s="8" t="s">
        <v>92</v>
      </c>
      <c r="G342" s="13"/>
      <c r="H342" s="8" t="s">
        <v>329</v>
      </c>
      <c r="I342" s="13" t="s">
        <v>75</v>
      </c>
      <c r="J342" s="14">
        <v>46198</v>
      </c>
      <c r="K342" s="14">
        <v>46198</v>
      </c>
      <c r="L342" s="15" t="s">
        <v>21</v>
      </c>
      <c r="M342" s="13"/>
      <c r="N342" s="16" t="s">
        <v>759</v>
      </c>
    </row>
    <row r="343" spans="1:14" ht="24" x14ac:dyDescent="0.25">
      <c r="A343" s="8" t="s">
        <v>18</v>
      </c>
      <c r="B343" s="13" t="s">
        <v>52</v>
      </c>
      <c r="C343" s="13" t="s">
        <v>335</v>
      </c>
      <c r="D343" s="8">
        <v>786</v>
      </c>
      <c r="E343" s="13" t="s">
        <v>760</v>
      </c>
      <c r="F343" s="8" t="s">
        <v>72</v>
      </c>
      <c r="G343" s="13"/>
      <c r="H343" s="8" t="s">
        <v>329</v>
      </c>
      <c r="I343" s="13" t="s">
        <v>290</v>
      </c>
      <c r="J343" s="14">
        <v>46198</v>
      </c>
      <c r="K343" s="14">
        <v>46199</v>
      </c>
      <c r="L343" s="15" t="s">
        <v>21</v>
      </c>
      <c r="M343" s="13"/>
      <c r="N343" s="16" t="s">
        <v>761</v>
      </c>
    </row>
    <row r="344" spans="1:14" ht="24" x14ac:dyDescent="0.25">
      <c r="A344" s="8" t="s">
        <v>18</v>
      </c>
      <c r="B344" s="13" t="s">
        <v>52</v>
      </c>
      <c r="C344" s="13" t="s">
        <v>335</v>
      </c>
      <c r="D344" s="8">
        <v>787</v>
      </c>
      <c r="E344" s="13" t="s">
        <v>762</v>
      </c>
      <c r="F344" s="8" t="s">
        <v>92</v>
      </c>
      <c r="G344" s="13"/>
      <c r="H344" s="8" t="s">
        <v>329</v>
      </c>
      <c r="I344" s="13" t="s">
        <v>75</v>
      </c>
      <c r="J344" s="14">
        <v>46198</v>
      </c>
      <c r="K344" s="14">
        <v>46198</v>
      </c>
      <c r="L344" s="15" t="s">
        <v>21</v>
      </c>
      <c r="M344" s="13"/>
      <c r="N344" s="16" t="s">
        <v>763</v>
      </c>
    </row>
    <row r="345" spans="1:14" ht="24" x14ac:dyDescent="0.25">
      <c r="A345" s="8" t="s">
        <v>18</v>
      </c>
      <c r="B345" s="13" t="s">
        <v>52</v>
      </c>
      <c r="C345" s="13" t="s">
        <v>335</v>
      </c>
      <c r="D345" s="8">
        <v>788</v>
      </c>
      <c r="E345" s="13" t="s">
        <v>764</v>
      </c>
      <c r="F345" s="8" t="s">
        <v>72</v>
      </c>
      <c r="G345" s="13"/>
      <c r="H345" s="8" t="s">
        <v>329</v>
      </c>
      <c r="I345" s="13" t="s">
        <v>290</v>
      </c>
      <c r="J345" s="14">
        <v>46198</v>
      </c>
      <c r="K345" s="14">
        <v>46199</v>
      </c>
      <c r="L345" s="15" t="s">
        <v>21</v>
      </c>
      <c r="M345" s="13"/>
      <c r="N345" s="16" t="s">
        <v>765</v>
      </c>
    </row>
    <row r="346" spans="1:14" ht="24" x14ac:dyDescent="0.25">
      <c r="A346" s="8" t="s">
        <v>18</v>
      </c>
      <c r="B346" s="13" t="s">
        <v>52</v>
      </c>
      <c r="C346" s="13" t="s">
        <v>335</v>
      </c>
      <c r="D346" s="8">
        <v>789</v>
      </c>
      <c r="E346" s="13" t="s">
        <v>766</v>
      </c>
      <c r="F346" s="8" t="s">
        <v>92</v>
      </c>
      <c r="G346" s="13"/>
      <c r="H346" s="8" t="s">
        <v>329</v>
      </c>
      <c r="I346" s="13" t="s">
        <v>75</v>
      </c>
      <c r="J346" s="14">
        <v>46198</v>
      </c>
      <c r="K346" s="14">
        <v>46198</v>
      </c>
      <c r="L346" s="15" t="s">
        <v>21</v>
      </c>
      <c r="M346" s="13"/>
      <c r="N346" s="16" t="s">
        <v>767</v>
      </c>
    </row>
    <row r="347" spans="1:14" ht="24" x14ac:dyDescent="0.25">
      <c r="A347" s="8" t="s">
        <v>18</v>
      </c>
      <c r="B347" s="13" t="s">
        <v>52</v>
      </c>
      <c r="C347" s="13" t="s">
        <v>335</v>
      </c>
      <c r="D347" s="8">
        <v>799</v>
      </c>
      <c r="E347" s="13" t="s">
        <v>768</v>
      </c>
      <c r="F347" s="8" t="s">
        <v>92</v>
      </c>
      <c r="G347" s="13"/>
      <c r="H347" s="8"/>
      <c r="I347" s="13" t="s">
        <v>75</v>
      </c>
      <c r="J347" s="14">
        <v>46198</v>
      </c>
      <c r="K347" s="14">
        <v>46198</v>
      </c>
      <c r="L347" s="15" t="s">
        <v>21</v>
      </c>
      <c r="M347" s="13"/>
      <c r="N347" s="16" t="s">
        <v>769</v>
      </c>
    </row>
    <row r="348" spans="1:14" ht="25.5" x14ac:dyDescent="0.25">
      <c r="A348" s="8" t="s">
        <v>18</v>
      </c>
      <c r="B348" s="13" t="s">
        <v>52</v>
      </c>
      <c r="C348" s="13" t="s">
        <v>335</v>
      </c>
      <c r="D348" s="8">
        <v>801</v>
      </c>
      <c r="E348" s="13" t="s">
        <v>770</v>
      </c>
      <c r="F348" s="8" t="s">
        <v>92</v>
      </c>
      <c r="G348" s="13"/>
      <c r="H348" s="8" t="s">
        <v>329</v>
      </c>
      <c r="I348" s="13" t="s">
        <v>75</v>
      </c>
      <c r="J348" s="14">
        <v>46199</v>
      </c>
      <c r="K348" s="14">
        <v>46199</v>
      </c>
      <c r="L348" s="15" t="s">
        <v>21</v>
      </c>
      <c r="M348" s="13"/>
      <c r="N348" s="16" t="s">
        <v>771</v>
      </c>
    </row>
    <row r="349" spans="1:14" ht="24" x14ac:dyDescent="0.25">
      <c r="A349" s="8" t="s">
        <v>18</v>
      </c>
      <c r="B349" s="13" t="s">
        <v>52</v>
      </c>
      <c r="C349" s="13" t="s">
        <v>335</v>
      </c>
      <c r="D349" s="8">
        <v>806</v>
      </c>
      <c r="E349" s="13" t="s">
        <v>736</v>
      </c>
      <c r="F349" s="8" t="s">
        <v>92</v>
      </c>
      <c r="G349" s="13"/>
      <c r="H349" s="8" t="s">
        <v>329</v>
      </c>
      <c r="I349" s="13" t="s">
        <v>75</v>
      </c>
      <c r="J349" s="14">
        <v>46199</v>
      </c>
      <c r="K349" s="14">
        <v>46199</v>
      </c>
      <c r="L349" s="15" t="s">
        <v>21</v>
      </c>
      <c r="M349" s="13"/>
      <c r="N349" s="16" t="s">
        <v>772</v>
      </c>
    </row>
    <row r="350" spans="1:14" ht="24" x14ac:dyDescent="0.25">
      <c r="A350" s="8" t="s">
        <v>18</v>
      </c>
      <c r="B350" s="13" t="s">
        <v>52</v>
      </c>
      <c r="C350" s="13" t="s">
        <v>412</v>
      </c>
      <c r="D350" s="8">
        <v>726</v>
      </c>
      <c r="E350" s="13" t="s">
        <v>773</v>
      </c>
      <c r="F350" s="8" t="s">
        <v>92</v>
      </c>
      <c r="G350" s="13"/>
      <c r="H350" s="8" t="s">
        <v>329</v>
      </c>
      <c r="I350" s="13" t="s">
        <v>75</v>
      </c>
      <c r="J350" s="14">
        <v>46195</v>
      </c>
      <c r="K350" s="14">
        <v>46195</v>
      </c>
      <c r="L350" s="15" t="s">
        <v>21</v>
      </c>
      <c r="M350" s="13"/>
      <c r="N350" s="16" t="s">
        <v>774</v>
      </c>
    </row>
    <row r="351" spans="1:14" ht="24" x14ac:dyDescent="0.25">
      <c r="A351" s="8" t="s">
        <v>18</v>
      </c>
      <c r="B351" s="13" t="s">
        <v>52</v>
      </c>
      <c r="C351" s="13" t="s">
        <v>412</v>
      </c>
      <c r="D351" s="8">
        <v>727</v>
      </c>
      <c r="E351" s="13" t="s">
        <v>775</v>
      </c>
      <c r="F351" s="8" t="s">
        <v>92</v>
      </c>
      <c r="G351" s="13"/>
      <c r="H351" s="8"/>
      <c r="I351" s="13" t="s">
        <v>75</v>
      </c>
      <c r="J351" s="14">
        <v>46195</v>
      </c>
      <c r="K351" s="14">
        <v>46195</v>
      </c>
      <c r="L351" s="15" t="s">
        <v>21</v>
      </c>
      <c r="M351" s="13"/>
      <c r="N351" s="16" t="s">
        <v>776</v>
      </c>
    </row>
    <row r="352" spans="1:14" ht="24" x14ac:dyDescent="0.25">
      <c r="A352" s="8" t="s">
        <v>18</v>
      </c>
      <c r="B352" s="13" t="s">
        <v>52</v>
      </c>
      <c r="C352" s="13" t="s">
        <v>412</v>
      </c>
      <c r="D352" s="8">
        <v>733</v>
      </c>
      <c r="E352" s="13" t="s">
        <v>777</v>
      </c>
      <c r="F352" s="8" t="s">
        <v>92</v>
      </c>
      <c r="G352" s="13"/>
      <c r="H352" s="8" t="s">
        <v>329</v>
      </c>
      <c r="I352" s="13" t="s">
        <v>75</v>
      </c>
      <c r="J352" s="14">
        <v>46195</v>
      </c>
      <c r="K352" s="14">
        <v>46199</v>
      </c>
      <c r="L352" s="15" t="s">
        <v>21</v>
      </c>
      <c r="M352" s="13"/>
      <c r="N352" s="16" t="s">
        <v>778</v>
      </c>
    </row>
    <row r="353" spans="1:14" ht="24" x14ac:dyDescent="0.25">
      <c r="A353" s="8" t="s">
        <v>18</v>
      </c>
      <c r="B353" s="13" t="s">
        <v>52</v>
      </c>
      <c r="C353" s="13" t="s">
        <v>412</v>
      </c>
      <c r="D353" s="8">
        <v>735</v>
      </c>
      <c r="E353" s="13" t="s">
        <v>779</v>
      </c>
      <c r="F353" s="8" t="s">
        <v>92</v>
      </c>
      <c r="G353" s="13"/>
      <c r="H353" s="8" t="s">
        <v>329</v>
      </c>
      <c r="I353" s="13" t="s">
        <v>75</v>
      </c>
      <c r="J353" s="14">
        <v>46195</v>
      </c>
      <c r="K353" s="14">
        <v>46197</v>
      </c>
      <c r="L353" s="15" t="s">
        <v>21</v>
      </c>
      <c r="M353" s="13"/>
      <c r="N353" s="16" t="s">
        <v>780</v>
      </c>
    </row>
    <row r="354" spans="1:14" ht="24" x14ac:dyDescent="0.25">
      <c r="A354" s="8" t="s">
        <v>18</v>
      </c>
      <c r="B354" s="13" t="s">
        <v>52</v>
      </c>
      <c r="C354" s="13" t="s">
        <v>412</v>
      </c>
      <c r="D354" s="8">
        <v>736</v>
      </c>
      <c r="E354" s="13" t="s">
        <v>773</v>
      </c>
      <c r="F354" s="8" t="s">
        <v>92</v>
      </c>
      <c r="G354" s="13"/>
      <c r="H354" s="8" t="s">
        <v>329</v>
      </c>
      <c r="I354" s="13" t="s">
        <v>75</v>
      </c>
      <c r="J354" s="14">
        <v>46195</v>
      </c>
      <c r="K354" s="14">
        <v>46195</v>
      </c>
      <c r="L354" s="15" t="s">
        <v>21</v>
      </c>
      <c r="M354" s="13"/>
      <c r="N354" s="16" t="s">
        <v>781</v>
      </c>
    </row>
    <row r="355" spans="1:14" ht="24" x14ac:dyDescent="0.25">
      <c r="A355" s="8" t="s">
        <v>18</v>
      </c>
      <c r="B355" s="13" t="s">
        <v>52</v>
      </c>
      <c r="C355" s="13" t="s">
        <v>412</v>
      </c>
      <c r="D355" s="8">
        <v>738</v>
      </c>
      <c r="E355" s="13" t="s">
        <v>782</v>
      </c>
      <c r="F355" s="8" t="s">
        <v>92</v>
      </c>
      <c r="G355" s="13"/>
      <c r="H355" s="8"/>
      <c r="I355" s="13" t="s">
        <v>75</v>
      </c>
      <c r="J355" s="14">
        <v>46196</v>
      </c>
      <c r="K355" s="14">
        <v>46196</v>
      </c>
      <c r="L355" s="15" t="s">
        <v>21</v>
      </c>
      <c r="M355" s="13"/>
      <c r="N355" s="16" t="s">
        <v>783</v>
      </c>
    </row>
    <row r="356" spans="1:14" ht="24" x14ac:dyDescent="0.25">
      <c r="A356" s="8" t="s">
        <v>18</v>
      </c>
      <c r="B356" s="13" t="s">
        <v>52</v>
      </c>
      <c r="C356" s="13" t="s">
        <v>412</v>
      </c>
      <c r="D356" s="8">
        <v>739</v>
      </c>
      <c r="E356" s="13" t="s">
        <v>784</v>
      </c>
      <c r="F356" s="8" t="s">
        <v>92</v>
      </c>
      <c r="G356" s="13"/>
      <c r="H356" s="8"/>
      <c r="I356" s="13" t="s">
        <v>75</v>
      </c>
      <c r="J356" s="14">
        <v>46196</v>
      </c>
      <c r="K356" s="14">
        <v>46196</v>
      </c>
      <c r="L356" s="15" t="s">
        <v>21</v>
      </c>
      <c r="M356" s="13"/>
      <c r="N356" s="16" t="s">
        <v>785</v>
      </c>
    </row>
    <row r="357" spans="1:14" ht="24" x14ac:dyDescent="0.25">
      <c r="A357" s="8" t="s">
        <v>18</v>
      </c>
      <c r="B357" s="13" t="s">
        <v>52</v>
      </c>
      <c r="C357" s="13" t="s">
        <v>412</v>
      </c>
      <c r="D357" s="8">
        <v>740</v>
      </c>
      <c r="E357" s="13" t="s">
        <v>786</v>
      </c>
      <c r="F357" s="8" t="s">
        <v>92</v>
      </c>
      <c r="G357" s="13"/>
      <c r="H357" s="8"/>
      <c r="I357" s="13" t="s">
        <v>75</v>
      </c>
      <c r="J357" s="14">
        <v>46196</v>
      </c>
      <c r="K357" s="14">
        <v>46196</v>
      </c>
      <c r="L357" s="15" t="s">
        <v>21</v>
      </c>
      <c r="M357" s="13"/>
      <c r="N357" s="16" t="s">
        <v>787</v>
      </c>
    </row>
    <row r="358" spans="1:14" ht="24" x14ac:dyDescent="0.25">
      <c r="A358" s="8" t="s">
        <v>18</v>
      </c>
      <c r="B358" s="13" t="s">
        <v>52</v>
      </c>
      <c r="C358" s="13" t="s">
        <v>412</v>
      </c>
      <c r="D358" s="8">
        <v>741</v>
      </c>
      <c r="E358" s="13" t="s">
        <v>788</v>
      </c>
      <c r="F358" s="8" t="s">
        <v>92</v>
      </c>
      <c r="G358" s="13"/>
      <c r="H358" s="8"/>
      <c r="I358" s="13" t="s">
        <v>75</v>
      </c>
      <c r="J358" s="14">
        <v>46196</v>
      </c>
      <c r="K358" s="14">
        <v>46196</v>
      </c>
      <c r="L358" s="15" t="s">
        <v>21</v>
      </c>
      <c r="M358" s="13"/>
      <c r="N358" s="16" t="s">
        <v>789</v>
      </c>
    </row>
    <row r="359" spans="1:14" ht="24" x14ac:dyDescent="0.25">
      <c r="A359" s="8" t="s">
        <v>18</v>
      </c>
      <c r="B359" s="13" t="s">
        <v>52</v>
      </c>
      <c r="C359" s="13" t="s">
        <v>412</v>
      </c>
      <c r="D359" s="8">
        <v>742</v>
      </c>
      <c r="E359" s="13" t="s">
        <v>790</v>
      </c>
      <c r="F359" s="8" t="s">
        <v>92</v>
      </c>
      <c r="G359" s="13"/>
      <c r="H359" s="8"/>
      <c r="I359" s="13" t="s">
        <v>75</v>
      </c>
      <c r="J359" s="14">
        <v>46196</v>
      </c>
      <c r="K359" s="14">
        <v>46196</v>
      </c>
      <c r="L359" s="15" t="s">
        <v>21</v>
      </c>
      <c r="M359" s="13"/>
      <c r="N359" s="16" t="s">
        <v>791</v>
      </c>
    </row>
    <row r="360" spans="1:14" ht="24" x14ac:dyDescent="0.25">
      <c r="A360" s="8" t="s">
        <v>18</v>
      </c>
      <c r="B360" s="13" t="s">
        <v>52</v>
      </c>
      <c r="C360" s="13" t="s">
        <v>412</v>
      </c>
      <c r="D360" s="8">
        <v>743</v>
      </c>
      <c r="E360" s="13" t="s">
        <v>792</v>
      </c>
      <c r="F360" s="8" t="s">
        <v>92</v>
      </c>
      <c r="G360" s="13"/>
      <c r="H360" s="8" t="s">
        <v>329</v>
      </c>
      <c r="I360" s="13" t="s">
        <v>290</v>
      </c>
      <c r="J360" s="14">
        <v>46196</v>
      </c>
      <c r="K360" s="14">
        <v>46199</v>
      </c>
      <c r="L360" s="15" t="s">
        <v>21</v>
      </c>
      <c r="M360" s="13"/>
      <c r="N360" s="16" t="s">
        <v>793</v>
      </c>
    </row>
    <row r="361" spans="1:14" ht="25.5" x14ac:dyDescent="0.25">
      <c r="A361" s="8" t="s">
        <v>18</v>
      </c>
      <c r="B361" s="13" t="s">
        <v>52</v>
      </c>
      <c r="C361" s="13" t="s">
        <v>412</v>
      </c>
      <c r="D361" s="8">
        <v>745</v>
      </c>
      <c r="E361" s="13" t="s">
        <v>794</v>
      </c>
      <c r="F361" s="8" t="s">
        <v>92</v>
      </c>
      <c r="G361" s="13"/>
      <c r="H361" s="8"/>
      <c r="I361" s="13" t="s">
        <v>75</v>
      </c>
      <c r="J361" s="14">
        <v>46196</v>
      </c>
      <c r="K361" s="14">
        <v>46196</v>
      </c>
      <c r="L361" s="15" t="s">
        <v>21</v>
      </c>
      <c r="M361" s="13"/>
      <c r="N361" s="16" t="s">
        <v>795</v>
      </c>
    </row>
    <row r="362" spans="1:14" ht="24" x14ac:dyDescent="0.25">
      <c r="A362" s="8" t="s">
        <v>18</v>
      </c>
      <c r="B362" s="13" t="s">
        <v>52</v>
      </c>
      <c r="C362" s="13" t="s">
        <v>412</v>
      </c>
      <c r="D362" s="8">
        <v>746</v>
      </c>
      <c r="E362" s="13" t="s">
        <v>796</v>
      </c>
      <c r="F362" s="8" t="s">
        <v>92</v>
      </c>
      <c r="G362" s="13"/>
      <c r="H362" s="8"/>
      <c r="I362" s="13" t="s">
        <v>75</v>
      </c>
      <c r="J362" s="14">
        <v>46196</v>
      </c>
      <c r="K362" s="14">
        <v>46196</v>
      </c>
      <c r="L362" s="15" t="s">
        <v>21</v>
      </c>
      <c r="M362" s="13"/>
      <c r="N362" s="16" t="s">
        <v>797</v>
      </c>
    </row>
    <row r="363" spans="1:14" ht="24" x14ac:dyDescent="0.25">
      <c r="A363" s="8" t="s">
        <v>18</v>
      </c>
      <c r="B363" s="13" t="s">
        <v>52</v>
      </c>
      <c r="C363" s="13" t="s">
        <v>412</v>
      </c>
      <c r="D363" s="8">
        <v>747</v>
      </c>
      <c r="E363" s="13" t="s">
        <v>798</v>
      </c>
      <c r="F363" s="8" t="s">
        <v>92</v>
      </c>
      <c r="G363" s="13"/>
      <c r="H363" s="8"/>
      <c r="I363" s="13" t="s">
        <v>75</v>
      </c>
      <c r="J363" s="14">
        <v>46196</v>
      </c>
      <c r="K363" s="14">
        <v>46196</v>
      </c>
      <c r="L363" s="15" t="s">
        <v>21</v>
      </c>
      <c r="M363" s="13"/>
      <c r="N363" s="16" t="s">
        <v>799</v>
      </c>
    </row>
    <row r="364" spans="1:14" ht="24" x14ac:dyDescent="0.25">
      <c r="A364" s="8" t="s">
        <v>18</v>
      </c>
      <c r="B364" s="13" t="s">
        <v>52</v>
      </c>
      <c r="C364" s="13" t="s">
        <v>412</v>
      </c>
      <c r="D364" s="8">
        <v>755</v>
      </c>
      <c r="E364" s="13" t="s">
        <v>800</v>
      </c>
      <c r="F364" s="8" t="s">
        <v>72</v>
      </c>
      <c r="G364" s="13"/>
      <c r="H364" s="8"/>
      <c r="I364" s="13" t="s">
        <v>290</v>
      </c>
      <c r="J364" s="14">
        <v>46196</v>
      </c>
      <c r="K364" s="14">
        <v>46199</v>
      </c>
      <c r="L364" s="15" t="s">
        <v>21</v>
      </c>
      <c r="M364" s="13"/>
      <c r="N364" s="16" t="s">
        <v>801</v>
      </c>
    </row>
    <row r="365" spans="1:14" ht="24" x14ac:dyDescent="0.25">
      <c r="A365" s="8" t="s">
        <v>18</v>
      </c>
      <c r="B365" s="13" t="s">
        <v>52</v>
      </c>
      <c r="C365" s="13" t="s">
        <v>412</v>
      </c>
      <c r="D365" s="8">
        <v>790</v>
      </c>
      <c r="E365" s="13" t="s">
        <v>802</v>
      </c>
      <c r="F365" s="8" t="s">
        <v>92</v>
      </c>
      <c r="G365" s="13"/>
      <c r="H365" s="8" t="s">
        <v>329</v>
      </c>
      <c r="I365" s="13" t="s">
        <v>75</v>
      </c>
      <c r="J365" s="14">
        <v>46198</v>
      </c>
      <c r="K365" s="14">
        <v>46198</v>
      </c>
      <c r="L365" s="15" t="s">
        <v>21</v>
      </c>
      <c r="M365" s="13"/>
      <c r="N365" s="16" t="s">
        <v>803</v>
      </c>
    </row>
    <row r="366" spans="1:14" ht="24" x14ac:dyDescent="0.25">
      <c r="A366" s="8" t="s">
        <v>18</v>
      </c>
      <c r="B366" s="13" t="s">
        <v>52</v>
      </c>
      <c r="C366" s="13" t="s">
        <v>412</v>
      </c>
      <c r="D366" s="8">
        <v>791</v>
      </c>
      <c r="E366" s="13" t="s">
        <v>804</v>
      </c>
      <c r="F366" s="8" t="s">
        <v>92</v>
      </c>
      <c r="G366" s="13"/>
      <c r="H366" s="8" t="s">
        <v>329</v>
      </c>
      <c r="I366" s="13" t="s">
        <v>75</v>
      </c>
      <c r="J366" s="14">
        <v>46198</v>
      </c>
      <c r="K366" s="14">
        <v>46198</v>
      </c>
      <c r="L366" s="15" t="s">
        <v>21</v>
      </c>
      <c r="M366" s="13"/>
      <c r="N366" s="16" t="s">
        <v>805</v>
      </c>
    </row>
    <row r="367" spans="1:14" ht="24" x14ac:dyDescent="0.25">
      <c r="A367" s="8" t="s">
        <v>18</v>
      </c>
      <c r="B367" s="13" t="s">
        <v>52</v>
      </c>
      <c r="C367" s="13" t="s">
        <v>412</v>
      </c>
      <c r="D367" s="8">
        <v>792</v>
      </c>
      <c r="E367" s="13" t="s">
        <v>806</v>
      </c>
      <c r="F367" s="8" t="s">
        <v>92</v>
      </c>
      <c r="G367" s="13"/>
      <c r="H367" s="8" t="s">
        <v>329</v>
      </c>
      <c r="I367" s="13" t="s">
        <v>75</v>
      </c>
      <c r="J367" s="14">
        <v>46198</v>
      </c>
      <c r="K367" s="14">
        <v>46198</v>
      </c>
      <c r="L367" s="15" t="s">
        <v>21</v>
      </c>
      <c r="M367" s="13"/>
      <c r="N367" s="16" t="s">
        <v>807</v>
      </c>
    </row>
    <row r="368" spans="1:14" ht="24" x14ac:dyDescent="0.25">
      <c r="A368" s="8" t="s">
        <v>18</v>
      </c>
      <c r="B368" s="13" t="s">
        <v>52</v>
      </c>
      <c r="C368" s="13" t="s">
        <v>412</v>
      </c>
      <c r="D368" s="8">
        <v>793</v>
      </c>
      <c r="E368" s="13" t="s">
        <v>804</v>
      </c>
      <c r="F368" s="8" t="s">
        <v>92</v>
      </c>
      <c r="G368" s="13"/>
      <c r="H368" s="8" t="s">
        <v>329</v>
      </c>
      <c r="I368" s="13" t="s">
        <v>75</v>
      </c>
      <c r="J368" s="14">
        <v>46198</v>
      </c>
      <c r="K368" s="14">
        <v>46198</v>
      </c>
      <c r="L368" s="15" t="s">
        <v>21</v>
      </c>
      <c r="M368" s="13"/>
      <c r="N368" s="16" t="s">
        <v>808</v>
      </c>
    </row>
    <row r="369" spans="1:14" ht="24" x14ac:dyDescent="0.25">
      <c r="A369" s="8" t="s">
        <v>18</v>
      </c>
      <c r="B369" s="13" t="s">
        <v>52</v>
      </c>
      <c r="C369" s="13" t="s">
        <v>412</v>
      </c>
      <c r="D369" s="8">
        <v>794</v>
      </c>
      <c r="E369" s="13" t="s">
        <v>809</v>
      </c>
      <c r="F369" s="8" t="s">
        <v>92</v>
      </c>
      <c r="G369" s="13"/>
      <c r="H369" s="8" t="s">
        <v>329</v>
      </c>
      <c r="I369" s="13" t="s">
        <v>75</v>
      </c>
      <c r="J369" s="14">
        <v>46198</v>
      </c>
      <c r="K369" s="14">
        <v>46198</v>
      </c>
      <c r="L369" s="15" t="s">
        <v>21</v>
      </c>
      <c r="M369" s="13"/>
      <c r="N369" s="16" t="s">
        <v>810</v>
      </c>
    </row>
    <row r="370" spans="1:14" ht="24" x14ac:dyDescent="0.25">
      <c r="A370" s="8" t="s">
        <v>18</v>
      </c>
      <c r="B370" s="13" t="s">
        <v>52</v>
      </c>
      <c r="C370" s="13" t="s">
        <v>412</v>
      </c>
      <c r="D370" s="8">
        <v>795</v>
      </c>
      <c r="E370" s="13" t="s">
        <v>811</v>
      </c>
      <c r="F370" s="8" t="s">
        <v>92</v>
      </c>
      <c r="G370" s="13"/>
      <c r="H370" s="8" t="s">
        <v>329</v>
      </c>
      <c r="I370" s="13" t="s">
        <v>75</v>
      </c>
      <c r="J370" s="14">
        <v>46198</v>
      </c>
      <c r="K370" s="14">
        <v>46198</v>
      </c>
      <c r="L370" s="15" t="s">
        <v>21</v>
      </c>
      <c r="M370" s="13"/>
      <c r="N370" s="16" t="s">
        <v>812</v>
      </c>
    </row>
    <row r="371" spans="1:14" ht="24" x14ac:dyDescent="0.25">
      <c r="A371" s="8" t="s">
        <v>18</v>
      </c>
      <c r="B371" s="13" t="s">
        <v>52</v>
      </c>
      <c r="C371" s="13" t="s">
        <v>412</v>
      </c>
      <c r="D371" s="8">
        <v>796</v>
      </c>
      <c r="E371" s="13" t="s">
        <v>813</v>
      </c>
      <c r="F371" s="8" t="s">
        <v>92</v>
      </c>
      <c r="G371" s="13"/>
      <c r="H371" s="8"/>
      <c r="I371" s="13" t="s">
        <v>75</v>
      </c>
      <c r="J371" s="14">
        <v>46198</v>
      </c>
      <c r="K371" s="14">
        <v>46199</v>
      </c>
      <c r="L371" s="15" t="s">
        <v>21</v>
      </c>
      <c r="M371" s="13"/>
      <c r="N371" s="16" t="s">
        <v>814</v>
      </c>
    </row>
    <row r="372" spans="1:14" ht="24" x14ac:dyDescent="0.25">
      <c r="A372" s="8" t="s">
        <v>18</v>
      </c>
      <c r="B372" s="13" t="s">
        <v>52</v>
      </c>
      <c r="C372" s="13" t="s">
        <v>412</v>
      </c>
      <c r="D372" s="8">
        <v>797</v>
      </c>
      <c r="E372" s="13" t="s">
        <v>815</v>
      </c>
      <c r="F372" s="8" t="s">
        <v>92</v>
      </c>
      <c r="G372" s="13"/>
      <c r="H372" s="8"/>
      <c r="I372" s="13" t="s">
        <v>75</v>
      </c>
      <c r="J372" s="14">
        <v>46198</v>
      </c>
      <c r="K372" s="14">
        <v>46199</v>
      </c>
      <c r="L372" s="15" t="s">
        <v>21</v>
      </c>
      <c r="M372" s="13"/>
      <c r="N372" s="16" t="s">
        <v>816</v>
      </c>
    </row>
    <row r="373" spans="1:14" ht="24" x14ac:dyDescent="0.25">
      <c r="A373" s="8" t="s">
        <v>18</v>
      </c>
      <c r="B373" s="13" t="s">
        <v>52</v>
      </c>
      <c r="C373" s="13" t="s">
        <v>412</v>
      </c>
      <c r="D373" s="8">
        <v>798</v>
      </c>
      <c r="E373" s="13" t="s">
        <v>817</v>
      </c>
      <c r="F373" s="8" t="s">
        <v>92</v>
      </c>
      <c r="G373" s="13"/>
      <c r="H373" s="8" t="s">
        <v>329</v>
      </c>
      <c r="I373" s="13" t="s">
        <v>75</v>
      </c>
      <c r="J373" s="14">
        <v>46198</v>
      </c>
      <c r="K373" s="14">
        <v>46198</v>
      </c>
      <c r="L373" s="15" t="s">
        <v>21</v>
      </c>
      <c r="M373" s="13"/>
      <c r="N373" s="16" t="s">
        <v>818</v>
      </c>
    </row>
    <row r="374" spans="1:14" ht="24" x14ac:dyDescent="0.25">
      <c r="A374" s="8" t="s">
        <v>18</v>
      </c>
      <c r="B374" s="13" t="s">
        <v>52</v>
      </c>
      <c r="C374" s="13" t="s">
        <v>412</v>
      </c>
      <c r="D374" s="8">
        <v>800</v>
      </c>
      <c r="E374" s="13" t="s">
        <v>819</v>
      </c>
      <c r="F374" s="8" t="s">
        <v>92</v>
      </c>
      <c r="G374" s="13"/>
      <c r="H374" s="8" t="s">
        <v>329</v>
      </c>
      <c r="I374" s="13" t="s">
        <v>75</v>
      </c>
      <c r="J374" s="14">
        <v>46198</v>
      </c>
      <c r="K374" s="14">
        <v>46198</v>
      </c>
      <c r="L374" s="15" t="s">
        <v>21</v>
      </c>
      <c r="M374" s="13"/>
      <c r="N374" s="16" t="s">
        <v>820</v>
      </c>
    </row>
    <row r="375" spans="1:14" ht="25.5" x14ac:dyDescent="0.25">
      <c r="A375" s="8" t="s">
        <v>18</v>
      </c>
      <c r="B375" s="13" t="s">
        <v>52</v>
      </c>
      <c r="C375" s="13" t="s">
        <v>412</v>
      </c>
      <c r="D375" s="8">
        <v>803</v>
      </c>
      <c r="E375" s="13" t="s">
        <v>821</v>
      </c>
      <c r="F375" s="8" t="s">
        <v>72</v>
      </c>
      <c r="G375" s="13"/>
      <c r="H375" s="8"/>
      <c r="I375" s="13" t="s">
        <v>75</v>
      </c>
      <c r="J375" s="14">
        <v>46199</v>
      </c>
      <c r="K375" s="14">
        <v>46199</v>
      </c>
      <c r="L375" s="15" t="s">
        <v>21</v>
      </c>
      <c r="M375" s="13"/>
      <c r="N375" s="16" t="s">
        <v>822</v>
      </c>
    </row>
    <row r="376" spans="1:14" ht="24" x14ac:dyDescent="0.25">
      <c r="A376" s="8" t="s">
        <v>18</v>
      </c>
      <c r="B376" s="13" t="s">
        <v>52</v>
      </c>
      <c r="C376" s="13" t="s">
        <v>412</v>
      </c>
      <c r="D376" s="8">
        <v>805</v>
      </c>
      <c r="E376" s="13" t="s">
        <v>823</v>
      </c>
      <c r="F376" s="8" t="s">
        <v>92</v>
      </c>
      <c r="G376" s="13"/>
      <c r="H376" s="8" t="s">
        <v>329</v>
      </c>
      <c r="I376" s="13" t="s">
        <v>75</v>
      </c>
      <c r="J376" s="14">
        <v>46199</v>
      </c>
      <c r="K376" s="14">
        <v>46199</v>
      </c>
      <c r="L376" s="15" t="s">
        <v>21</v>
      </c>
      <c r="M376" s="13"/>
      <c r="N376" s="16" t="s">
        <v>824</v>
      </c>
    </row>
    <row r="377" spans="1:14" ht="24" x14ac:dyDescent="0.25">
      <c r="A377" s="8" t="s">
        <v>18</v>
      </c>
      <c r="B377" s="13" t="s">
        <v>52</v>
      </c>
      <c r="C377" s="13" t="s">
        <v>70</v>
      </c>
      <c r="D377" s="8">
        <v>768</v>
      </c>
      <c r="E377" s="13" t="s">
        <v>825</v>
      </c>
      <c r="F377" s="8" t="s">
        <v>92</v>
      </c>
      <c r="G377" s="13"/>
      <c r="H377" s="8"/>
      <c r="I377" s="13" t="s">
        <v>75</v>
      </c>
      <c r="J377" s="14">
        <v>46197</v>
      </c>
      <c r="K377" s="14">
        <v>46199</v>
      </c>
      <c r="L377" s="15" t="s">
        <v>21</v>
      </c>
      <c r="M377" s="13"/>
      <c r="N377" s="16" t="s">
        <v>826</v>
      </c>
    </row>
    <row r="378" spans="1:14" ht="24" x14ac:dyDescent="0.25">
      <c r="A378" s="8" t="s">
        <v>18</v>
      </c>
      <c r="B378" s="13" t="s">
        <v>52</v>
      </c>
      <c r="C378" s="13" t="s">
        <v>70</v>
      </c>
      <c r="D378" s="8">
        <v>774</v>
      </c>
      <c r="E378" s="13" t="s">
        <v>827</v>
      </c>
      <c r="F378" s="8" t="s">
        <v>92</v>
      </c>
      <c r="G378" s="13"/>
      <c r="H378" s="8"/>
      <c r="I378" s="13" t="s">
        <v>75</v>
      </c>
      <c r="J378" s="14">
        <v>46198</v>
      </c>
      <c r="K378" s="14">
        <v>46199</v>
      </c>
      <c r="L378" s="15" t="s">
        <v>21</v>
      </c>
      <c r="M378" s="13"/>
      <c r="N378" s="16" t="s">
        <v>828</v>
      </c>
    </row>
    <row r="379" spans="1:14" ht="24" x14ac:dyDescent="0.25">
      <c r="A379" s="8" t="s">
        <v>18</v>
      </c>
      <c r="B379" s="13" t="s">
        <v>52</v>
      </c>
      <c r="C379" s="13" t="s">
        <v>595</v>
      </c>
      <c r="D379" s="8">
        <v>719</v>
      </c>
      <c r="E379" s="13" t="s">
        <v>829</v>
      </c>
      <c r="F379" s="8" t="s">
        <v>72</v>
      </c>
      <c r="G379" s="13"/>
      <c r="H379" s="8"/>
      <c r="I379" s="13" t="s">
        <v>75</v>
      </c>
      <c r="J379" s="14">
        <v>46194</v>
      </c>
      <c r="K379" s="14">
        <v>46200</v>
      </c>
      <c r="L379" s="15" t="s">
        <v>21</v>
      </c>
      <c r="M379" s="13"/>
      <c r="N379" s="16" t="s">
        <v>830</v>
      </c>
    </row>
    <row r="380" spans="1:14" ht="24" x14ac:dyDescent="0.25">
      <c r="A380" s="8" t="s">
        <v>18</v>
      </c>
      <c r="B380" s="13" t="s">
        <v>52</v>
      </c>
      <c r="C380" s="13" t="s">
        <v>595</v>
      </c>
      <c r="D380" s="8">
        <v>720</v>
      </c>
      <c r="E380" s="13" t="s">
        <v>831</v>
      </c>
      <c r="F380" s="8" t="s">
        <v>72</v>
      </c>
      <c r="G380" s="13"/>
      <c r="H380" s="8"/>
      <c r="I380" s="13" t="s">
        <v>75</v>
      </c>
      <c r="J380" s="14">
        <v>46194</v>
      </c>
      <c r="K380" s="14">
        <v>46200</v>
      </c>
      <c r="L380" s="15" t="s">
        <v>21</v>
      </c>
      <c r="M380" s="13"/>
      <c r="N380" s="16" t="s">
        <v>832</v>
      </c>
    </row>
    <row r="381" spans="1:14" ht="24" x14ac:dyDescent="0.25">
      <c r="A381" s="8" t="s">
        <v>18</v>
      </c>
      <c r="B381" s="13" t="s">
        <v>52</v>
      </c>
      <c r="C381" s="13" t="s">
        <v>595</v>
      </c>
      <c r="D381" s="8">
        <v>721</v>
      </c>
      <c r="E381" s="13" t="s">
        <v>833</v>
      </c>
      <c r="F381" s="8" t="s">
        <v>72</v>
      </c>
      <c r="G381" s="13"/>
      <c r="H381" s="8"/>
      <c r="I381" s="13" t="s">
        <v>75</v>
      </c>
      <c r="J381" s="14">
        <v>46194</v>
      </c>
      <c r="K381" s="14">
        <v>46200</v>
      </c>
      <c r="L381" s="15" t="s">
        <v>21</v>
      </c>
      <c r="M381" s="13"/>
      <c r="N381" s="16" t="s">
        <v>834</v>
      </c>
    </row>
    <row r="382" spans="1:14" ht="24" x14ac:dyDescent="0.25">
      <c r="A382" s="8" t="s">
        <v>18</v>
      </c>
      <c r="B382" s="13" t="s">
        <v>52</v>
      </c>
      <c r="C382" s="13" t="s">
        <v>595</v>
      </c>
      <c r="D382" s="8">
        <v>722</v>
      </c>
      <c r="E382" s="13" t="s">
        <v>835</v>
      </c>
      <c r="F382" s="8" t="s">
        <v>72</v>
      </c>
      <c r="G382" s="13"/>
      <c r="H382" s="8"/>
      <c r="I382" s="13" t="s">
        <v>75</v>
      </c>
      <c r="J382" s="14">
        <v>46194</v>
      </c>
      <c r="K382" s="14">
        <v>46200</v>
      </c>
      <c r="L382" s="15" t="s">
        <v>21</v>
      </c>
      <c r="M382" s="13"/>
      <c r="N382" s="16" t="s">
        <v>836</v>
      </c>
    </row>
    <row r="383" spans="1:14" ht="24" x14ac:dyDescent="0.25">
      <c r="A383" s="8" t="s">
        <v>18</v>
      </c>
      <c r="B383" s="13" t="s">
        <v>52</v>
      </c>
      <c r="C383" s="13" t="s">
        <v>595</v>
      </c>
      <c r="D383" s="8">
        <v>723</v>
      </c>
      <c r="E383" s="13" t="s">
        <v>837</v>
      </c>
      <c r="F383" s="8" t="s">
        <v>72</v>
      </c>
      <c r="G383" s="13"/>
      <c r="H383" s="8"/>
      <c r="I383" s="13" t="s">
        <v>75</v>
      </c>
      <c r="J383" s="14">
        <v>46194</v>
      </c>
      <c r="K383" s="14">
        <v>46200</v>
      </c>
      <c r="L383" s="15" t="s">
        <v>21</v>
      </c>
      <c r="M383" s="13"/>
      <c r="N383" s="16" t="s">
        <v>838</v>
      </c>
    </row>
    <row r="384" spans="1:14" ht="24" x14ac:dyDescent="0.25">
      <c r="A384" s="8" t="s">
        <v>18</v>
      </c>
      <c r="B384" s="13" t="s">
        <v>52</v>
      </c>
      <c r="C384" s="13" t="s">
        <v>595</v>
      </c>
      <c r="D384" s="8">
        <v>724</v>
      </c>
      <c r="E384" s="13" t="s">
        <v>839</v>
      </c>
      <c r="F384" s="8" t="s">
        <v>72</v>
      </c>
      <c r="G384" s="13"/>
      <c r="H384" s="8"/>
      <c r="I384" s="13" t="s">
        <v>75</v>
      </c>
      <c r="J384" s="14">
        <v>46194</v>
      </c>
      <c r="K384" s="14">
        <v>46200</v>
      </c>
      <c r="L384" s="15" t="s">
        <v>21</v>
      </c>
      <c r="M384" s="13"/>
      <c r="N384" s="16" t="s">
        <v>840</v>
      </c>
    </row>
  </sheetData>
  <autoFilter ref="A3:N384" xr:uid="{00000000-0009-0000-0000-000002000000}"/>
  <mergeCells count="1">
    <mergeCell ref="A1:N1"/>
  </mergeCells>
  <hyperlinks>
    <hyperlink ref="N4" r:id="rId1" xr:uid="{00000000-0004-0000-0200-000000000000}"/>
    <hyperlink ref="N5" r:id="rId2" xr:uid="{00000000-0004-0000-0200-000001000000}"/>
    <hyperlink ref="N6" r:id="rId3" xr:uid="{00000000-0004-0000-0200-000002000000}"/>
    <hyperlink ref="N7" r:id="rId4" xr:uid="{00000000-0004-0000-0200-000003000000}"/>
    <hyperlink ref="N8" r:id="rId5" xr:uid="{00000000-0004-0000-0200-000004000000}"/>
    <hyperlink ref="N9" r:id="rId6" xr:uid="{00000000-0004-0000-0200-000005000000}"/>
    <hyperlink ref="N10" r:id="rId7" xr:uid="{00000000-0004-0000-0200-000006000000}"/>
    <hyperlink ref="N11" r:id="rId8" xr:uid="{00000000-0004-0000-0200-000007000000}"/>
    <hyperlink ref="N12" r:id="rId9" xr:uid="{00000000-0004-0000-0200-000008000000}"/>
    <hyperlink ref="N13" r:id="rId10" xr:uid="{00000000-0004-0000-0200-000009000000}"/>
    <hyperlink ref="N14" r:id="rId11" xr:uid="{00000000-0004-0000-0200-00000A000000}"/>
    <hyperlink ref="N15" r:id="rId12" xr:uid="{00000000-0004-0000-0200-00000B000000}"/>
    <hyperlink ref="N16" r:id="rId13" xr:uid="{00000000-0004-0000-0200-00000C000000}"/>
    <hyperlink ref="N17" r:id="rId14" xr:uid="{00000000-0004-0000-0200-00000D000000}"/>
    <hyperlink ref="N18" r:id="rId15" xr:uid="{00000000-0004-0000-0200-00000E000000}"/>
    <hyperlink ref="N19" r:id="rId16" xr:uid="{00000000-0004-0000-0200-00000F000000}"/>
    <hyperlink ref="N20" r:id="rId17" xr:uid="{00000000-0004-0000-0200-000010000000}"/>
    <hyperlink ref="N21" r:id="rId18" xr:uid="{00000000-0004-0000-0200-000011000000}"/>
    <hyperlink ref="N22" r:id="rId19" xr:uid="{00000000-0004-0000-0200-000012000000}"/>
    <hyperlink ref="N23" r:id="rId20" xr:uid="{00000000-0004-0000-0200-000013000000}"/>
    <hyperlink ref="N24" r:id="rId21" xr:uid="{00000000-0004-0000-0200-000014000000}"/>
    <hyperlink ref="N25" r:id="rId22" xr:uid="{00000000-0004-0000-0200-000015000000}"/>
    <hyperlink ref="N26" r:id="rId23" xr:uid="{00000000-0004-0000-0200-000016000000}"/>
    <hyperlink ref="N27" r:id="rId24" xr:uid="{00000000-0004-0000-0200-000017000000}"/>
    <hyperlink ref="N28" r:id="rId25" xr:uid="{00000000-0004-0000-0200-000018000000}"/>
    <hyperlink ref="N29" r:id="rId26" xr:uid="{00000000-0004-0000-0200-000019000000}"/>
    <hyperlink ref="N30" r:id="rId27" xr:uid="{00000000-0004-0000-0200-00001A000000}"/>
    <hyperlink ref="N31" r:id="rId28" xr:uid="{00000000-0004-0000-0200-00001B000000}"/>
    <hyperlink ref="N32" r:id="rId29" xr:uid="{00000000-0004-0000-0200-00001C000000}"/>
    <hyperlink ref="N33" r:id="rId30" xr:uid="{00000000-0004-0000-0200-00001D000000}"/>
    <hyperlink ref="N34" r:id="rId31" xr:uid="{00000000-0004-0000-0200-00001E000000}"/>
    <hyperlink ref="N35" r:id="rId32" xr:uid="{00000000-0004-0000-0200-00001F000000}"/>
    <hyperlink ref="N36" r:id="rId33" xr:uid="{00000000-0004-0000-0200-000020000000}"/>
    <hyperlink ref="N37" r:id="rId34" xr:uid="{00000000-0004-0000-0200-000021000000}"/>
    <hyperlink ref="N38" r:id="rId35" xr:uid="{00000000-0004-0000-0200-000022000000}"/>
    <hyperlink ref="N39" r:id="rId36" xr:uid="{00000000-0004-0000-0200-000023000000}"/>
    <hyperlink ref="N40" r:id="rId37" xr:uid="{00000000-0004-0000-0200-000024000000}"/>
    <hyperlink ref="N41" r:id="rId38" xr:uid="{00000000-0004-0000-0200-000025000000}"/>
    <hyperlink ref="N42" r:id="rId39" xr:uid="{00000000-0004-0000-0200-000026000000}"/>
    <hyperlink ref="N43" r:id="rId40" xr:uid="{00000000-0004-0000-0200-000027000000}"/>
    <hyperlink ref="N44" r:id="rId41" xr:uid="{00000000-0004-0000-0200-000028000000}"/>
    <hyperlink ref="N45" r:id="rId42" xr:uid="{00000000-0004-0000-0200-000029000000}"/>
    <hyperlink ref="N46" r:id="rId43" xr:uid="{00000000-0004-0000-0200-00002A000000}"/>
    <hyperlink ref="N47" r:id="rId44" xr:uid="{00000000-0004-0000-0200-00002B000000}"/>
    <hyperlink ref="N48" r:id="rId45" xr:uid="{00000000-0004-0000-0200-00002C000000}"/>
    <hyperlink ref="N49" r:id="rId46" xr:uid="{00000000-0004-0000-0200-00002D000000}"/>
    <hyperlink ref="N50" r:id="rId47" xr:uid="{00000000-0004-0000-0200-00002E000000}"/>
    <hyperlink ref="N51" r:id="rId48" xr:uid="{00000000-0004-0000-0200-00002F000000}"/>
    <hyperlink ref="N52" r:id="rId49" xr:uid="{00000000-0004-0000-0200-000030000000}"/>
    <hyperlink ref="N53" r:id="rId50" xr:uid="{00000000-0004-0000-0200-000031000000}"/>
    <hyperlink ref="N54" r:id="rId51" xr:uid="{00000000-0004-0000-0200-000032000000}"/>
    <hyperlink ref="N55" r:id="rId52" xr:uid="{00000000-0004-0000-0200-000033000000}"/>
    <hyperlink ref="N56" r:id="rId53" xr:uid="{00000000-0004-0000-0200-000034000000}"/>
    <hyperlink ref="N57" r:id="rId54" xr:uid="{00000000-0004-0000-0200-000035000000}"/>
    <hyperlink ref="N58" r:id="rId55" xr:uid="{00000000-0004-0000-0200-000036000000}"/>
    <hyperlink ref="N59" r:id="rId56" xr:uid="{00000000-0004-0000-0200-000037000000}"/>
    <hyperlink ref="N60" r:id="rId57" xr:uid="{00000000-0004-0000-0200-000038000000}"/>
    <hyperlink ref="N61" r:id="rId58" xr:uid="{00000000-0004-0000-0200-000039000000}"/>
    <hyperlink ref="N62" r:id="rId59" xr:uid="{00000000-0004-0000-0200-00003A000000}"/>
    <hyperlink ref="N63" r:id="rId60" xr:uid="{00000000-0004-0000-0200-00003B000000}"/>
    <hyperlink ref="N64" r:id="rId61" xr:uid="{00000000-0004-0000-0200-00003C000000}"/>
    <hyperlink ref="N65" r:id="rId62" xr:uid="{00000000-0004-0000-0200-00003D000000}"/>
    <hyperlink ref="N66" r:id="rId63" xr:uid="{00000000-0004-0000-0200-00003E000000}"/>
    <hyperlink ref="N67" r:id="rId64" xr:uid="{00000000-0004-0000-0200-00003F000000}"/>
    <hyperlink ref="N68" r:id="rId65" xr:uid="{00000000-0004-0000-0200-000040000000}"/>
    <hyperlink ref="N69" r:id="rId66" xr:uid="{00000000-0004-0000-0200-000041000000}"/>
    <hyperlink ref="N70" r:id="rId67" xr:uid="{00000000-0004-0000-0200-000042000000}"/>
    <hyperlink ref="N71" r:id="rId68" xr:uid="{00000000-0004-0000-0200-000043000000}"/>
    <hyperlink ref="N72" r:id="rId69" xr:uid="{00000000-0004-0000-0200-000044000000}"/>
    <hyperlink ref="N73" r:id="rId70" xr:uid="{00000000-0004-0000-0200-000045000000}"/>
    <hyperlink ref="N74" r:id="rId71" xr:uid="{00000000-0004-0000-0200-000046000000}"/>
    <hyperlink ref="N75" r:id="rId72" xr:uid="{00000000-0004-0000-0200-000047000000}"/>
    <hyperlink ref="N76" r:id="rId73" xr:uid="{00000000-0004-0000-0200-000048000000}"/>
    <hyperlink ref="N77" r:id="rId74" xr:uid="{00000000-0004-0000-0200-000049000000}"/>
    <hyperlink ref="N78" r:id="rId75" xr:uid="{00000000-0004-0000-0200-00004A000000}"/>
    <hyperlink ref="N79" r:id="rId76" xr:uid="{00000000-0004-0000-0200-00004B000000}"/>
    <hyperlink ref="N80" r:id="rId77" xr:uid="{00000000-0004-0000-0200-00004C000000}"/>
    <hyperlink ref="N81" r:id="rId78" xr:uid="{00000000-0004-0000-0200-00004D000000}"/>
    <hyperlink ref="N82" r:id="rId79" xr:uid="{00000000-0004-0000-0200-00004E000000}"/>
    <hyperlink ref="N83" r:id="rId80" xr:uid="{00000000-0004-0000-0200-00004F000000}"/>
    <hyperlink ref="N84" r:id="rId81" xr:uid="{00000000-0004-0000-0200-000050000000}"/>
    <hyperlink ref="N85" r:id="rId82" xr:uid="{00000000-0004-0000-0200-000051000000}"/>
    <hyperlink ref="N86" r:id="rId83" xr:uid="{00000000-0004-0000-0200-000052000000}"/>
    <hyperlink ref="N87" r:id="rId84" xr:uid="{00000000-0004-0000-0200-000053000000}"/>
    <hyperlink ref="N88" r:id="rId85" xr:uid="{00000000-0004-0000-0200-000054000000}"/>
    <hyperlink ref="N89" r:id="rId86" xr:uid="{00000000-0004-0000-0200-000055000000}"/>
    <hyperlink ref="N90" r:id="rId87" xr:uid="{00000000-0004-0000-0200-000056000000}"/>
    <hyperlink ref="N91" r:id="rId88" xr:uid="{00000000-0004-0000-0200-000057000000}"/>
    <hyperlink ref="N92" r:id="rId89" xr:uid="{00000000-0004-0000-0200-000058000000}"/>
    <hyperlink ref="N93" r:id="rId90" xr:uid="{00000000-0004-0000-0200-000059000000}"/>
    <hyperlink ref="N94" r:id="rId91" xr:uid="{00000000-0004-0000-0200-00005A000000}"/>
    <hyperlink ref="N95" r:id="rId92" xr:uid="{00000000-0004-0000-0200-00005B000000}"/>
    <hyperlink ref="N96" r:id="rId93" xr:uid="{00000000-0004-0000-0200-00005C000000}"/>
    <hyperlink ref="N97" r:id="rId94" xr:uid="{00000000-0004-0000-0200-00005D000000}"/>
    <hyperlink ref="N98" r:id="rId95" xr:uid="{00000000-0004-0000-0200-00005E000000}"/>
    <hyperlink ref="N99" r:id="rId96" xr:uid="{00000000-0004-0000-0200-00005F000000}"/>
    <hyperlink ref="N100" r:id="rId97" xr:uid="{00000000-0004-0000-0200-000060000000}"/>
    <hyperlink ref="N101" r:id="rId98" xr:uid="{00000000-0004-0000-0200-000061000000}"/>
    <hyperlink ref="N102" r:id="rId99" xr:uid="{00000000-0004-0000-0200-000062000000}"/>
    <hyperlink ref="N103" r:id="rId100" xr:uid="{00000000-0004-0000-0200-000063000000}"/>
    <hyperlink ref="N104" r:id="rId101" xr:uid="{00000000-0004-0000-0200-000064000000}"/>
    <hyperlink ref="N105" r:id="rId102" xr:uid="{00000000-0004-0000-0200-000065000000}"/>
    <hyperlink ref="N106" r:id="rId103" xr:uid="{00000000-0004-0000-0200-000066000000}"/>
    <hyperlink ref="N107" r:id="rId104" xr:uid="{00000000-0004-0000-0200-000067000000}"/>
    <hyperlink ref="N108" r:id="rId105" xr:uid="{00000000-0004-0000-0200-000068000000}"/>
    <hyperlink ref="N109" r:id="rId106" xr:uid="{00000000-0004-0000-0200-000069000000}"/>
    <hyperlink ref="N110" r:id="rId107" xr:uid="{00000000-0004-0000-0200-00006A000000}"/>
    <hyperlink ref="N111" r:id="rId108" xr:uid="{00000000-0004-0000-0200-00006B000000}"/>
    <hyperlink ref="N112" r:id="rId109" xr:uid="{00000000-0004-0000-0200-00006C000000}"/>
    <hyperlink ref="N113" r:id="rId110" xr:uid="{00000000-0004-0000-0200-00006D000000}"/>
    <hyperlink ref="N114" r:id="rId111" xr:uid="{00000000-0004-0000-0200-00006E000000}"/>
    <hyperlink ref="N115" r:id="rId112" xr:uid="{00000000-0004-0000-0200-00006F000000}"/>
    <hyperlink ref="N116" r:id="rId113" xr:uid="{00000000-0004-0000-0200-000070000000}"/>
    <hyperlink ref="N117" r:id="rId114" xr:uid="{00000000-0004-0000-0200-000071000000}"/>
    <hyperlink ref="N118" r:id="rId115" xr:uid="{00000000-0004-0000-0200-000072000000}"/>
    <hyperlink ref="N119" r:id="rId116" xr:uid="{00000000-0004-0000-0200-000073000000}"/>
    <hyperlink ref="N120" r:id="rId117" xr:uid="{00000000-0004-0000-0200-000074000000}"/>
    <hyperlink ref="N121" r:id="rId118" xr:uid="{00000000-0004-0000-0200-000075000000}"/>
    <hyperlink ref="N122" r:id="rId119" xr:uid="{00000000-0004-0000-0200-000076000000}"/>
    <hyperlink ref="N123" r:id="rId120" xr:uid="{00000000-0004-0000-0200-000077000000}"/>
    <hyperlink ref="N124" r:id="rId121" xr:uid="{00000000-0004-0000-0200-000078000000}"/>
    <hyperlink ref="N125" r:id="rId122" xr:uid="{00000000-0004-0000-0200-000079000000}"/>
    <hyperlink ref="N126" r:id="rId123" xr:uid="{00000000-0004-0000-0200-00007A000000}"/>
    <hyperlink ref="N127" r:id="rId124" xr:uid="{00000000-0004-0000-0200-00007B000000}"/>
    <hyperlink ref="N128" r:id="rId125" xr:uid="{00000000-0004-0000-0200-00007C000000}"/>
    <hyperlink ref="N129" r:id="rId126" xr:uid="{00000000-0004-0000-0200-00007D000000}"/>
    <hyperlink ref="N130" r:id="rId127" xr:uid="{00000000-0004-0000-0200-00007E000000}"/>
    <hyperlink ref="N131" r:id="rId128" xr:uid="{00000000-0004-0000-0200-00007F000000}"/>
    <hyperlink ref="N132" r:id="rId129" xr:uid="{00000000-0004-0000-0200-000080000000}"/>
    <hyperlink ref="N133" r:id="rId130" xr:uid="{00000000-0004-0000-0200-000081000000}"/>
    <hyperlink ref="N134" r:id="rId131" xr:uid="{00000000-0004-0000-0200-000082000000}"/>
    <hyperlink ref="N135" r:id="rId132" xr:uid="{00000000-0004-0000-0200-000083000000}"/>
    <hyperlink ref="N136" r:id="rId133" xr:uid="{00000000-0004-0000-0200-000084000000}"/>
    <hyperlink ref="N137" r:id="rId134" xr:uid="{00000000-0004-0000-0200-000085000000}"/>
    <hyperlink ref="N138" r:id="rId135" xr:uid="{00000000-0004-0000-0200-000086000000}"/>
    <hyperlink ref="N139" r:id="rId136" xr:uid="{00000000-0004-0000-0200-000087000000}"/>
    <hyperlink ref="N140" r:id="rId137" xr:uid="{00000000-0004-0000-0200-000088000000}"/>
    <hyperlink ref="N141" r:id="rId138" xr:uid="{00000000-0004-0000-0200-000089000000}"/>
    <hyperlink ref="N142" r:id="rId139" xr:uid="{00000000-0004-0000-0200-00008A000000}"/>
    <hyperlink ref="N143" r:id="rId140" xr:uid="{00000000-0004-0000-0200-00008B000000}"/>
    <hyperlink ref="N144" r:id="rId141" xr:uid="{00000000-0004-0000-0200-00008C000000}"/>
    <hyperlink ref="N145" r:id="rId142" xr:uid="{00000000-0004-0000-0200-00008D000000}"/>
    <hyperlink ref="N146" r:id="rId143" xr:uid="{00000000-0004-0000-0200-00008E000000}"/>
    <hyperlink ref="N147" r:id="rId144" xr:uid="{00000000-0004-0000-0200-00008F000000}"/>
    <hyperlink ref="N148" r:id="rId145" xr:uid="{00000000-0004-0000-0200-000090000000}"/>
    <hyperlink ref="N149" r:id="rId146" xr:uid="{00000000-0004-0000-0200-000091000000}"/>
    <hyperlink ref="N150" r:id="rId147" xr:uid="{00000000-0004-0000-0200-000092000000}"/>
    <hyperlink ref="N151" r:id="rId148" xr:uid="{00000000-0004-0000-0200-000093000000}"/>
    <hyperlink ref="N152" r:id="rId149" xr:uid="{00000000-0004-0000-0200-000094000000}"/>
    <hyperlink ref="N153" r:id="rId150" xr:uid="{00000000-0004-0000-0200-000095000000}"/>
    <hyperlink ref="N154" r:id="rId151" xr:uid="{00000000-0004-0000-0200-000096000000}"/>
    <hyperlink ref="N155" r:id="rId152" xr:uid="{00000000-0004-0000-0200-000097000000}"/>
    <hyperlink ref="N156" r:id="rId153" xr:uid="{00000000-0004-0000-0200-000098000000}"/>
    <hyperlink ref="N157" r:id="rId154" xr:uid="{00000000-0004-0000-0200-000099000000}"/>
    <hyperlink ref="N158" r:id="rId155" xr:uid="{00000000-0004-0000-0200-00009A000000}"/>
    <hyperlink ref="N159" r:id="rId156" xr:uid="{00000000-0004-0000-0200-00009B000000}"/>
    <hyperlink ref="N160" r:id="rId157" xr:uid="{00000000-0004-0000-0200-00009C000000}"/>
    <hyperlink ref="N161" r:id="rId158" xr:uid="{00000000-0004-0000-0200-00009D000000}"/>
    <hyperlink ref="N162" r:id="rId159" xr:uid="{00000000-0004-0000-0200-00009E000000}"/>
    <hyperlink ref="N163" r:id="rId160" xr:uid="{00000000-0004-0000-0200-00009F000000}"/>
    <hyperlink ref="N164" r:id="rId161" xr:uid="{00000000-0004-0000-0200-0000A0000000}"/>
    <hyperlink ref="N165" r:id="rId162" xr:uid="{00000000-0004-0000-0200-0000A1000000}"/>
    <hyperlink ref="N166" r:id="rId163" xr:uid="{00000000-0004-0000-0200-0000A2000000}"/>
    <hyperlink ref="N167" r:id="rId164" xr:uid="{00000000-0004-0000-0200-0000A3000000}"/>
    <hyperlink ref="N168" r:id="rId165" xr:uid="{00000000-0004-0000-0200-0000A4000000}"/>
    <hyperlink ref="N169" r:id="rId166" xr:uid="{00000000-0004-0000-0200-0000A5000000}"/>
    <hyperlink ref="N170" r:id="rId167" xr:uid="{00000000-0004-0000-0200-0000A6000000}"/>
    <hyperlink ref="N171" r:id="rId168" xr:uid="{00000000-0004-0000-0200-0000A7000000}"/>
    <hyperlink ref="N172" r:id="rId169" xr:uid="{00000000-0004-0000-0200-0000A8000000}"/>
    <hyperlink ref="N173" r:id="rId170" xr:uid="{00000000-0004-0000-0200-0000A9000000}"/>
    <hyperlink ref="N174" r:id="rId171" xr:uid="{00000000-0004-0000-0200-0000AA000000}"/>
    <hyperlink ref="N175" r:id="rId172" xr:uid="{00000000-0004-0000-0200-0000AB000000}"/>
    <hyperlink ref="N176" r:id="rId173" xr:uid="{00000000-0004-0000-0200-0000AC000000}"/>
    <hyperlink ref="N177" r:id="rId174" xr:uid="{00000000-0004-0000-0200-0000AD000000}"/>
    <hyperlink ref="N178" r:id="rId175" xr:uid="{00000000-0004-0000-0200-0000AE000000}"/>
    <hyperlink ref="N179" r:id="rId176" xr:uid="{00000000-0004-0000-0200-0000AF000000}"/>
    <hyperlink ref="N180" r:id="rId177" xr:uid="{00000000-0004-0000-0200-0000B0000000}"/>
    <hyperlink ref="N181" r:id="rId178" xr:uid="{00000000-0004-0000-0200-0000B1000000}"/>
    <hyperlink ref="N182" r:id="rId179" xr:uid="{00000000-0004-0000-0200-0000B2000000}"/>
    <hyperlink ref="N183" r:id="rId180" xr:uid="{00000000-0004-0000-0200-0000B3000000}"/>
    <hyperlink ref="N184" r:id="rId181" xr:uid="{00000000-0004-0000-0200-0000B4000000}"/>
    <hyperlink ref="N185" r:id="rId182" xr:uid="{00000000-0004-0000-0200-0000B5000000}"/>
    <hyperlink ref="N186" r:id="rId183" xr:uid="{00000000-0004-0000-0200-0000B6000000}"/>
    <hyperlink ref="N187" r:id="rId184" xr:uid="{00000000-0004-0000-0200-0000B7000000}"/>
    <hyperlink ref="N188" r:id="rId185" xr:uid="{00000000-0004-0000-0200-0000B8000000}"/>
    <hyperlink ref="N189" r:id="rId186" xr:uid="{00000000-0004-0000-0200-0000B9000000}"/>
    <hyperlink ref="N190" r:id="rId187" xr:uid="{00000000-0004-0000-0200-0000BA000000}"/>
    <hyperlink ref="N191" r:id="rId188" xr:uid="{00000000-0004-0000-0200-0000BB000000}"/>
    <hyperlink ref="N192" r:id="rId189" xr:uid="{00000000-0004-0000-0200-0000BC000000}"/>
    <hyperlink ref="N193" r:id="rId190" xr:uid="{00000000-0004-0000-0200-0000BD000000}"/>
    <hyperlink ref="N194" r:id="rId191" xr:uid="{00000000-0004-0000-0200-0000BE000000}"/>
    <hyperlink ref="N195" r:id="rId192" xr:uid="{00000000-0004-0000-0200-0000BF000000}"/>
    <hyperlink ref="N196" r:id="rId193" xr:uid="{00000000-0004-0000-0200-0000C0000000}"/>
    <hyperlink ref="N197" r:id="rId194" xr:uid="{00000000-0004-0000-0200-0000C1000000}"/>
    <hyperlink ref="N198" r:id="rId195" xr:uid="{00000000-0004-0000-0200-0000C2000000}"/>
    <hyperlink ref="N199" r:id="rId196" xr:uid="{00000000-0004-0000-0200-0000C3000000}"/>
    <hyperlink ref="N200" r:id="rId197" xr:uid="{00000000-0004-0000-0200-0000C4000000}"/>
    <hyperlink ref="N201" r:id="rId198" xr:uid="{00000000-0004-0000-0200-0000C5000000}"/>
    <hyperlink ref="N202" r:id="rId199" xr:uid="{00000000-0004-0000-0200-0000C6000000}"/>
    <hyperlink ref="N203" r:id="rId200" xr:uid="{00000000-0004-0000-0200-0000C7000000}"/>
    <hyperlink ref="N204" r:id="rId201" xr:uid="{00000000-0004-0000-0200-0000C8000000}"/>
    <hyperlink ref="N205" r:id="rId202" xr:uid="{00000000-0004-0000-0200-0000C9000000}"/>
    <hyperlink ref="N206" r:id="rId203" xr:uid="{00000000-0004-0000-0200-0000CA000000}"/>
    <hyperlink ref="N207" r:id="rId204" xr:uid="{00000000-0004-0000-0200-0000CB000000}"/>
    <hyperlink ref="N208" r:id="rId205" xr:uid="{00000000-0004-0000-0200-0000CC000000}"/>
    <hyperlink ref="N209" r:id="rId206" xr:uid="{00000000-0004-0000-0200-0000CD000000}"/>
    <hyperlink ref="N210" r:id="rId207" xr:uid="{00000000-0004-0000-0200-0000CE000000}"/>
    <hyperlink ref="N211" r:id="rId208" xr:uid="{00000000-0004-0000-0200-0000CF000000}"/>
    <hyperlink ref="N212" r:id="rId209" xr:uid="{00000000-0004-0000-0200-0000D0000000}"/>
    <hyperlink ref="N213" r:id="rId210" xr:uid="{00000000-0004-0000-0200-0000D1000000}"/>
    <hyperlink ref="N214" r:id="rId211" xr:uid="{00000000-0004-0000-0200-0000D2000000}"/>
    <hyperlink ref="N215" r:id="rId212" xr:uid="{00000000-0004-0000-0200-0000D3000000}"/>
    <hyperlink ref="N216" r:id="rId213" xr:uid="{00000000-0004-0000-0200-0000D4000000}"/>
    <hyperlink ref="N217" r:id="rId214" xr:uid="{00000000-0004-0000-0200-0000D5000000}"/>
    <hyperlink ref="N218" r:id="rId215" xr:uid="{00000000-0004-0000-0200-0000D6000000}"/>
    <hyperlink ref="N219" r:id="rId216" xr:uid="{00000000-0004-0000-0200-0000D7000000}"/>
    <hyperlink ref="N220" r:id="rId217" xr:uid="{00000000-0004-0000-0200-0000D8000000}"/>
    <hyperlink ref="N221" r:id="rId218" xr:uid="{00000000-0004-0000-0200-0000D9000000}"/>
    <hyperlink ref="N222" r:id="rId219" xr:uid="{00000000-0004-0000-0200-0000DA000000}"/>
    <hyperlink ref="N223" r:id="rId220" xr:uid="{00000000-0004-0000-0200-0000DB000000}"/>
    <hyperlink ref="N224" r:id="rId221" xr:uid="{00000000-0004-0000-0200-0000DC000000}"/>
    <hyperlink ref="N225" r:id="rId222" xr:uid="{00000000-0004-0000-0200-0000DD000000}"/>
    <hyperlink ref="N226" r:id="rId223" xr:uid="{00000000-0004-0000-0200-0000DE000000}"/>
    <hyperlink ref="N227" r:id="rId224" xr:uid="{00000000-0004-0000-0200-0000DF000000}"/>
    <hyperlink ref="N228" r:id="rId225" xr:uid="{00000000-0004-0000-0200-0000E0000000}"/>
    <hyperlink ref="N229" r:id="rId226" xr:uid="{00000000-0004-0000-0200-0000E1000000}"/>
    <hyperlink ref="N230" r:id="rId227" xr:uid="{00000000-0004-0000-0200-0000E2000000}"/>
    <hyperlink ref="N231" r:id="rId228" xr:uid="{00000000-0004-0000-0200-0000E3000000}"/>
    <hyperlink ref="N232" r:id="rId229" xr:uid="{00000000-0004-0000-0200-0000E4000000}"/>
    <hyperlink ref="N233" r:id="rId230" xr:uid="{00000000-0004-0000-0200-0000E5000000}"/>
    <hyperlink ref="N234" r:id="rId231" xr:uid="{00000000-0004-0000-0200-0000E6000000}"/>
    <hyperlink ref="N235" r:id="rId232" xr:uid="{00000000-0004-0000-0200-0000E7000000}"/>
    <hyperlink ref="N236" r:id="rId233" xr:uid="{00000000-0004-0000-0200-0000E8000000}"/>
    <hyperlink ref="N237" r:id="rId234" xr:uid="{00000000-0004-0000-0200-0000E9000000}"/>
    <hyperlink ref="N238" r:id="rId235" xr:uid="{00000000-0004-0000-0200-0000EA000000}"/>
    <hyperlink ref="N239" r:id="rId236" xr:uid="{00000000-0004-0000-0200-0000EB000000}"/>
    <hyperlink ref="N240" r:id="rId237" xr:uid="{00000000-0004-0000-0200-0000EC000000}"/>
    <hyperlink ref="N241" r:id="rId238" xr:uid="{00000000-0004-0000-0200-0000ED000000}"/>
    <hyperlink ref="N242" r:id="rId239" xr:uid="{00000000-0004-0000-0200-0000EE000000}"/>
    <hyperlink ref="N243" r:id="rId240" xr:uid="{00000000-0004-0000-0200-0000EF000000}"/>
    <hyperlink ref="N244" r:id="rId241" xr:uid="{00000000-0004-0000-0200-0000F0000000}"/>
    <hyperlink ref="N245" r:id="rId242" xr:uid="{00000000-0004-0000-0200-0000F1000000}"/>
    <hyperlink ref="N246" r:id="rId243" xr:uid="{00000000-0004-0000-0200-0000F2000000}"/>
    <hyperlink ref="N247" r:id="rId244" xr:uid="{00000000-0004-0000-0200-0000F3000000}"/>
    <hyperlink ref="N248" r:id="rId245" xr:uid="{00000000-0004-0000-0200-0000F4000000}"/>
    <hyperlink ref="N249" r:id="rId246" xr:uid="{00000000-0004-0000-0200-0000F5000000}"/>
    <hyperlink ref="N250" r:id="rId247" xr:uid="{00000000-0004-0000-0200-0000F6000000}"/>
    <hyperlink ref="N251" r:id="rId248" xr:uid="{00000000-0004-0000-0200-0000F7000000}"/>
    <hyperlink ref="N252" r:id="rId249" xr:uid="{00000000-0004-0000-0200-0000F8000000}"/>
    <hyperlink ref="N253" r:id="rId250" xr:uid="{00000000-0004-0000-0200-0000F9000000}"/>
    <hyperlink ref="N254" r:id="rId251" xr:uid="{00000000-0004-0000-0200-0000FA000000}"/>
    <hyperlink ref="N255" r:id="rId252" xr:uid="{00000000-0004-0000-0200-0000FB000000}"/>
    <hyperlink ref="N256" r:id="rId253" xr:uid="{00000000-0004-0000-0200-0000FC000000}"/>
    <hyperlink ref="N257" r:id="rId254" xr:uid="{00000000-0004-0000-0200-0000FD000000}"/>
    <hyperlink ref="N258" r:id="rId255" xr:uid="{00000000-0004-0000-0200-0000FE000000}"/>
    <hyperlink ref="N259" r:id="rId256" xr:uid="{00000000-0004-0000-0200-0000FF000000}"/>
    <hyperlink ref="N260" r:id="rId257" xr:uid="{00000000-0004-0000-0200-000000010000}"/>
    <hyperlink ref="N261" r:id="rId258" xr:uid="{00000000-0004-0000-0200-000001010000}"/>
    <hyperlink ref="N262" r:id="rId259" xr:uid="{00000000-0004-0000-0200-000002010000}"/>
    <hyperlink ref="N263" r:id="rId260" xr:uid="{00000000-0004-0000-0200-000003010000}"/>
    <hyperlink ref="N264" r:id="rId261" xr:uid="{00000000-0004-0000-0200-000004010000}"/>
    <hyperlink ref="N265" r:id="rId262" xr:uid="{00000000-0004-0000-0200-000005010000}"/>
    <hyperlink ref="N266" r:id="rId263" xr:uid="{00000000-0004-0000-0200-000006010000}"/>
    <hyperlink ref="N267" r:id="rId264" xr:uid="{00000000-0004-0000-0200-000007010000}"/>
    <hyperlink ref="N268" r:id="rId265" xr:uid="{00000000-0004-0000-0200-000008010000}"/>
    <hyperlink ref="N269" r:id="rId266" xr:uid="{00000000-0004-0000-0200-000009010000}"/>
    <hyperlink ref="N270" r:id="rId267" xr:uid="{00000000-0004-0000-0200-00000A010000}"/>
    <hyperlink ref="N271" r:id="rId268" xr:uid="{00000000-0004-0000-0200-00000B010000}"/>
    <hyperlink ref="N272" r:id="rId269" xr:uid="{00000000-0004-0000-0200-00000C010000}"/>
    <hyperlink ref="N273" r:id="rId270" xr:uid="{00000000-0004-0000-0200-00000D010000}"/>
    <hyperlink ref="N274" r:id="rId271" xr:uid="{00000000-0004-0000-0200-00000E010000}"/>
    <hyperlink ref="N275" r:id="rId272" xr:uid="{00000000-0004-0000-0200-00000F010000}"/>
    <hyperlink ref="N276" r:id="rId273" xr:uid="{00000000-0004-0000-0200-000010010000}"/>
    <hyperlink ref="N277" r:id="rId274" xr:uid="{00000000-0004-0000-0200-000011010000}"/>
    <hyperlink ref="N278" r:id="rId275" xr:uid="{00000000-0004-0000-0200-000012010000}"/>
    <hyperlink ref="N279" r:id="rId276" xr:uid="{00000000-0004-0000-0200-000013010000}"/>
    <hyperlink ref="N280" r:id="rId277" xr:uid="{00000000-0004-0000-0200-000014010000}"/>
    <hyperlink ref="N281" r:id="rId278" xr:uid="{00000000-0004-0000-0200-000015010000}"/>
    <hyperlink ref="N282" r:id="rId279" xr:uid="{00000000-0004-0000-0200-000016010000}"/>
    <hyperlink ref="N283" r:id="rId280" xr:uid="{00000000-0004-0000-0200-000017010000}"/>
    <hyperlink ref="N284" r:id="rId281" xr:uid="{00000000-0004-0000-0200-000018010000}"/>
    <hyperlink ref="N285" r:id="rId282" xr:uid="{00000000-0004-0000-0200-000019010000}"/>
    <hyperlink ref="N286" r:id="rId283" xr:uid="{00000000-0004-0000-0200-00001A010000}"/>
    <hyperlink ref="N287" r:id="rId284" xr:uid="{00000000-0004-0000-0200-00001B010000}"/>
    <hyperlink ref="N288" r:id="rId285" xr:uid="{00000000-0004-0000-0200-00001C010000}"/>
    <hyperlink ref="N289" r:id="rId286" xr:uid="{00000000-0004-0000-0200-00001D010000}"/>
    <hyperlink ref="N290" r:id="rId287" xr:uid="{00000000-0004-0000-0200-00001E010000}"/>
    <hyperlink ref="N291" r:id="rId288" xr:uid="{00000000-0004-0000-0200-00001F010000}"/>
    <hyperlink ref="N292" r:id="rId289" xr:uid="{00000000-0004-0000-0200-000020010000}"/>
    <hyperlink ref="N293" r:id="rId290" xr:uid="{00000000-0004-0000-0200-000021010000}"/>
    <hyperlink ref="N294" r:id="rId291" xr:uid="{00000000-0004-0000-0200-000022010000}"/>
    <hyperlink ref="N295" r:id="rId292" xr:uid="{00000000-0004-0000-0200-000023010000}"/>
    <hyperlink ref="N296" r:id="rId293" xr:uid="{00000000-0004-0000-0200-000024010000}"/>
    <hyperlink ref="N297" r:id="rId294" xr:uid="{00000000-0004-0000-0200-000025010000}"/>
    <hyperlink ref="N298" r:id="rId295" xr:uid="{00000000-0004-0000-0200-000026010000}"/>
    <hyperlink ref="N299" r:id="rId296" xr:uid="{00000000-0004-0000-0200-000027010000}"/>
    <hyperlink ref="N300" r:id="rId297" xr:uid="{00000000-0004-0000-0200-000028010000}"/>
    <hyperlink ref="N301" r:id="rId298" xr:uid="{00000000-0004-0000-0200-000029010000}"/>
    <hyperlink ref="N302" r:id="rId299" xr:uid="{00000000-0004-0000-0200-00002A010000}"/>
    <hyperlink ref="N303" r:id="rId300" xr:uid="{00000000-0004-0000-0200-00002B010000}"/>
    <hyperlink ref="N304" r:id="rId301" xr:uid="{00000000-0004-0000-0200-00002C010000}"/>
    <hyperlink ref="N305" r:id="rId302" xr:uid="{00000000-0004-0000-0200-00002D010000}"/>
    <hyperlink ref="N306" r:id="rId303" xr:uid="{00000000-0004-0000-0200-00002E010000}"/>
    <hyperlink ref="N307" r:id="rId304" xr:uid="{00000000-0004-0000-0200-00002F010000}"/>
    <hyperlink ref="N308" r:id="rId305" xr:uid="{00000000-0004-0000-0200-000030010000}"/>
    <hyperlink ref="N309" r:id="rId306" xr:uid="{00000000-0004-0000-0200-000031010000}"/>
    <hyperlink ref="N310" r:id="rId307" xr:uid="{00000000-0004-0000-0200-000032010000}"/>
    <hyperlink ref="N311" r:id="rId308" xr:uid="{00000000-0004-0000-0200-000033010000}"/>
    <hyperlink ref="N312" r:id="rId309" xr:uid="{00000000-0004-0000-0200-000034010000}"/>
    <hyperlink ref="N313" r:id="rId310" xr:uid="{00000000-0004-0000-0200-000035010000}"/>
    <hyperlink ref="N314" r:id="rId311" xr:uid="{00000000-0004-0000-0200-000036010000}"/>
    <hyperlink ref="N315" r:id="rId312" xr:uid="{00000000-0004-0000-0200-000037010000}"/>
    <hyperlink ref="N316" r:id="rId313" xr:uid="{00000000-0004-0000-0200-000038010000}"/>
    <hyperlink ref="N317" r:id="rId314" xr:uid="{00000000-0004-0000-0200-000039010000}"/>
    <hyperlink ref="N318" r:id="rId315" xr:uid="{00000000-0004-0000-0200-00003A010000}"/>
    <hyperlink ref="N319" r:id="rId316" xr:uid="{00000000-0004-0000-0200-00003B010000}"/>
    <hyperlink ref="N320" r:id="rId317" xr:uid="{00000000-0004-0000-0200-00003C010000}"/>
    <hyperlink ref="N321" r:id="rId318" xr:uid="{00000000-0004-0000-0200-00003D010000}"/>
    <hyperlink ref="N322" r:id="rId319" xr:uid="{00000000-0004-0000-0200-00003E010000}"/>
    <hyperlink ref="N323" r:id="rId320" xr:uid="{00000000-0004-0000-0200-00003F010000}"/>
    <hyperlink ref="N324" r:id="rId321" xr:uid="{00000000-0004-0000-0200-000040010000}"/>
    <hyperlink ref="N325" r:id="rId322" xr:uid="{00000000-0004-0000-0200-000041010000}"/>
    <hyperlink ref="N326" r:id="rId323" xr:uid="{00000000-0004-0000-0200-000042010000}"/>
    <hyperlink ref="N327" r:id="rId324" xr:uid="{00000000-0004-0000-0200-000043010000}"/>
    <hyperlink ref="N328" r:id="rId325" xr:uid="{00000000-0004-0000-0200-000044010000}"/>
    <hyperlink ref="N329" r:id="rId326" xr:uid="{00000000-0004-0000-0200-000045010000}"/>
    <hyperlink ref="N330" r:id="rId327" xr:uid="{00000000-0004-0000-0200-000046010000}"/>
    <hyperlink ref="N331" r:id="rId328" xr:uid="{00000000-0004-0000-0200-000047010000}"/>
    <hyperlink ref="N332" r:id="rId329" xr:uid="{00000000-0004-0000-0200-000048010000}"/>
    <hyperlink ref="N333" r:id="rId330" xr:uid="{00000000-0004-0000-0200-000049010000}"/>
    <hyperlink ref="N334" r:id="rId331" xr:uid="{00000000-0004-0000-0200-00004A010000}"/>
    <hyperlink ref="N335" r:id="rId332" xr:uid="{00000000-0004-0000-0200-00004B010000}"/>
    <hyperlink ref="N336" r:id="rId333" xr:uid="{00000000-0004-0000-0200-00004C010000}"/>
    <hyperlink ref="N337" r:id="rId334" xr:uid="{00000000-0004-0000-0200-00004D010000}"/>
    <hyperlink ref="N338" r:id="rId335" xr:uid="{00000000-0004-0000-0200-00004E010000}"/>
    <hyperlink ref="N339" r:id="rId336" xr:uid="{00000000-0004-0000-0200-00004F010000}"/>
    <hyperlink ref="N340" r:id="rId337" xr:uid="{00000000-0004-0000-0200-000050010000}"/>
    <hyperlink ref="N341" r:id="rId338" xr:uid="{00000000-0004-0000-0200-000051010000}"/>
    <hyperlink ref="N342" r:id="rId339" xr:uid="{00000000-0004-0000-0200-000052010000}"/>
    <hyperlink ref="N343" r:id="rId340" xr:uid="{00000000-0004-0000-0200-000053010000}"/>
    <hyperlink ref="N344" r:id="rId341" xr:uid="{00000000-0004-0000-0200-000054010000}"/>
    <hyperlink ref="N345" r:id="rId342" xr:uid="{00000000-0004-0000-0200-000055010000}"/>
    <hyperlink ref="N346" r:id="rId343" xr:uid="{00000000-0004-0000-0200-000056010000}"/>
    <hyperlink ref="N347" r:id="rId344" xr:uid="{00000000-0004-0000-0200-000057010000}"/>
    <hyperlink ref="N348" r:id="rId345" xr:uid="{00000000-0004-0000-0200-000058010000}"/>
    <hyperlink ref="N349" r:id="rId346" xr:uid="{00000000-0004-0000-0200-000059010000}"/>
    <hyperlink ref="N350" r:id="rId347" xr:uid="{00000000-0004-0000-0200-00005A010000}"/>
    <hyperlink ref="N351" r:id="rId348" xr:uid="{00000000-0004-0000-0200-00005B010000}"/>
    <hyperlink ref="N352" r:id="rId349" xr:uid="{00000000-0004-0000-0200-00005C010000}"/>
    <hyperlink ref="N353" r:id="rId350" xr:uid="{00000000-0004-0000-0200-00005D010000}"/>
    <hyperlink ref="N354" r:id="rId351" xr:uid="{00000000-0004-0000-0200-00005E010000}"/>
    <hyperlink ref="N355" r:id="rId352" xr:uid="{00000000-0004-0000-0200-00005F010000}"/>
    <hyperlink ref="N356" r:id="rId353" xr:uid="{00000000-0004-0000-0200-000060010000}"/>
    <hyperlink ref="N357" r:id="rId354" xr:uid="{00000000-0004-0000-0200-000061010000}"/>
    <hyperlink ref="N358" r:id="rId355" xr:uid="{00000000-0004-0000-0200-000062010000}"/>
    <hyperlink ref="N359" r:id="rId356" xr:uid="{00000000-0004-0000-0200-000063010000}"/>
    <hyperlink ref="N360" r:id="rId357" xr:uid="{00000000-0004-0000-0200-000064010000}"/>
    <hyperlink ref="N361" r:id="rId358" xr:uid="{00000000-0004-0000-0200-000065010000}"/>
    <hyperlink ref="N362" r:id="rId359" xr:uid="{00000000-0004-0000-0200-000066010000}"/>
    <hyperlink ref="N363" r:id="rId360" xr:uid="{00000000-0004-0000-0200-000067010000}"/>
    <hyperlink ref="N364" r:id="rId361" xr:uid="{00000000-0004-0000-0200-000068010000}"/>
    <hyperlink ref="N365" r:id="rId362" xr:uid="{00000000-0004-0000-0200-000069010000}"/>
    <hyperlink ref="N366" r:id="rId363" xr:uid="{00000000-0004-0000-0200-00006A010000}"/>
    <hyperlink ref="N367" r:id="rId364" xr:uid="{00000000-0004-0000-0200-00006B010000}"/>
    <hyperlink ref="N368" r:id="rId365" xr:uid="{00000000-0004-0000-0200-00006C010000}"/>
    <hyperlink ref="N369" r:id="rId366" xr:uid="{00000000-0004-0000-0200-00006D010000}"/>
    <hyperlink ref="N370" r:id="rId367" xr:uid="{00000000-0004-0000-0200-00006E010000}"/>
    <hyperlink ref="N371" r:id="rId368" xr:uid="{00000000-0004-0000-0200-00006F010000}"/>
    <hyperlink ref="N372" r:id="rId369" xr:uid="{00000000-0004-0000-0200-000070010000}"/>
    <hyperlink ref="N373" r:id="rId370" xr:uid="{00000000-0004-0000-0200-000071010000}"/>
    <hyperlink ref="N374" r:id="rId371" xr:uid="{00000000-0004-0000-0200-000072010000}"/>
    <hyperlink ref="N375" r:id="rId372" xr:uid="{00000000-0004-0000-0200-000073010000}"/>
    <hyperlink ref="N376" r:id="rId373" xr:uid="{00000000-0004-0000-0200-000074010000}"/>
    <hyperlink ref="N377" r:id="rId374" xr:uid="{00000000-0004-0000-0200-000075010000}"/>
    <hyperlink ref="N378" r:id="rId375" xr:uid="{00000000-0004-0000-0200-000076010000}"/>
    <hyperlink ref="N379" r:id="rId376" xr:uid="{00000000-0004-0000-0200-000077010000}"/>
    <hyperlink ref="N380" r:id="rId377" xr:uid="{00000000-0004-0000-0200-000078010000}"/>
    <hyperlink ref="N381" r:id="rId378" xr:uid="{00000000-0004-0000-0200-000079010000}"/>
    <hyperlink ref="N382" r:id="rId379" xr:uid="{00000000-0004-0000-0200-00007A010000}"/>
    <hyperlink ref="N383" r:id="rId380" xr:uid="{00000000-0004-0000-0200-00007B010000}"/>
    <hyperlink ref="N384" r:id="rId381" xr:uid="{00000000-0004-0000-0200-00007C010000}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customHeight="1" x14ac:dyDescent="0.25"/>
  <cols>
    <col min="1" max="1" width="8" customWidth="1"/>
    <col min="2" max="2" width="26" customWidth="1"/>
    <col min="3" max="3" width="20" customWidth="1"/>
    <col min="4" max="4" width="9" customWidth="1"/>
    <col min="5" max="5" width="60" customWidth="1"/>
    <col min="6" max="6" width="15" customWidth="1"/>
    <col min="7" max="7" width="12" customWidth="1"/>
    <col min="8" max="8" width="10" customWidth="1"/>
    <col min="9" max="9" width="14" customWidth="1"/>
    <col min="10" max="12" width="12" customWidth="1"/>
    <col min="13" max="13" width="32" customWidth="1"/>
    <col min="14" max="14" width="46" customWidth="1"/>
  </cols>
  <sheetData>
    <row r="1" spans="1:14" ht="18" x14ac:dyDescent="0.25">
      <c r="A1" s="18" t="s">
        <v>841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25">
      <c r="A3" s="5" t="s">
        <v>34</v>
      </c>
      <c r="B3" s="5" t="s">
        <v>35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  <c r="I3" s="5" t="s">
        <v>64</v>
      </c>
      <c r="J3" s="5" t="s">
        <v>65</v>
      </c>
      <c r="K3" s="5" t="s">
        <v>66</v>
      </c>
      <c r="L3" s="5" t="s">
        <v>67</v>
      </c>
      <c r="M3" s="5" t="s">
        <v>68</v>
      </c>
      <c r="N3" s="5" t="s">
        <v>69</v>
      </c>
    </row>
    <row r="4" spans="1:14" ht="25.5" x14ac:dyDescent="0.25">
      <c r="A4" s="8" t="s">
        <v>45</v>
      </c>
      <c r="B4" s="13" t="s">
        <v>46</v>
      </c>
      <c r="C4" s="13" t="s">
        <v>70</v>
      </c>
      <c r="D4" s="8">
        <v>1</v>
      </c>
      <c r="E4" s="13" t="s">
        <v>71</v>
      </c>
      <c r="F4" s="8" t="s">
        <v>72</v>
      </c>
      <c r="G4" s="13" t="s">
        <v>73</v>
      </c>
      <c r="H4" s="8" t="s">
        <v>74</v>
      </c>
      <c r="I4" s="13" t="s">
        <v>75</v>
      </c>
      <c r="J4" s="14">
        <v>46135</v>
      </c>
      <c r="K4" s="14">
        <v>46137</v>
      </c>
      <c r="L4" s="15" t="s">
        <v>21</v>
      </c>
      <c r="M4" s="13" t="s">
        <v>76</v>
      </c>
      <c r="N4" s="16" t="s">
        <v>77</v>
      </c>
    </row>
    <row r="5" spans="1:14" ht="25.5" x14ac:dyDescent="0.25">
      <c r="A5" s="8" t="s">
        <v>45</v>
      </c>
      <c r="B5" s="13" t="s">
        <v>46</v>
      </c>
      <c r="C5" s="13" t="s">
        <v>70</v>
      </c>
      <c r="D5" s="8">
        <v>2</v>
      </c>
      <c r="E5" s="13" t="s">
        <v>78</v>
      </c>
      <c r="F5" s="8" t="s">
        <v>72</v>
      </c>
      <c r="G5" s="13" t="s">
        <v>79</v>
      </c>
      <c r="H5" s="8" t="s">
        <v>74</v>
      </c>
      <c r="I5" s="13" t="s">
        <v>75</v>
      </c>
      <c r="J5" s="14">
        <v>46135</v>
      </c>
      <c r="K5" s="14">
        <v>46137</v>
      </c>
      <c r="L5" s="15" t="s">
        <v>21</v>
      </c>
      <c r="M5" s="13" t="s">
        <v>76</v>
      </c>
      <c r="N5" s="16" t="s">
        <v>80</v>
      </c>
    </row>
    <row r="6" spans="1:14" ht="25.5" x14ac:dyDescent="0.25">
      <c r="A6" s="8" t="s">
        <v>45</v>
      </c>
      <c r="B6" s="13" t="s">
        <v>46</v>
      </c>
      <c r="C6" s="13" t="s">
        <v>70</v>
      </c>
      <c r="D6" s="8">
        <v>3</v>
      </c>
      <c r="E6" s="13" t="s">
        <v>81</v>
      </c>
      <c r="F6" s="8" t="s">
        <v>72</v>
      </c>
      <c r="G6" s="13" t="s">
        <v>73</v>
      </c>
      <c r="H6" s="8" t="s">
        <v>74</v>
      </c>
      <c r="I6" s="13" t="s">
        <v>75</v>
      </c>
      <c r="J6" s="14">
        <v>46135</v>
      </c>
      <c r="K6" s="14">
        <v>46137</v>
      </c>
      <c r="L6" s="15" t="s">
        <v>21</v>
      </c>
      <c r="M6" s="13" t="s">
        <v>76</v>
      </c>
      <c r="N6" s="16" t="s">
        <v>82</v>
      </c>
    </row>
    <row r="7" spans="1:14" ht="25.5" x14ac:dyDescent="0.25">
      <c r="A7" s="8" t="s">
        <v>45</v>
      </c>
      <c r="B7" s="13" t="s">
        <v>46</v>
      </c>
      <c r="C7" s="13" t="s">
        <v>70</v>
      </c>
      <c r="D7" s="8">
        <v>4</v>
      </c>
      <c r="E7" s="13" t="s">
        <v>71</v>
      </c>
      <c r="F7" s="8" t="s">
        <v>72</v>
      </c>
      <c r="G7" s="13" t="s">
        <v>73</v>
      </c>
      <c r="H7" s="8" t="s">
        <v>74</v>
      </c>
      <c r="I7" s="13" t="s">
        <v>75</v>
      </c>
      <c r="J7" s="14">
        <v>46135</v>
      </c>
      <c r="K7" s="14">
        <v>46137</v>
      </c>
      <c r="L7" s="15" t="s">
        <v>21</v>
      </c>
      <c r="M7" s="13" t="s">
        <v>76</v>
      </c>
      <c r="N7" s="16" t="s">
        <v>83</v>
      </c>
    </row>
    <row r="8" spans="1:14" ht="25.5" x14ac:dyDescent="0.25">
      <c r="A8" s="8" t="s">
        <v>45</v>
      </c>
      <c r="B8" s="13" t="s">
        <v>46</v>
      </c>
      <c r="C8" s="13" t="s">
        <v>70</v>
      </c>
      <c r="D8" s="8">
        <v>5</v>
      </c>
      <c r="E8" s="13" t="s">
        <v>81</v>
      </c>
      <c r="F8" s="8" t="s">
        <v>72</v>
      </c>
      <c r="G8" s="13" t="s">
        <v>73</v>
      </c>
      <c r="H8" s="8" t="s">
        <v>74</v>
      </c>
      <c r="I8" s="13" t="s">
        <v>75</v>
      </c>
      <c r="J8" s="14">
        <v>46135</v>
      </c>
      <c r="K8" s="14">
        <v>46137</v>
      </c>
      <c r="L8" s="15" t="s">
        <v>21</v>
      </c>
      <c r="M8" s="13" t="s">
        <v>76</v>
      </c>
      <c r="N8" s="16" t="s">
        <v>84</v>
      </c>
    </row>
    <row r="9" spans="1:14" ht="25.5" x14ac:dyDescent="0.25">
      <c r="A9" s="8" t="s">
        <v>45</v>
      </c>
      <c r="B9" s="13" t="s">
        <v>46</v>
      </c>
      <c r="C9" s="13" t="s">
        <v>70</v>
      </c>
      <c r="D9" s="8">
        <v>6</v>
      </c>
      <c r="E9" s="13" t="s">
        <v>85</v>
      </c>
      <c r="F9" s="8" t="s">
        <v>72</v>
      </c>
      <c r="G9" s="13" t="s">
        <v>86</v>
      </c>
      <c r="H9" s="8" t="s">
        <v>87</v>
      </c>
      <c r="I9" s="13" t="s">
        <v>75</v>
      </c>
      <c r="J9" s="14">
        <v>46135</v>
      </c>
      <c r="K9" s="14">
        <v>46137</v>
      </c>
      <c r="L9" s="15" t="s">
        <v>21</v>
      </c>
      <c r="M9" s="13" t="s">
        <v>76</v>
      </c>
      <c r="N9" s="16" t="s">
        <v>88</v>
      </c>
    </row>
    <row r="10" spans="1:14" ht="24" x14ac:dyDescent="0.25">
      <c r="A10" s="8" t="s">
        <v>842</v>
      </c>
      <c r="B10" s="13"/>
      <c r="C10" s="13" t="s">
        <v>595</v>
      </c>
      <c r="D10" s="8">
        <v>7</v>
      </c>
      <c r="E10" s="13" t="s">
        <v>843</v>
      </c>
      <c r="F10" s="8" t="s">
        <v>844</v>
      </c>
      <c r="G10" s="13"/>
      <c r="H10" s="8"/>
      <c r="I10" s="13" t="s">
        <v>75</v>
      </c>
      <c r="J10" s="14">
        <v>46136</v>
      </c>
      <c r="K10" s="14">
        <v>46137</v>
      </c>
      <c r="L10" s="17" t="s">
        <v>23</v>
      </c>
      <c r="M10" s="13" t="s">
        <v>844</v>
      </c>
      <c r="N10" s="16" t="s">
        <v>845</v>
      </c>
    </row>
    <row r="11" spans="1:14" ht="25.5" x14ac:dyDescent="0.25">
      <c r="A11" s="8" t="s">
        <v>45</v>
      </c>
      <c r="B11" s="13" t="s">
        <v>46</v>
      </c>
      <c r="C11" s="13" t="s">
        <v>70</v>
      </c>
      <c r="D11" s="8">
        <v>8</v>
      </c>
      <c r="E11" s="13" t="s">
        <v>89</v>
      </c>
      <c r="F11" s="8" t="s">
        <v>72</v>
      </c>
      <c r="G11" s="13" t="s">
        <v>86</v>
      </c>
      <c r="H11" s="8" t="s">
        <v>87</v>
      </c>
      <c r="I11" s="13" t="s">
        <v>75</v>
      </c>
      <c r="J11" s="14">
        <v>46136</v>
      </c>
      <c r="K11" s="14">
        <v>46137</v>
      </c>
      <c r="L11" s="15" t="s">
        <v>21</v>
      </c>
      <c r="M11" s="13" t="s">
        <v>76</v>
      </c>
      <c r="N11" s="16" t="s">
        <v>90</v>
      </c>
    </row>
    <row r="12" spans="1:14" ht="24" x14ac:dyDescent="0.25">
      <c r="A12" s="8" t="s">
        <v>842</v>
      </c>
      <c r="B12" s="13"/>
      <c r="C12" s="13" t="s">
        <v>595</v>
      </c>
      <c r="D12" s="8">
        <v>9</v>
      </c>
      <c r="E12" s="13" t="s">
        <v>846</v>
      </c>
      <c r="F12" s="8" t="s">
        <v>844</v>
      </c>
      <c r="G12" s="13"/>
      <c r="H12" s="8"/>
      <c r="I12" s="13" t="s">
        <v>75</v>
      </c>
      <c r="J12" s="14">
        <v>46136</v>
      </c>
      <c r="K12" s="14">
        <v>46137</v>
      </c>
      <c r="L12" s="17" t="s">
        <v>23</v>
      </c>
      <c r="M12" s="13" t="s">
        <v>844</v>
      </c>
      <c r="N12" s="16" t="s">
        <v>847</v>
      </c>
    </row>
    <row r="13" spans="1:14" ht="25.5" x14ac:dyDescent="0.25">
      <c r="A13" s="8" t="s">
        <v>45</v>
      </c>
      <c r="B13" s="13" t="s">
        <v>46</v>
      </c>
      <c r="C13" s="13" t="s">
        <v>70</v>
      </c>
      <c r="D13" s="8">
        <v>10</v>
      </c>
      <c r="E13" s="13" t="s">
        <v>91</v>
      </c>
      <c r="F13" s="8" t="s">
        <v>92</v>
      </c>
      <c r="G13" s="13"/>
      <c r="H13" s="8" t="s">
        <v>93</v>
      </c>
      <c r="I13" s="13" t="s">
        <v>75</v>
      </c>
      <c r="J13" s="14">
        <v>46136</v>
      </c>
      <c r="K13" s="14">
        <v>46137</v>
      </c>
      <c r="L13" s="15" t="s">
        <v>21</v>
      </c>
      <c r="M13" s="13" t="s">
        <v>76</v>
      </c>
      <c r="N13" s="16" t="s">
        <v>94</v>
      </c>
    </row>
    <row r="14" spans="1:14" ht="25.5" x14ac:dyDescent="0.25">
      <c r="A14" s="8" t="s">
        <v>45</v>
      </c>
      <c r="B14" s="13" t="s">
        <v>46</v>
      </c>
      <c r="C14" s="13" t="s">
        <v>70</v>
      </c>
      <c r="D14" s="8">
        <v>11</v>
      </c>
      <c r="E14" s="13" t="s">
        <v>95</v>
      </c>
      <c r="F14" s="8" t="s">
        <v>72</v>
      </c>
      <c r="G14" s="13" t="s">
        <v>86</v>
      </c>
      <c r="H14" s="8" t="s">
        <v>87</v>
      </c>
      <c r="I14" s="13" t="s">
        <v>75</v>
      </c>
      <c r="J14" s="14">
        <v>46136</v>
      </c>
      <c r="K14" s="14">
        <v>46137</v>
      </c>
      <c r="L14" s="15" t="s">
        <v>21</v>
      </c>
      <c r="M14" s="13" t="s">
        <v>76</v>
      </c>
      <c r="N14" s="16" t="s">
        <v>96</v>
      </c>
    </row>
    <row r="15" spans="1:14" ht="25.5" x14ac:dyDescent="0.25">
      <c r="A15" s="8" t="s">
        <v>45</v>
      </c>
      <c r="B15" s="13" t="s">
        <v>46</v>
      </c>
      <c r="C15" s="13" t="s">
        <v>70</v>
      </c>
      <c r="D15" s="8">
        <v>12</v>
      </c>
      <c r="E15" s="13" t="s">
        <v>97</v>
      </c>
      <c r="F15" s="8" t="s">
        <v>72</v>
      </c>
      <c r="G15" s="13" t="s">
        <v>98</v>
      </c>
      <c r="H15" s="8" t="s">
        <v>87</v>
      </c>
      <c r="I15" s="13" t="s">
        <v>75</v>
      </c>
      <c r="J15" s="14">
        <v>46136</v>
      </c>
      <c r="K15" s="14">
        <v>46137</v>
      </c>
      <c r="L15" s="15" t="s">
        <v>21</v>
      </c>
      <c r="M15" s="13" t="s">
        <v>76</v>
      </c>
      <c r="N15" s="16" t="s">
        <v>99</v>
      </c>
    </row>
    <row r="16" spans="1:14" ht="25.5" x14ac:dyDescent="0.25">
      <c r="A16" s="8" t="s">
        <v>45</v>
      </c>
      <c r="B16" s="13" t="s">
        <v>46</v>
      </c>
      <c r="C16" s="13" t="s">
        <v>70</v>
      </c>
      <c r="D16" s="8">
        <v>13</v>
      </c>
      <c r="E16" s="13" t="s">
        <v>100</v>
      </c>
      <c r="F16" s="8" t="s">
        <v>72</v>
      </c>
      <c r="G16" s="13" t="s">
        <v>86</v>
      </c>
      <c r="H16" s="8" t="s">
        <v>87</v>
      </c>
      <c r="I16" s="13" t="s">
        <v>75</v>
      </c>
      <c r="J16" s="14">
        <v>46137</v>
      </c>
      <c r="K16" s="14">
        <v>46137</v>
      </c>
      <c r="L16" s="15" t="s">
        <v>21</v>
      </c>
      <c r="M16" s="13" t="s">
        <v>76</v>
      </c>
      <c r="N16" s="16" t="s">
        <v>101</v>
      </c>
    </row>
    <row r="17" spans="1:14" ht="25.5" x14ac:dyDescent="0.25">
      <c r="A17" s="8" t="s">
        <v>48</v>
      </c>
      <c r="B17" s="13" t="s">
        <v>46</v>
      </c>
      <c r="C17" s="13" t="s">
        <v>70</v>
      </c>
      <c r="D17" s="8">
        <v>14</v>
      </c>
      <c r="E17" s="13" t="s">
        <v>102</v>
      </c>
      <c r="F17" s="8" t="s">
        <v>72</v>
      </c>
      <c r="G17" s="13" t="s">
        <v>73</v>
      </c>
      <c r="H17" s="8" t="s">
        <v>74</v>
      </c>
      <c r="I17" s="13" t="s">
        <v>75</v>
      </c>
      <c r="J17" s="14">
        <v>46137</v>
      </c>
      <c r="K17" s="14">
        <v>46137</v>
      </c>
      <c r="L17" s="15" t="s">
        <v>21</v>
      </c>
      <c r="M17" s="13" t="s">
        <v>76</v>
      </c>
      <c r="N17" s="16" t="s">
        <v>103</v>
      </c>
    </row>
    <row r="18" spans="1:14" ht="25.5" x14ac:dyDescent="0.25">
      <c r="A18" s="8" t="s">
        <v>48</v>
      </c>
      <c r="B18" s="13" t="s">
        <v>46</v>
      </c>
      <c r="C18" s="13" t="s">
        <v>70</v>
      </c>
      <c r="D18" s="8">
        <v>15</v>
      </c>
      <c r="E18" s="13" t="s">
        <v>104</v>
      </c>
      <c r="F18" s="8" t="s">
        <v>72</v>
      </c>
      <c r="G18" s="13" t="s">
        <v>86</v>
      </c>
      <c r="H18" s="8" t="s">
        <v>93</v>
      </c>
      <c r="I18" s="13" t="s">
        <v>75</v>
      </c>
      <c r="J18" s="14">
        <v>46137</v>
      </c>
      <c r="K18" s="14">
        <v>46137</v>
      </c>
      <c r="L18" s="15" t="s">
        <v>21</v>
      </c>
      <c r="M18" s="13" t="s">
        <v>76</v>
      </c>
      <c r="N18" s="16" t="s">
        <v>105</v>
      </c>
    </row>
    <row r="19" spans="1:14" ht="25.5" x14ac:dyDescent="0.25">
      <c r="A19" s="8" t="s">
        <v>48</v>
      </c>
      <c r="B19" s="13" t="s">
        <v>46</v>
      </c>
      <c r="C19" s="13" t="s">
        <v>70</v>
      </c>
      <c r="D19" s="8">
        <v>16</v>
      </c>
      <c r="E19" s="13" t="s">
        <v>106</v>
      </c>
      <c r="F19" s="8" t="s">
        <v>72</v>
      </c>
      <c r="G19" s="13" t="s">
        <v>79</v>
      </c>
      <c r="H19" s="8" t="s">
        <v>74</v>
      </c>
      <c r="I19" s="13" t="s">
        <v>75</v>
      </c>
      <c r="J19" s="14">
        <v>46137</v>
      </c>
      <c r="K19" s="14">
        <v>46143</v>
      </c>
      <c r="L19" s="15" t="s">
        <v>21</v>
      </c>
      <c r="M19" s="13" t="s">
        <v>76</v>
      </c>
      <c r="N19" s="16" t="s">
        <v>107</v>
      </c>
    </row>
    <row r="20" spans="1:14" ht="25.5" x14ac:dyDescent="0.25">
      <c r="A20" s="8" t="s">
        <v>48</v>
      </c>
      <c r="B20" s="13" t="s">
        <v>46</v>
      </c>
      <c r="C20" s="13" t="s">
        <v>70</v>
      </c>
      <c r="D20" s="8">
        <v>17</v>
      </c>
      <c r="E20" s="13" t="s">
        <v>108</v>
      </c>
      <c r="F20" s="8" t="s">
        <v>72</v>
      </c>
      <c r="G20" s="13" t="s">
        <v>79</v>
      </c>
      <c r="H20" s="8" t="s">
        <v>74</v>
      </c>
      <c r="I20" s="13" t="s">
        <v>75</v>
      </c>
      <c r="J20" s="14">
        <v>46137</v>
      </c>
      <c r="K20" s="14">
        <v>46143</v>
      </c>
      <c r="L20" s="15" t="s">
        <v>21</v>
      </c>
      <c r="M20" s="13" t="s">
        <v>76</v>
      </c>
      <c r="N20" s="16" t="s">
        <v>109</v>
      </c>
    </row>
    <row r="21" spans="1:14" ht="25.5" x14ac:dyDescent="0.25">
      <c r="A21" s="8" t="s">
        <v>48</v>
      </c>
      <c r="B21" s="13" t="s">
        <v>46</v>
      </c>
      <c r="C21" s="13" t="s">
        <v>70</v>
      </c>
      <c r="D21" s="8">
        <v>18</v>
      </c>
      <c r="E21" s="13" t="s">
        <v>110</v>
      </c>
      <c r="F21" s="8" t="s">
        <v>111</v>
      </c>
      <c r="G21" s="13" t="s">
        <v>79</v>
      </c>
      <c r="H21" s="8" t="s">
        <v>112</v>
      </c>
      <c r="I21" s="13" t="s">
        <v>75</v>
      </c>
      <c r="J21" s="14">
        <v>46137</v>
      </c>
      <c r="K21" s="14">
        <v>46143</v>
      </c>
      <c r="L21" s="15" t="s">
        <v>21</v>
      </c>
      <c r="M21" s="13" t="s">
        <v>76</v>
      </c>
      <c r="N21" s="16" t="s">
        <v>113</v>
      </c>
    </row>
    <row r="22" spans="1:14" ht="25.5" x14ac:dyDescent="0.25">
      <c r="A22" s="8" t="s">
        <v>50</v>
      </c>
      <c r="B22" s="13" t="s">
        <v>46</v>
      </c>
      <c r="C22" s="13" t="s">
        <v>70</v>
      </c>
      <c r="D22" s="8">
        <v>19</v>
      </c>
      <c r="E22" s="13" t="s">
        <v>204</v>
      </c>
      <c r="F22" s="8" t="s">
        <v>72</v>
      </c>
      <c r="G22" s="13" t="s">
        <v>73</v>
      </c>
      <c r="H22" s="8" t="s">
        <v>87</v>
      </c>
      <c r="I22" s="13" t="s">
        <v>75</v>
      </c>
      <c r="J22" s="14">
        <v>46137</v>
      </c>
      <c r="K22" s="14">
        <v>46143</v>
      </c>
      <c r="L22" s="15" t="s">
        <v>21</v>
      </c>
      <c r="M22" s="13"/>
      <c r="N22" s="16" t="s">
        <v>205</v>
      </c>
    </row>
    <row r="23" spans="1:14" ht="25.5" x14ac:dyDescent="0.25">
      <c r="A23" s="8" t="s">
        <v>50</v>
      </c>
      <c r="B23" s="13" t="s">
        <v>46</v>
      </c>
      <c r="C23" s="13" t="s">
        <v>70</v>
      </c>
      <c r="D23" s="8">
        <v>20</v>
      </c>
      <c r="E23" s="13" t="s">
        <v>206</v>
      </c>
      <c r="F23" s="8" t="s">
        <v>72</v>
      </c>
      <c r="G23" s="13" t="s">
        <v>207</v>
      </c>
      <c r="H23" s="8" t="s">
        <v>87</v>
      </c>
      <c r="I23" s="13" t="s">
        <v>75</v>
      </c>
      <c r="J23" s="14">
        <v>46137</v>
      </c>
      <c r="K23" s="14">
        <v>46143</v>
      </c>
      <c r="L23" s="15" t="s">
        <v>21</v>
      </c>
      <c r="M23" s="13"/>
      <c r="N23" s="16" t="s">
        <v>208</v>
      </c>
    </row>
    <row r="24" spans="1:14" ht="24" x14ac:dyDescent="0.25">
      <c r="A24" s="8" t="s">
        <v>50</v>
      </c>
      <c r="B24" s="13" t="s">
        <v>46</v>
      </c>
      <c r="C24" s="13" t="s">
        <v>70</v>
      </c>
      <c r="D24" s="8">
        <v>21</v>
      </c>
      <c r="E24" s="13" t="s">
        <v>209</v>
      </c>
      <c r="F24" s="8" t="s">
        <v>72</v>
      </c>
      <c r="G24" s="13" t="s">
        <v>207</v>
      </c>
      <c r="H24" s="8" t="s">
        <v>87</v>
      </c>
      <c r="I24" s="13" t="s">
        <v>75</v>
      </c>
      <c r="J24" s="14">
        <v>46137</v>
      </c>
      <c r="K24" s="14">
        <v>46143</v>
      </c>
      <c r="L24" s="15" t="s">
        <v>21</v>
      </c>
      <c r="M24" s="13"/>
      <c r="N24" s="16" t="s">
        <v>210</v>
      </c>
    </row>
    <row r="25" spans="1:14" ht="24" x14ac:dyDescent="0.25">
      <c r="A25" s="8" t="s">
        <v>50</v>
      </c>
      <c r="B25" s="13" t="s">
        <v>46</v>
      </c>
      <c r="C25" s="13" t="s">
        <v>70</v>
      </c>
      <c r="D25" s="8">
        <v>22</v>
      </c>
      <c r="E25" s="13" t="s">
        <v>211</v>
      </c>
      <c r="F25" s="8" t="s">
        <v>72</v>
      </c>
      <c r="G25" s="13" t="s">
        <v>207</v>
      </c>
      <c r="H25" s="8" t="s">
        <v>87</v>
      </c>
      <c r="I25" s="13" t="s">
        <v>75</v>
      </c>
      <c r="J25" s="14">
        <v>46137</v>
      </c>
      <c r="K25" s="14">
        <v>46143</v>
      </c>
      <c r="L25" s="15" t="s">
        <v>21</v>
      </c>
      <c r="M25" s="13"/>
      <c r="N25" s="16" t="s">
        <v>212</v>
      </c>
    </row>
    <row r="26" spans="1:14" ht="24" x14ac:dyDescent="0.25">
      <c r="A26" s="8" t="s">
        <v>50</v>
      </c>
      <c r="B26" s="13" t="s">
        <v>46</v>
      </c>
      <c r="C26" s="13" t="s">
        <v>70</v>
      </c>
      <c r="D26" s="8">
        <v>23</v>
      </c>
      <c r="E26" s="13" t="s">
        <v>213</v>
      </c>
      <c r="F26" s="8" t="s">
        <v>72</v>
      </c>
      <c r="G26" s="13" t="s">
        <v>79</v>
      </c>
      <c r="H26" s="8" t="s">
        <v>74</v>
      </c>
      <c r="I26" s="13" t="s">
        <v>75</v>
      </c>
      <c r="J26" s="14">
        <v>46137</v>
      </c>
      <c r="K26" s="14">
        <v>46143</v>
      </c>
      <c r="L26" s="15" t="s">
        <v>21</v>
      </c>
      <c r="M26" s="13"/>
      <c r="N26" s="16" t="s">
        <v>214</v>
      </c>
    </row>
    <row r="27" spans="1:14" ht="24" x14ac:dyDescent="0.25">
      <c r="A27" s="8" t="s">
        <v>50</v>
      </c>
      <c r="B27" s="13" t="s">
        <v>46</v>
      </c>
      <c r="C27" s="13" t="s">
        <v>70</v>
      </c>
      <c r="D27" s="8">
        <v>24</v>
      </c>
      <c r="E27" s="13" t="s">
        <v>215</v>
      </c>
      <c r="F27" s="8" t="s">
        <v>72</v>
      </c>
      <c r="G27" s="13" t="s">
        <v>216</v>
      </c>
      <c r="H27" s="8" t="s">
        <v>74</v>
      </c>
      <c r="I27" s="13" t="s">
        <v>75</v>
      </c>
      <c r="J27" s="14">
        <v>46137</v>
      </c>
      <c r="K27" s="14">
        <v>46143</v>
      </c>
      <c r="L27" s="15" t="s">
        <v>21</v>
      </c>
      <c r="M27" s="13"/>
      <c r="N27" s="16" t="s">
        <v>217</v>
      </c>
    </row>
    <row r="28" spans="1:14" ht="24" x14ac:dyDescent="0.25">
      <c r="A28" s="8" t="s">
        <v>50</v>
      </c>
      <c r="B28" s="13" t="s">
        <v>46</v>
      </c>
      <c r="C28" s="13" t="s">
        <v>70</v>
      </c>
      <c r="D28" s="8">
        <v>25</v>
      </c>
      <c r="E28" s="13" t="s">
        <v>218</v>
      </c>
      <c r="F28" s="8" t="s">
        <v>72</v>
      </c>
      <c r="G28" s="13" t="s">
        <v>73</v>
      </c>
      <c r="H28" s="8" t="s">
        <v>112</v>
      </c>
      <c r="I28" s="13" t="s">
        <v>75</v>
      </c>
      <c r="J28" s="14">
        <v>46137</v>
      </c>
      <c r="K28" s="14">
        <v>46143</v>
      </c>
      <c r="L28" s="15" t="s">
        <v>21</v>
      </c>
      <c r="M28" s="13"/>
      <c r="N28" s="16" t="s">
        <v>219</v>
      </c>
    </row>
    <row r="29" spans="1:14" ht="24" x14ac:dyDescent="0.25">
      <c r="A29" s="8" t="s">
        <v>50</v>
      </c>
      <c r="B29" s="13" t="s">
        <v>46</v>
      </c>
      <c r="C29" s="13" t="s">
        <v>70</v>
      </c>
      <c r="D29" s="8">
        <v>26</v>
      </c>
      <c r="E29" s="13" t="s">
        <v>220</v>
      </c>
      <c r="F29" s="8" t="s">
        <v>72</v>
      </c>
      <c r="G29" s="13" t="s">
        <v>79</v>
      </c>
      <c r="H29" s="8" t="s">
        <v>112</v>
      </c>
      <c r="I29" s="13" t="s">
        <v>75</v>
      </c>
      <c r="J29" s="14">
        <v>46137</v>
      </c>
      <c r="K29" s="14">
        <v>46143</v>
      </c>
      <c r="L29" s="15" t="s">
        <v>21</v>
      </c>
      <c r="M29" s="13"/>
      <c r="N29" s="16" t="s">
        <v>221</v>
      </c>
    </row>
    <row r="30" spans="1:14" ht="24" x14ac:dyDescent="0.25">
      <c r="A30" s="8" t="s">
        <v>50</v>
      </c>
      <c r="B30" s="13" t="s">
        <v>46</v>
      </c>
      <c r="C30" s="13" t="s">
        <v>70</v>
      </c>
      <c r="D30" s="8">
        <v>27</v>
      </c>
      <c r="E30" s="13" t="s">
        <v>222</v>
      </c>
      <c r="F30" s="8" t="s">
        <v>72</v>
      </c>
      <c r="G30" s="13" t="s">
        <v>216</v>
      </c>
      <c r="H30" s="8" t="s">
        <v>112</v>
      </c>
      <c r="I30" s="13" t="s">
        <v>75</v>
      </c>
      <c r="J30" s="14">
        <v>46137</v>
      </c>
      <c r="K30" s="14">
        <v>46143</v>
      </c>
      <c r="L30" s="15" t="s">
        <v>21</v>
      </c>
      <c r="M30" s="13"/>
      <c r="N30" s="16" t="s">
        <v>223</v>
      </c>
    </row>
    <row r="31" spans="1:14" ht="24" x14ac:dyDescent="0.25">
      <c r="A31" s="8" t="s">
        <v>50</v>
      </c>
      <c r="B31" s="13" t="s">
        <v>46</v>
      </c>
      <c r="C31" s="13" t="s">
        <v>70</v>
      </c>
      <c r="D31" s="8">
        <v>28</v>
      </c>
      <c r="E31" s="13" t="s">
        <v>224</v>
      </c>
      <c r="F31" s="8" t="s">
        <v>72</v>
      </c>
      <c r="G31" s="13" t="s">
        <v>79</v>
      </c>
      <c r="H31" s="8" t="s">
        <v>112</v>
      </c>
      <c r="I31" s="13" t="s">
        <v>75</v>
      </c>
      <c r="J31" s="14">
        <v>46137</v>
      </c>
      <c r="K31" s="14">
        <v>46143</v>
      </c>
      <c r="L31" s="15" t="s">
        <v>21</v>
      </c>
      <c r="M31" s="13"/>
      <c r="N31" s="16" t="s">
        <v>225</v>
      </c>
    </row>
    <row r="32" spans="1:14" ht="24" x14ac:dyDescent="0.25">
      <c r="A32" s="8" t="s">
        <v>50</v>
      </c>
      <c r="B32" s="13" t="s">
        <v>46</v>
      </c>
      <c r="C32" s="13" t="s">
        <v>70</v>
      </c>
      <c r="D32" s="8">
        <v>29</v>
      </c>
      <c r="E32" s="13" t="s">
        <v>226</v>
      </c>
      <c r="F32" s="8" t="s">
        <v>72</v>
      </c>
      <c r="G32" s="13" t="s">
        <v>207</v>
      </c>
      <c r="H32" s="8" t="s">
        <v>112</v>
      </c>
      <c r="I32" s="13" t="s">
        <v>75</v>
      </c>
      <c r="J32" s="14">
        <v>46137</v>
      </c>
      <c r="K32" s="14">
        <v>46143</v>
      </c>
      <c r="L32" s="15" t="s">
        <v>21</v>
      </c>
      <c r="M32" s="13"/>
      <c r="N32" s="16" t="s">
        <v>227</v>
      </c>
    </row>
    <row r="33" spans="1:14" ht="25.5" x14ac:dyDescent="0.25">
      <c r="A33" s="8" t="s">
        <v>50</v>
      </c>
      <c r="B33" s="13" t="s">
        <v>46</v>
      </c>
      <c r="C33" s="13" t="s">
        <v>70</v>
      </c>
      <c r="D33" s="8">
        <v>30</v>
      </c>
      <c r="E33" s="13" t="s">
        <v>228</v>
      </c>
      <c r="F33" s="8" t="s">
        <v>72</v>
      </c>
      <c r="G33" s="13" t="s">
        <v>207</v>
      </c>
      <c r="H33" s="8" t="s">
        <v>112</v>
      </c>
      <c r="I33" s="13" t="s">
        <v>75</v>
      </c>
      <c r="J33" s="14">
        <v>46137</v>
      </c>
      <c r="K33" s="14">
        <v>46143</v>
      </c>
      <c r="L33" s="15" t="s">
        <v>21</v>
      </c>
      <c r="M33" s="13"/>
      <c r="N33" s="16" t="s">
        <v>229</v>
      </c>
    </row>
    <row r="34" spans="1:14" ht="25.5" x14ac:dyDescent="0.25">
      <c r="A34" s="8" t="s">
        <v>50</v>
      </c>
      <c r="B34" s="13" t="s">
        <v>46</v>
      </c>
      <c r="C34" s="13" t="s">
        <v>70</v>
      </c>
      <c r="D34" s="8">
        <v>33</v>
      </c>
      <c r="E34" s="13" t="s">
        <v>230</v>
      </c>
      <c r="F34" s="8" t="s">
        <v>72</v>
      </c>
      <c r="G34" s="13" t="s">
        <v>79</v>
      </c>
      <c r="H34" s="8" t="s">
        <v>87</v>
      </c>
      <c r="I34" s="13" t="s">
        <v>75</v>
      </c>
      <c r="J34" s="14">
        <v>46138</v>
      </c>
      <c r="K34" s="14">
        <v>46142</v>
      </c>
      <c r="L34" s="15" t="s">
        <v>21</v>
      </c>
      <c r="M34" s="13"/>
      <c r="N34" s="16" t="s">
        <v>231</v>
      </c>
    </row>
    <row r="35" spans="1:14" ht="24" x14ac:dyDescent="0.25">
      <c r="A35" s="8" t="s">
        <v>50</v>
      </c>
      <c r="B35" s="13" t="s">
        <v>46</v>
      </c>
      <c r="C35" s="13" t="s">
        <v>70</v>
      </c>
      <c r="D35" s="8">
        <v>34</v>
      </c>
      <c r="E35" s="13" t="s">
        <v>232</v>
      </c>
      <c r="F35" s="8" t="s">
        <v>72</v>
      </c>
      <c r="G35" s="13"/>
      <c r="H35" s="8" t="s">
        <v>87</v>
      </c>
      <c r="I35" s="13" t="s">
        <v>75</v>
      </c>
      <c r="J35" s="14">
        <v>46138</v>
      </c>
      <c r="K35" s="14">
        <v>46142</v>
      </c>
      <c r="L35" s="15" t="s">
        <v>21</v>
      </c>
      <c r="M35" s="13"/>
      <c r="N35" s="16" t="s">
        <v>233</v>
      </c>
    </row>
    <row r="36" spans="1:14" ht="25.5" x14ac:dyDescent="0.25">
      <c r="A36" s="8" t="s">
        <v>50</v>
      </c>
      <c r="B36" s="13" t="s">
        <v>46</v>
      </c>
      <c r="C36" s="13" t="s">
        <v>70</v>
      </c>
      <c r="D36" s="8">
        <v>35</v>
      </c>
      <c r="E36" s="13" t="s">
        <v>234</v>
      </c>
      <c r="F36" s="8" t="s">
        <v>72</v>
      </c>
      <c r="G36" s="13"/>
      <c r="H36" s="8" t="s">
        <v>74</v>
      </c>
      <c r="I36" s="13" t="s">
        <v>75</v>
      </c>
      <c r="J36" s="14">
        <v>46138</v>
      </c>
      <c r="K36" s="14">
        <v>46143</v>
      </c>
      <c r="L36" s="15" t="s">
        <v>21</v>
      </c>
      <c r="M36" s="13"/>
      <c r="N36" s="16" t="s">
        <v>235</v>
      </c>
    </row>
    <row r="37" spans="1:14" ht="25.5" x14ac:dyDescent="0.25">
      <c r="A37" s="8" t="s">
        <v>50</v>
      </c>
      <c r="B37" s="13" t="s">
        <v>46</v>
      </c>
      <c r="C37" s="13" t="s">
        <v>70</v>
      </c>
      <c r="D37" s="8">
        <v>45</v>
      </c>
      <c r="E37" s="13" t="s">
        <v>236</v>
      </c>
      <c r="F37" s="8" t="s">
        <v>72</v>
      </c>
      <c r="G37" s="13"/>
      <c r="H37" s="8" t="s">
        <v>87</v>
      </c>
      <c r="I37" s="13" t="s">
        <v>75</v>
      </c>
      <c r="J37" s="14">
        <v>46142</v>
      </c>
      <c r="K37" s="14">
        <v>46143</v>
      </c>
      <c r="L37" s="15" t="s">
        <v>21</v>
      </c>
      <c r="M37" s="13"/>
      <c r="N37" s="16" t="s">
        <v>237</v>
      </c>
    </row>
    <row r="38" spans="1:14" ht="25.5" x14ac:dyDescent="0.25">
      <c r="A38" s="8" t="s">
        <v>50</v>
      </c>
      <c r="B38" s="13" t="s">
        <v>46</v>
      </c>
      <c r="C38" s="13" t="s">
        <v>70</v>
      </c>
      <c r="D38" s="8">
        <v>46</v>
      </c>
      <c r="E38" s="13" t="s">
        <v>238</v>
      </c>
      <c r="F38" s="8" t="s">
        <v>72</v>
      </c>
      <c r="G38" s="13"/>
      <c r="H38" s="8" t="s">
        <v>87</v>
      </c>
      <c r="I38" s="13" t="s">
        <v>75</v>
      </c>
      <c r="J38" s="14">
        <v>46142</v>
      </c>
      <c r="K38" s="14">
        <v>46143</v>
      </c>
      <c r="L38" s="15" t="s">
        <v>21</v>
      </c>
      <c r="M38" s="13"/>
      <c r="N38" s="16" t="s">
        <v>239</v>
      </c>
    </row>
    <row r="39" spans="1:14" ht="25.5" x14ac:dyDescent="0.25">
      <c r="A39" s="8" t="s">
        <v>50</v>
      </c>
      <c r="B39" s="13" t="s">
        <v>46</v>
      </c>
      <c r="C39" s="13" t="s">
        <v>70</v>
      </c>
      <c r="D39" s="8">
        <v>52</v>
      </c>
      <c r="E39" s="13" t="s">
        <v>240</v>
      </c>
      <c r="F39" s="8" t="s">
        <v>72</v>
      </c>
      <c r="G39" s="13" t="s">
        <v>79</v>
      </c>
      <c r="H39" s="8" t="s">
        <v>74</v>
      </c>
      <c r="I39" s="13" t="s">
        <v>75</v>
      </c>
      <c r="J39" s="14">
        <v>46143</v>
      </c>
      <c r="K39" s="14">
        <v>46143</v>
      </c>
      <c r="L39" s="15" t="s">
        <v>21</v>
      </c>
      <c r="M39" s="13"/>
      <c r="N39" s="16" t="s">
        <v>241</v>
      </c>
    </row>
    <row r="40" spans="1:14" ht="24" x14ac:dyDescent="0.25">
      <c r="A40" s="8" t="s">
        <v>842</v>
      </c>
      <c r="B40" s="13"/>
      <c r="C40" s="13" t="s">
        <v>70</v>
      </c>
      <c r="D40" s="8">
        <v>55</v>
      </c>
      <c r="E40" s="13" t="s">
        <v>848</v>
      </c>
      <c r="F40" s="8" t="s">
        <v>72</v>
      </c>
      <c r="G40" s="13"/>
      <c r="H40" s="8"/>
      <c r="I40" s="13" t="s">
        <v>75</v>
      </c>
      <c r="J40" s="14">
        <v>46146</v>
      </c>
      <c r="K40" s="14">
        <v>46147</v>
      </c>
      <c r="L40" s="15" t="s">
        <v>21</v>
      </c>
      <c r="M40" s="13"/>
      <c r="N40" s="16" t="s">
        <v>849</v>
      </c>
    </row>
    <row r="41" spans="1:14" ht="25.5" x14ac:dyDescent="0.25">
      <c r="A41" s="8" t="s">
        <v>842</v>
      </c>
      <c r="B41" s="13"/>
      <c r="C41" s="13" t="s">
        <v>142</v>
      </c>
      <c r="D41" s="8">
        <v>56</v>
      </c>
      <c r="E41" s="13" t="s">
        <v>850</v>
      </c>
      <c r="F41" s="8" t="s">
        <v>92</v>
      </c>
      <c r="G41" s="13" t="s">
        <v>191</v>
      </c>
      <c r="H41" s="8" t="s">
        <v>87</v>
      </c>
      <c r="I41" s="13" t="s">
        <v>75</v>
      </c>
      <c r="J41" s="14">
        <v>46147</v>
      </c>
      <c r="K41" s="14">
        <v>46151</v>
      </c>
      <c r="L41" s="15" t="s">
        <v>21</v>
      </c>
      <c r="M41" s="13"/>
      <c r="N41" s="16" t="s">
        <v>851</v>
      </c>
    </row>
    <row r="42" spans="1:14" ht="25.5" x14ac:dyDescent="0.25">
      <c r="A42" s="8" t="s">
        <v>842</v>
      </c>
      <c r="B42" s="13"/>
      <c r="C42" s="13" t="s">
        <v>142</v>
      </c>
      <c r="D42" s="8">
        <v>57</v>
      </c>
      <c r="E42" s="13" t="s">
        <v>852</v>
      </c>
      <c r="F42" s="8" t="s">
        <v>92</v>
      </c>
      <c r="G42" s="13" t="s">
        <v>191</v>
      </c>
      <c r="H42" s="8" t="s">
        <v>74</v>
      </c>
      <c r="I42" s="13" t="s">
        <v>75</v>
      </c>
      <c r="J42" s="14">
        <v>46147</v>
      </c>
      <c r="K42" s="14">
        <v>46151</v>
      </c>
      <c r="L42" s="15" t="s">
        <v>21</v>
      </c>
      <c r="M42" s="13"/>
      <c r="N42" s="16" t="s">
        <v>853</v>
      </c>
    </row>
    <row r="43" spans="1:14" ht="25.5" x14ac:dyDescent="0.25">
      <c r="A43" s="8" t="s">
        <v>842</v>
      </c>
      <c r="B43" s="13"/>
      <c r="C43" s="13" t="s">
        <v>142</v>
      </c>
      <c r="D43" s="8">
        <v>58</v>
      </c>
      <c r="E43" s="13" t="s">
        <v>854</v>
      </c>
      <c r="F43" s="8" t="s">
        <v>111</v>
      </c>
      <c r="G43" s="13"/>
      <c r="H43" s="8" t="s">
        <v>74</v>
      </c>
      <c r="I43" s="13" t="s">
        <v>75</v>
      </c>
      <c r="J43" s="14">
        <v>46147</v>
      </c>
      <c r="K43" s="14">
        <v>46151</v>
      </c>
      <c r="L43" s="15" t="s">
        <v>21</v>
      </c>
      <c r="M43" s="13"/>
      <c r="N43" s="16" t="s">
        <v>855</v>
      </c>
    </row>
    <row r="44" spans="1:14" ht="25.5" x14ac:dyDescent="0.25">
      <c r="A44" s="8" t="s">
        <v>842</v>
      </c>
      <c r="B44" s="13"/>
      <c r="C44" s="13" t="s">
        <v>142</v>
      </c>
      <c r="D44" s="8">
        <v>59</v>
      </c>
      <c r="E44" s="13" t="s">
        <v>856</v>
      </c>
      <c r="F44" s="8" t="s">
        <v>111</v>
      </c>
      <c r="G44" s="13" t="s">
        <v>216</v>
      </c>
      <c r="H44" s="8" t="s">
        <v>87</v>
      </c>
      <c r="I44" s="13" t="s">
        <v>75</v>
      </c>
      <c r="J44" s="14">
        <v>46147</v>
      </c>
      <c r="K44" s="14">
        <v>46151</v>
      </c>
      <c r="L44" s="15" t="s">
        <v>21</v>
      </c>
      <c r="M44" s="13"/>
      <c r="N44" s="16" t="s">
        <v>857</v>
      </c>
    </row>
    <row r="45" spans="1:14" ht="25.5" x14ac:dyDescent="0.25">
      <c r="A45" s="8" t="s">
        <v>842</v>
      </c>
      <c r="B45" s="13"/>
      <c r="C45" s="13" t="s">
        <v>142</v>
      </c>
      <c r="D45" s="8">
        <v>60</v>
      </c>
      <c r="E45" s="13" t="s">
        <v>858</v>
      </c>
      <c r="F45" s="8" t="s">
        <v>111</v>
      </c>
      <c r="G45" s="13" t="s">
        <v>216</v>
      </c>
      <c r="H45" s="8" t="s">
        <v>87</v>
      </c>
      <c r="I45" s="13" t="s">
        <v>75</v>
      </c>
      <c r="J45" s="14">
        <v>46147</v>
      </c>
      <c r="K45" s="14">
        <v>46151</v>
      </c>
      <c r="L45" s="15" t="s">
        <v>21</v>
      </c>
      <c r="M45" s="13"/>
      <c r="N45" s="16" t="s">
        <v>859</v>
      </c>
    </row>
    <row r="46" spans="1:14" ht="25.5" x14ac:dyDescent="0.25">
      <c r="A46" s="8" t="s">
        <v>842</v>
      </c>
      <c r="B46" s="13"/>
      <c r="C46" s="13" t="s">
        <v>142</v>
      </c>
      <c r="D46" s="8">
        <v>61</v>
      </c>
      <c r="E46" s="13" t="s">
        <v>860</v>
      </c>
      <c r="F46" s="8" t="s">
        <v>111</v>
      </c>
      <c r="G46" s="13" t="s">
        <v>207</v>
      </c>
      <c r="H46" s="8" t="s">
        <v>74</v>
      </c>
      <c r="I46" s="13" t="s">
        <v>75</v>
      </c>
      <c r="J46" s="14">
        <v>46147</v>
      </c>
      <c r="K46" s="14">
        <v>46151</v>
      </c>
      <c r="L46" s="15" t="s">
        <v>21</v>
      </c>
      <c r="M46" s="13"/>
      <c r="N46" s="16" t="s">
        <v>861</v>
      </c>
    </row>
    <row r="47" spans="1:14" ht="25.5" x14ac:dyDescent="0.25">
      <c r="A47" s="8" t="s">
        <v>842</v>
      </c>
      <c r="B47" s="13"/>
      <c r="C47" s="13" t="s">
        <v>142</v>
      </c>
      <c r="D47" s="8">
        <v>62</v>
      </c>
      <c r="E47" s="13" t="s">
        <v>862</v>
      </c>
      <c r="F47" s="8" t="s">
        <v>92</v>
      </c>
      <c r="G47" s="13" t="s">
        <v>207</v>
      </c>
      <c r="H47" s="8" t="s">
        <v>74</v>
      </c>
      <c r="I47" s="13" t="s">
        <v>75</v>
      </c>
      <c r="J47" s="14">
        <v>46147</v>
      </c>
      <c r="K47" s="14">
        <v>46151</v>
      </c>
      <c r="L47" s="15" t="s">
        <v>21</v>
      </c>
      <c r="M47" s="13"/>
      <c r="N47" s="16" t="s">
        <v>863</v>
      </c>
    </row>
    <row r="48" spans="1:14" ht="25.5" x14ac:dyDescent="0.25">
      <c r="A48" s="8" t="s">
        <v>842</v>
      </c>
      <c r="B48" s="13"/>
      <c r="C48" s="13" t="s">
        <v>595</v>
      </c>
      <c r="D48" s="8">
        <v>63</v>
      </c>
      <c r="E48" s="13" t="s">
        <v>864</v>
      </c>
      <c r="F48" s="8" t="s">
        <v>72</v>
      </c>
      <c r="G48" s="13"/>
      <c r="H48" s="8"/>
      <c r="I48" s="13" t="s">
        <v>75</v>
      </c>
      <c r="J48" s="14">
        <v>46148</v>
      </c>
      <c r="K48" s="14">
        <v>46151</v>
      </c>
      <c r="L48" s="15" t="s">
        <v>21</v>
      </c>
      <c r="M48" s="13"/>
      <c r="N48" s="16" t="s">
        <v>865</v>
      </c>
    </row>
    <row r="49" spans="1:14" ht="25.5" x14ac:dyDescent="0.25">
      <c r="A49" s="8" t="s">
        <v>842</v>
      </c>
      <c r="B49" s="13"/>
      <c r="C49" s="13" t="s">
        <v>595</v>
      </c>
      <c r="D49" s="8">
        <v>64</v>
      </c>
      <c r="E49" s="13" t="s">
        <v>866</v>
      </c>
      <c r="F49" s="8" t="s">
        <v>72</v>
      </c>
      <c r="G49" s="13"/>
      <c r="H49" s="8"/>
      <c r="I49" s="13" t="s">
        <v>75</v>
      </c>
      <c r="J49" s="14">
        <v>46148</v>
      </c>
      <c r="K49" s="14">
        <v>46151</v>
      </c>
      <c r="L49" s="15" t="s">
        <v>21</v>
      </c>
      <c r="M49" s="13"/>
      <c r="N49" s="16" t="s">
        <v>867</v>
      </c>
    </row>
    <row r="50" spans="1:14" ht="25.5" x14ac:dyDescent="0.25">
      <c r="A50" s="8" t="s">
        <v>842</v>
      </c>
      <c r="B50" s="13"/>
      <c r="C50" s="13" t="s">
        <v>595</v>
      </c>
      <c r="D50" s="8">
        <v>65</v>
      </c>
      <c r="E50" s="13" t="s">
        <v>868</v>
      </c>
      <c r="F50" s="8" t="s">
        <v>72</v>
      </c>
      <c r="G50" s="13"/>
      <c r="H50" s="8"/>
      <c r="I50" s="13" t="s">
        <v>75</v>
      </c>
      <c r="J50" s="14">
        <v>46148</v>
      </c>
      <c r="K50" s="14">
        <v>46151</v>
      </c>
      <c r="L50" s="15" t="s">
        <v>21</v>
      </c>
      <c r="M50" s="13"/>
      <c r="N50" s="16" t="s">
        <v>869</v>
      </c>
    </row>
    <row r="51" spans="1:14" ht="25.5" x14ac:dyDescent="0.25">
      <c r="A51" s="8" t="s">
        <v>842</v>
      </c>
      <c r="B51" s="13"/>
      <c r="C51" s="13" t="s">
        <v>595</v>
      </c>
      <c r="D51" s="8">
        <v>66</v>
      </c>
      <c r="E51" s="13" t="s">
        <v>870</v>
      </c>
      <c r="F51" s="8" t="s">
        <v>72</v>
      </c>
      <c r="G51" s="13"/>
      <c r="H51" s="8"/>
      <c r="I51" s="13" t="s">
        <v>75</v>
      </c>
      <c r="J51" s="14">
        <v>46148</v>
      </c>
      <c r="K51" s="14">
        <v>46151</v>
      </c>
      <c r="L51" s="15" t="s">
        <v>21</v>
      </c>
      <c r="M51" s="13"/>
      <c r="N51" s="16" t="s">
        <v>871</v>
      </c>
    </row>
    <row r="52" spans="1:14" ht="25.5" x14ac:dyDescent="0.25">
      <c r="A52" s="8" t="s">
        <v>842</v>
      </c>
      <c r="B52" s="13"/>
      <c r="C52" s="13" t="s">
        <v>595</v>
      </c>
      <c r="D52" s="8">
        <v>67</v>
      </c>
      <c r="E52" s="13" t="s">
        <v>872</v>
      </c>
      <c r="F52" s="8" t="s">
        <v>72</v>
      </c>
      <c r="G52" s="13"/>
      <c r="H52" s="8"/>
      <c r="I52" s="13" t="s">
        <v>75</v>
      </c>
      <c r="J52" s="14">
        <v>46148</v>
      </c>
      <c r="K52" s="14">
        <v>46151</v>
      </c>
      <c r="L52" s="15" t="s">
        <v>21</v>
      </c>
      <c r="M52" s="13"/>
      <c r="N52" s="16" t="s">
        <v>873</v>
      </c>
    </row>
    <row r="53" spans="1:14" ht="25.5" x14ac:dyDescent="0.25">
      <c r="A53" s="8" t="s">
        <v>48</v>
      </c>
      <c r="B53" s="13" t="s">
        <v>46</v>
      </c>
      <c r="C53" s="13" t="s">
        <v>142</v>
      </c>
      <c r="D53" s="8">
        <v>68</v>
      </c>
      <c r="E53" s="13" t="s">
        <v>143</v>
      </c>
      <c r="F53" s="8" t="s">
        <v>92</v>
      </c>
      <c r="G53" s="13"/>
      <c r="H53" s="8" t="s">
        <v>87</v>
      </c>
      <c r="I53" s="13" t="s">
        <v>75</v>
      </c>
      <c r="J53" s="14">
        <v>46149</v>
      </c>
      <c r="K53" s="14">
        <v>46151</v>
      </c>
      <c r="L53" s="15" t="s">
        <v>21</v>
      </c>
      <c r="M53" s="13" t="s">
        <v>76</v>
      </c>
      <c r="N53" s="16" t="s">
        <v>144</v>
      </c>
    </row>
    <row r="54" spans="1:14" ht="25.5" x14ac:dyDescent="0.25">
      <c r="A54" s="8" t="s">
        <v>48</v>
      </c>
      <c r="B54" s="13" t="s">
        <v>46</v>
      </c>
      <c r="C54" s="13" t="s">
        <v>142</v>
      </c>
      <c r="D54" s="8">
        <v>69</v>
      </c>
      <c r="E54" s="13" t="s">
        <v>145</v>
      </c>
      <c r="F54" s="8" t="s">
        <v>92</v>
      </c>
      <c r="G54" s="13" t="s">
        <v>79</v>
      </c>
      <c r="H54" s="8" t="s">
        <v>112</v>
      </c>
      <c r="I54" s="13" t="s">
        <v>75</v>
      </c>
      <c r="J54" s="14">
        <v>46149</v>
      </c>
      <c r="K54" s="14">
        <v>46151</v>
      </c>
      <c r="L54" s="15" t="s">
        <v>21</v>
      </c>
      <c r="M54" s="13" t="s">
        <v>76</v>
      </c>
      <c r="N54" s="16" t="s">
        <v>146</v>
      </c>
    </row>
    <row r="55" spans="1:14" ht="25.5" x14ac:dyDescent="0.25">
      <c r="A55" s="8" t="s">
        <v>48</v>
      </c>
      <c r="B55" s="13" t="s">
        <v>46</v>
      </c>
      <c r="C55" s="13" t="s">
        <v>142</v>
      </c>
      <c r="D55" s="8">
        <v>70</v>
      </c>
      <c r="E55" s="13" t="s">
        <v>147</v>
      </c>
      <c r="F55" s="8" t="s">
        <v>92</v>
      </c>
      <c r="G55" s="13"/>
      <c r="H55" s="8"/>
      <c r="I55" s="13" t="s">
        <v>75</v>
      </c>
      <c r="J55" s="14">
        <v>46149</v>
      </c>
      <c r="K55" s="14">
        <v>46151</v>
      </c>
      <c r="L55" s="15" t="s">
        <v>21</v>
      </c>
      <c r="M55" s="13" t="s">
        <v>76</v>
      </c>
      <c r="N55" s="16" t="s">
        <v>148</v>
      </c>
    </row>
    <row r="56" spans="1:14" ht="25.5" x14ac:dyDescent="0.25">
      <c r="A56" s="8" t="s">
        <v>48</v>
      </c>
      <c r="B56" s="13" t="s">
        <v>46</v>
      </c>
      <c r="C56" s="13" t="s">
        <v>142</v>
      </c>
      <c r="D56" s="8">
        <v>71</v>
      </c>
      <c r="E56" s="13" t="s">
        <v>147</v>
      </c>
      <c r="F56" s="8" t="s">
        <v>92</v>
      </c>
      <c r="G56" s="13"/>
      <c r="H56" s="8"/>
      <c r="I56" s="13" t="s">
        <v>75</v>
      </c>
      <c r="J56" s="14">
        <v>46149</v>
      </c>
      <c r="K56" s="14">
        <v>46151</v>
      </c>
      <c r="L56" s="15" t="s">
        <v>21</v>
      </c>
      <c r="M56" s="13" t="s">
        <v>76</v>
      </c>
      <c r="N56" s="16" t="s">
        <v>149</v>
      </c>
    </row>
    <row r="57" spans="1:14" ht="25.5" x14ac:dyDescent="0.25">
      <c r="A57" s="8" t="s">
        <v>48</v>
      </c>
      <c r="B57" s="13" t="s">
        <v>46</v>
      </c>
      <c r="C57" s="13" t="s">
        <v>142</v>
      </c>
      <c r="D57" s="8">
        <v>72</v>
      </c>
      <c r="E57" s="13" t="s">
        <v>147</v>
      </c>
      <c r="F57" s="8" t="s">
        <v>92</v>
      </c>
      <c r="G57" s="13"/>
      <c r="H57" s="8"/>
      <c r="I57" s="13" t="s">
        <v>75</v>
      </c>
      <c r="J57" s="14">
        <v>46149</v>
      </c>
      <c r="K57" s="14">
        <v>46151</v>
      </c>
      <c r="L57" s="15" t="s">
        <v>21</v>
      </c>
      <c r="M57" s="13" t="s">
        <v>76</v>
      </c>
      <c r="N57" s="16" t="s">
        <v>150</v>
      </c>
    </row>
    <row r="58" spans="1:14" ht="24" x14ac:dyDescent="0.25">
      <c r="A58" s="8" t="s">
        <v>842</v>
      </c>
      <c r="B58" s="13"/>
      <c r="C58" s="13" t="s">
        <v>595</v>
      </c>
      <c r="D58" s="8">
        <v>73</v>
      </c>
      <c r="E58" s="13" t="s">
        <v>147</v>
      </c>
      <c r="F58" s="8" t="s">
        <v>72</v>
      </c>
      <c r="G58" s="13"/>
      <c r="H58" s="8"/>
      <c r="I58" s="13" t="s">
        <v>75</v>
      </c>
      <c r="J58" s="14">
        <v>46149</v>
      </c>
      <c r="K58" s="14">
        <v>46149</v>
      </c>
      <c r="L58" s="15" t="s">
        <v>21</v>
      </c>
      <c r="M58" s="13"/>
      <c r="N58" s="16" t="s">
        <v>874</v>
      </c>
    </row>
    <row r="59" spans="1:14" ht="24" x14ac:dyDescent="0.25">
      <c r="A59" s="8" t="s">
        <v>842</v>
      </c>
      <c r="B59" s="13"/>
      <c r="C59" s="13" t="s">
        <v>595</v>
      </c>
      <c r="D59" s="8">
        <v>74</v>
      </c>
      <c r="E59" s="13" t="s">
        <v>147</v>
      </c>
      <c r="F59" s="8" t="s">
        <v>92</v>
      </c>
      <c r="G59" s="13"/>
      <c r="H59" s="8"/>
      <c r="I59" s="13" t="s">
        <v>75</v>
      </c>
      <c r="J59" s="14">
        <v>46149</v>
      </c>
      <c r="K59" s="14">
        <v>46149</v>
      </c>
      <c r="L59" s="17" t="s">
        <v>23</v>
      </c>
      <c r="M59" s="13" t="s">
        <v>200</v>
      </c>
      <c r="N59" s="16" t="s">
        <v>875</v>
      </c>
    </row>
    <row r="60" spans="1:14" ht="24" x14ac:dyDescent="0.25">
      <c r="A60" s="8" t="s">
        <v>842</v>
      </c>
      <c r="B60" s="13"/>
      <c r="C60" s="13" t="s">
        <v>595</v>
      </c>
      <c r="D60" s="8">
        <v>75</v>
      </c>
      <c r="E60" s="13" t="s">
        <v>147</v>
      </c>
      <c r="F60" s="8" t="s">
        <v>92</v>
      </c>
      <c r="G60" s="13"/>
      <c r="H60" s="8"/>
      <c r="I60" s="13" t="s">
        <v>75</v>
      </c>
      <c r="J60" s="14">
        <v>46149</v>
      </c>
      <c r="K60" s="14">
        <v>46149</v>
      </c>
      <c r="L60" s="15" t="s">
        <v>21</v>
      </c>
      <c r="M60" s="13"/>
      <c r="N60" s="16" t="s">
        <v>876</v>
      </c>
    </row>
    <row r="61" spans="1:14" ht="24" x14ac:dyDescent="0.25">
      <c r="A61" s="8" t="s">
        <v>842</v>
      </c>
      <c r="B61" s="13"/>
      <c r="C61" s="13" t="s">
        <v>595</v>
      </c>
      <c r="D61" s="8">
        <v>76</v>
      </c>
      <c r="E61" s="13" t="s">
        <v>877</v>
      </c>
      <c r="F61" s="8" t="s">
        <v>92</v>
      </c>
      <c r="G61" s="13"/>
      <c r="H61" s="8"/>
      <c r="I61" s="13" t="s">
        <v>75</v>
      </c>
      <c r="J61" s="14">
        <v>46149</v>
      </c>
      <c r="K61" s="14">
        <v>46149</v>
      </c>
      <c r="L61" s="15" t="s">
        <v>21</v>
      </c>
      <c r="M61" s="13"/>
      <c r="N61" s="16" t="s">
        <v>878</v>
      </c>
    </row>
    <row r="62" spans="1:14" ht="24" x14ac:dyDescent="0.25">
      <c r="A62" s="8" t="s">
        <v>842</v>
      </c>
      <c r="B62" s="13"/>
      <c r="C62" s="13" t="s">
        <v>595</v>
      </c>
      <c r="D62" s="8">
        <v>77</v>
      </c>
      <c r="E62" s="13" t="s">
        <v>879</v>
      </c>
      <c r="F62" s="8" t="s">
        <v>92</v>
      </c>
      <c r="G62" s="13"/>
      <c r="H62" s="8"/>
      <c r="I62" s="13" t="s">
        <v>75</v>
      </c>
      <c r="J62" s="14">
        <v>46149</v>
      </c>
      <c r="K62" s="14">
        <v>46149</v>
      </c>
      <c r="L62" s="15" t="s">
        <v>21</v>
      </c>
      <c r="M62" s="13"/>
      <c r="N62" s="16" t="s">
        <v>880</v>
      </c>
    </row>
    <row r="63" spans="1:14" ht="25.5" x14ac:dyDescent="0.25">
      <c r="A63" s="8" t="s">
        <v>48</v>
      </c>
      <c r="B63" s="13" t="s">
        <v>46</v>
      </c>
      <c r="C63" s="13" t="s">
        <v>142</v>
      </c>
      <c r="D63" s="8">
        <v>78</v>
      </c>
      <c r="E63" s="13" t="s">
        <v>151</v>
      </c>
      <c r="F63" s="8" t="s">
        <v>92</v>
      </c>
      <c r="G63" s="13"/>
      <c r="H63" s="8"/>
      <c r="I63" s="13" t="s">
        <v>75</v>
      </c>
      <c r="J63" s="14">
        <v>46149</v>
      </c>
      <c r="K63" s="14">
        <v>46151</v>
      </c>
      <c r="L63" s="15" t="s">
        <v>21</v>
      </c>
      <c r="M63" s="13" t="s">
        <v>76</v>
      </c>
      <c r="N63" s="16" t="s">
        <v>152</v>
      </c>
    </row>
    <row r="64" spans="1:14" ht="25.5" x14ac:dyDescent="0.25">
      <c r="A64" s="8" t="s">
        <v>48</v>
      </c>
      <c r="B64" s="13" t="s">
        <v>46</v>
      </c>
      <c r="C64" s="13" t="s">
        <v>142</v>
      </c>
      <c r="D64" s="8">
        <v>79</v>
      </c>
      <c r="E64" s="13" t="s">
        <v>153</v>
      </c>
      <c r="F64" s="8" t="s">
        <v>92</v>
      </c>
      <c r="G64" s="13"/>
      <c r="H64" s="8"/>
      <c r="I64" s="13" t="s">
        <v>75</v>
      </c>
      <c r="J64" s="14">
        <v>46149</v>
      </c>
      <c r="K64" s="14">
        <v>46151</v>
      </c>
      <c r="L64" s="15" t="s">
        <v>21</v>
      </c>
      <c r="M64" s="13" t="s">
        <v>76</v>
      </c>
      <c r="N64" s="16" t="s">
        <v>154</v>
      </c>
    </row>
    <row r="65" spans="1:14" ht="25.5" x14ac:dyDescent="0.25">
      <c r="A65" s="8" t="s">
        <v>48</v>
      </c>
      <c r="B65" s="13" t="s">
        <v>46</v>
      </c>
      <c r="C65" s="13" t="s">
        <v>142</v>
      </c>
      <c r="D65" s="8">
        <v>80</v>
      </c>
      <c r="E65" s="13" t="s">
        <v>155</v>
      </c>
      <c r="F65" s="8" t="s">
        <v>92</v>
      </c>
      <c r="G65" s="13"/>
      <c r="H65" s="8"/>
      <c r="I65" s="13" t="s">
        <v>75</v>
      </c>
      <c r="J65" s="14">
        <v>46149</v>
      </c>
      <c r="K65" s="14">
        <v>46151</v>
      </c>
      <c r="L65" s="15" t="s">
        <v>21</v>
      </c>
      <c r="M65" s="13" t="s">
        <v>76</v>
      </c>
      <c r="N65" s="16" t="s">
        <v>156</v>
      </c>
    </row>
    <row r="66" spans="1:14" ht="24" x14ac:dyDescent="0.25">
      <c r="A66" s="8" t="s">
        <v>842</v>
      </c>
      <c r="B66" s="13"/>
      <c r="C66" s="13" t="s">
        <v>595</v>
      </c>
      <c r="D66" s="8">
        <v>81</v>
      </c>
      <c r="E66" s="13" t="s">
        <v>155</v>
      </c>
      <c r="F66" s="8" t="s">
        <v>92</v>
      </c>
      <c r="G66" s="13"/>
      <c r="H66" s="8"/>
      <c r="I66" s="13" t="s">
        <v>75</v>
      </c>
      <c r="J66" s="14">
        <v>46149</v>
      </c>
      <c r="K66" s="14">
        <v>46149</v>
      </c>
      <c r="L66" s="15" t="s">
        <v>21</v>
      </c>
      <c r="M66" s="13"/>
      <c r="N66" s="16" t="s">
        <v>881</v>
      </c>
    </row>
    <row r="67" spans="1:14" ht="25.5" x14ac:dyDescent="0.25">
      <c r="A67" s="8" t="s">
        <v>48</v>
      </c>
      <c r="B67" s="13" t="s">
        <v>46</v>
      </c>
      <c r="C67" s="13" t="s">
        <v>142</v>
      </c>
      <c r="D67" s="8">
        <v>82</v>
      </c>
      <c r="E67" s="13" t="s">
        <v>157</v>
      </c>
      <c r="F67" s="8" t="s">
        <v>92</v>
      </c>
      <c r="G67" s="13"/>
      <c r="H67" s="8"/>
      <c r="I67" s="13" t="s">
        <v>75</v>
      </c>
      <c r="J67" s="14">
        <v>46149</v>
      </c>
      <c r="K67" s="14">
        <v>46151</v>
      </c>
      <c r="L67" s="15" t="s">
        <v>21</v>
      </c>
      <c r="M67" s="13" t="s">
        <v>76</v>
      </c>
      <c r="N67" s="16" t="s">
        <v>158</v>
      </c>
    </row>
    <row r="68" spans="1:14" ht="25.5" x14ac:dyDescent="0.25">
      <c r="A68" s="8" t="s">
        <v>48</v>
      </c>
      <c r="B68" s="13" t="s">
        <v>46</v>
      </c>
      <c r="C68" s="13" t="s">
        <v>142</v>
      </c>
      <c r="D68" s="8">
        <v>83</v>
      </c>
      <c r="E68" s="13" t="s">
        <v>159</v>
      </c>
      <c r="F68" s="8" t="s">
        <v>92</v>
      </c>
      <c r="G68" s="13"/>
      <c r="H68" s="8"/>
      <c r="I68" s="13" t="s">
        <v>75</v>
      </c>
      <c r="J68" s="14">
        <v>46149</v>
      </c>
      <c r="K68" s="14">
        <v>46151</v>
      </c>
      <c r="L68" s="15" t="s">
        <v>21</v>
      </c>
      <c r="M68" s="13" t="s">
        <v>76</v>
      </c>
      <c r="N68" s="16" t="s">
        <v>160</v>
      </c>
    </row>
    <row r="69" spans="1:14" ht="25.5" x14ac:dyDescent="0.25">
      <c r="A69" s="8" t="s">
        <v>48</v>
      </c>
      <c r="B69" s="13" t="s">
        <v>46</v>
      </c>
      <c r="C69" s="13" t="s">
        <v>142</v>
      </c>
      <c r="D69" s="8">
        <v>84</v>
      </c>
      <c r="E69" s="13" t="s">
        <v>159</v>
      </c>
      <c r="F69" s="8" t="s">
        <v>92</v>
      </c>
      <c r="G69" s="13"/>
      <c r="H69" s="8" t="s">
        <v>74</v>
      </c>
      <c r="I69" s="13" t="s">
        <v>75</v>
      </c>
      <c r="J69" s="14">
        <v>46149</v>
      </c>
      <c r="K69" s="14">
        <v>46151</v>
      </c>
      <c r="L69" s="15" t="s">
        <v>21</v>
      </c>
      <c r="M69" s="13" t="s">
        <v>76</v>
      </c>
      <c r="N69" s="16" t="s">
        <v>161</v>
      </c>
    </row>
    <row r="70" spans="1:14" ht="25.5" x14ac:dyDescent="0.25">
      <c r="A70" s="8" t="s">
        <v>48</v>
      </c>
      <c r="B70" s="13" t="s">
        <v>46</v>
      </c>
      <c r="C70" s="13" t="s">
        <v>142</v>
      </c>
      <c r="D70" s="8">
        <v>85</v>
      </c>
      <c r="E70" s="13" t="s">
        <v>162</v>
      </c>
      <c r="F70" s="8" t="s">
        <v>92</v>
      </c>
      <c r="G70" s="13"/>
      <c r="H70" s="8"/>
      <c r="I70" s="13" t="s">
        <v>75</v>
      </c>
      <c r="J70" s="14">
        <v>46149</v>
      </c>
      <c r="K70" s="14">
        <v>46151</v>
      </c>
      <c r="L70" s="15" t="s">
        <v>21</v>
      </c>
      <c r="M70" s="13" t="s">
        <v>76</v>
      </c>
      <c r="N70" s="16" t="s">
        <v>163</v>
      </c>
    </row>
    <row r="71" spans="1:14" ht="25.5" x14ac:dyDescent="0.25">
      <c r="A71" s="8" t="s">
        <v>48</v>
      </c>
      <c r="B71" s="13" t="s">
        <v>46</v>
      </c>
      <c r="C71" s="13" t="s">
        <v>142</v>
      </c>
      <c r="D71" s="8">
        <v>86</v>
      </c>
      <c r="E71" s="13" t="s">
        <v>164</v>
      </c>
      <c r="F71" s="8" t="s">
        <v>92</v>
      </c>
      <c r="G71" s="13"/>
      <c r="H71" s="8"/>
      <c r="I71" s="13" t="s">
        <v>75</v>
      </c>
      <c r="J71" s="14">
        <v>46149</v>
      </c>
      <c r="K71" s="14">
        <v>46151</v>
      </c>
      <c r="L71" s="15" t="s">
        <v>21</v>
      </c>
      <c r="M71" s="13" t="s">
        <v>76</v>
      </c>
      <c r="N71" s="16" t="s">
        <v>165</v>
      </c>
    </row>
    <row r="72" spans="1:14" ht="25.5" x14ac:dyDescent="0.25">
      <c r="A72" s="8" t="s">
        <v>48</v>
      </c>
      <c r="B72" s="13" t="s">
        <v>46</v>
      </c>
      <c r="C72" s="13" t="s">
        <v>142</v>
      </c>
      <c r="D72" s="8">
        <v>87</v>
      </c>
      <c r="E72" s="13" t="s">
        <v>164</v>
      </c>
      <c r="F72" s="8" t="s">
        <v>92</v>
      </c>
      <c r="G72" s="13"/>
      <c r="H72" s="8"/>
      <c r="I72" s="13" t="s">
        <v>75</v>
      </c>
      <c r="J72" s="14">
        <v>46149</v>
      </c>
      <c r="K72" s="14">
        <v>46151</v>
      </c>
      <c r="L72" s="15" t="s">
        <v>21</v>
      </c>
      <c r="M72" s="13" t="s">
        <v>76</v>
      </c>
      <c r="N72" s="16" t="s">
        <v>166</v>
      </c>
    </row>
    <row r="73" spans="1:14" ht="25.5" x14ac:dyDescent="0.25">
      <c r="A73" s="8" t="s">
        <v>48</v>
      </c>
      <c r="B73" s="13" t="s">
        <v>46</v>
      </c>
      <c r="C73" s="13" t="s">
        <v>142</v>
      </c>
      <c r="D73" s="8">
        <v>88</v>
      </c>
      <c r="E73" s="13" t="s">
        <v>164</v>
      </c>
      <c r="F73" s="8" t="s">
        <v>92</v>
      </c>
      <c r="G73" s="13"/>
      <c r="H73" s="8"/>
      <c r="I73" s="13" t="s">
        <v>75</v>
      </c>
      <c r="J73" s="14">
        <v>46149</v>
      </c>
      <c r="K73" s="14">
        <v>46151</v>
      </c>
      <c r="L73" s="15" t="s">
        <v>21</v>
      </c>
      <c r="M73" s="13" t="s">
        <v>76</v>
      </c>
      <c r="N73" s="16" t="s">
        <v>167</v>
      </c>
    </row>
    <row r="74" spans="1:14" ht="25.5" x14ac:dyDescent="0.25">
      <c r="A74" s="8" t="s">
        <v>48</v>
      </c>
      <c r="B74" s="13" t="s">
        <v>46</v>
      </c>
      <c r="C74" s="13" t="s">
        <v>142</v>
      </c>
      <c r="D74" s="8">
        <v>89</v>
      </c>
      <c r="E74" s="13" t="s">
        <v>168</v>
      </c>
      <c r="F74" s="8" t="s">
        <v>92</v>
      </c>
      <c r="G74" s="13"/>
      <c r="H74" s="8" t="s">
        <v>87</v>
      </c>
      <c r="I74" s="13" t="s">
        <v>75</v>
      </c>
      <c r="J74" s="14">
        <v>46149</v>
      </c>
      <c r="K74" s="14">
        <v>46151</v>
      </c>
      <c r="L74" s="15" t="s">
        <v>21</v>
      </c>
      <c r="M74" s="13" t="s">
        <v>76</v>
      </c>
      <c r="N74" s="16" t="s">
        <v>169</v>
      </c>
    </row>
    <row r="75" spans="1:14" ht="24" x14ac:dyDescent="0.25">
      <c r="A75" s="8" t="s">
        <v>48</v>
      </c>
      <c r="B75" s="13" t="s">
        <v>46</v>
      </c>
      <c r="C75" s="13" t="s">
        <v>142</v>
      </c>
      <c r="D75" s="8">
        <v>90</v>
      </c>
      <c r="E75" s="13" t="s">
        <v>170</v>
      </c>
      <c r="F75" s="8" t="s">
        <v>92</v>
      </c>
      <c r="G75" s="13"/>
      <c r="H75" s="8" t="s">
        <v>87</v>
      </c>
      <c r="I75" s="13" t="s">
        <v>75</v>
      </c>
      <c r="J75" s="14">
        <v>46149</v>
      </c>
      <c r="K75" s="14">
        <v>46151</v>
      </c>
      <c r="L75" s="15" t="s">
        <v>21</v>
      </c>
      <c r="M75" s="13"/>
      <c r="N75" s="16" t="s">
        <v>171</v>
      </c>
    </row>
    <row r="76" spans="1:14" ht="24" x14ac:dyDescent="0.25">
      <c r="A76" s="8" t="s">
        <v>48</v>
      </c>
      <c r="B76" s="13" t="s">
        <v>46</v>
      </c>
      <c r="C76" s="13" t="s">
        <v>142</v>
      </c>
      <c r="D76" s="8">
        <v>91</v>
      </c>
      <c r="E76" s="13" t="s">
        <v>172</v>
      </c>
      <c r="F76" s="8" t="s">
        <v>92</v>
      </c>
      <c r="G76" s="13"/>
      <c r="H76" s="8"/>
      <c r="I76" s="13" t="s">
        <v>75</v>
      </c>
      <c r="J76" s="14">
        <v>46149</v>
      </c>
      <c r="K76" s="14">
        <v>46151</v>
      </c>
      <c r="L76" s="15" t="s">
        <v>21</v>
      </c>
      <c r="M76" s="13"/>
      <c r="N76" s="16" t="s">
        <v>173</v>
      </c>
    </row>
    <row r="77" spans="1:14" ht="24" x14ac:dyDescent="0.25">
      <c r="A77" s="8" t="s">
        <v>48</v>
      </c>
      <c r="B77" s="13" t="s">
        <v>46</v>
      </c>
      <c r="C77" s="13" t="s">
        <v>142</v>
      </c>
      <c r="D77" s="8">
        <v>92</v>
      </c>
      <c r="E77" s="13" t="s">
        <v>174</v>
      </c>
      <c r="F77" s="8" t="s">
        <v>92</v>
      </c>
      <c r="G77" s="13"/>
      <c r="H77" s="8"/>
      <c r="I77" s="13" t="s">
        <v>75</v>
      </c>
      <c r="J77" s="14">
        <v>46149</v>
      </c>
      <c r="K77" s="14">
        <v>46151</v>
      </c>
      <c r="L77" s="15" t="s">
        <v>21</v>
      </c>
      <c r="M77" s="13"/>
      <c r="N77" s="16" t="s">
        <v>175</v>
      </c>
    </row>
    <row r="78" spans="1:14" ht="24" x14ac:dyDescent="0.25">
      <c r="A78" s="8" t="s">
        <v>48</v>
      </c>
      <c r="B78" s="13" t="s">
        <v>46</v>
      </c>
      <c r="C78" s="13" t="s">
        <v>142</v>
      </c>
      <c r="D78" s="8">
        <v>93</v>
      </c>
      <c r="E78" s="13" t="s">
        <v>174</v>
      </c>
      <c r="F78" s="8" t="s">
        <v>92</v>
      </c>
      <c r="G78" s="13" t="s">
        <v>176</v>
      </c>
      <c r="H78" s="8" t="s">
        <v>74</v>
      </c>
      <c r="I78" s="13" t="s">
        <v>75</v>
      </c>
      <c r="J78" s="14">
        <v>46149</v>
      </c>
      <c r="K78" s="14">
        <v>46151</v>
      </c>
      <c r="L78" s="15" t="s">
        <v>21</v>
      </c>
      <c r="M78" s="13"/>
      <c r="N78" s="16" t="s">
        <v>177</v>
      </c>
    </row>
    <row r="79" spans="1:14" ht="24" x14ac:dyDescent="0.25">
      <c r="A79" s="8" t="s">
        <v>48</v>
      </c>
      <c r="B79" s="13" t="s">
        <v>46</v>
      </c>
      <c r="C79" s="13" t="s">
        <v>142</v>
      </c>
      <c r="D79" s="8">
        <v>94</v>
      </c>
      <c r="E79" s="13" t="s">
        <v>178</v>
      </c>
      <c r="F79" s="8" t="s">
        <v>92</v>
      </c>
      <c r="G79" s="13"/>
      <c r="H79" s="8"/>
      <c r="I79" s="13" t="s">
        <v>75</v>
      </c>
      <c r="J79" s="14">
        <v>46149</v>
      </c>
      <c r="K79" s="14">
        <v>46151</v>
      </c>
      <c r="L79" s="15" t="s">
        <v>21</v>
      </c>
      <c r="M79" s="13"/>
      <c r="N79" s="16" t="s">
        <v>179</v>
      </c>
    </row>
    <row r="80" spans="1:14" ht="24" x14ac:dyDescent="0.25">
      <c r="A80" s="8" t="s">
        <v>48</v>
      </c>
      <c r="B80" s="13" t="s">
        <v>46</v>
      </c>
      <c r="C80" s="13" t="s">
        <v>142</v>
      </c>
      <c r="D80" s="8">
        <v>95</v>
      </c>
      <c r="E80" s="13" t="s">
        <v>180</v>
      </c>
      <c r="F80" s="8" t="s">
        <v>92</v>
      </c>
      <c r="G80" s="13"/>
      <c r="H80" s="8"/>
      <c r="I80" s="13" t="s">
        <v>75</v>
      </c>
      <c r="J80" s="14">
        <v>46149</v>
      </c>
      <c r="K80" s="14">
        <v>46151</v>
      </c>
      <c r="L80" s="15" t="s">
        <v>21</v>
      </c>
      <c r="M80" s="13"/>
      <c r="N80" s="16" t="s">
        <v>181</v>
      </c>
    </row>
    <row r="81" spans="1:14" ht="24" x14ac:dyDescent="0.25">
      <c r="A81" s="8" t="s">
        <v>48</v>
      </c>
      <c r="B81" s="13" t="s">
        <v>46</v>
      </c>
      <c r="C81" s="13" t="s">
        <v>142</v>
      </c>
      <c r="D81" s="8">
        <v>96</v>
      </c>
      <c r="E81" s="13" t="s">
        <v>180</v>
      </c>
      <c r="F81" s="8" t="s">
        <v>92</v>
      </c>
      <c r="G81" s="13"/>
      <c r="H81" s="8"/>
      <c r="I81" s="13" t="s">
        <v>75</v>
      </c>
      <c r="J81" s="14">
        <v>46149</v>
      </c>
      <c r="K81" s="14">
        <v>46151</v>
      </c>
      <c r="L81" s="15" t="s">
        <v>21</v>
      </c>
      <c r="M81" s="13"/>
      <c r="N81" s="16" t="s">
        <v>182</v>
      </c>
    </row>
    <row r="82" spans="1:14" ht="24" x14ac:dyDescent="0.25">
      <c r="A82" s="8" t="s">
        <v>48</v>
      </c>
      <c r="B82" s="13" t="s">
        <v>46</v>
      </c>
      <c r="C82" s="13" t="s">
        <v>142</v>
      </c>
      <c r="D82" s="8">
        <v>97</v>
      </c>
      <c r="E82" s="13" t="s">
        <v>183</v>
      </c>
      <c r="F82" s="8" t="s">
        <v>92</v>
      </c>
      <c r="G82" s="13"/>
      <c r="H82" s="8"/>
      <c r="I82" s="13" t="s">
        <v>75</v>
      </c>
      <c r="J82" s="14">
        <v>46149</v>
      </c>
      <c r="K82" s="14">
        <v>46151</v>
      </c>
      <c r="L82" s="15" t="s">
        <v>21</v>
      </c>
      <c r="M82" s="13"/>
      <c r="N82" s="16" t="s">
        <v>184</v>
      </c>
    </row>
    <row r="83" spans="1:14" ht="24" x14ac:dyDescent="0.25">
      <c r="A83" s="8" t="s">
        <v>48</v>
      </c>
      <c r="B83" s="13" t="s">
        <v>46</v>
      </c>
      <c r="C83" s="13" t="s">
        <v>142</v>
      </c>
      <c r="D83" s="8">
        <v>98</v>
      </c>
      <c r="E83" s="13" t="s">
        <v>185</v>
      </c>
      <c r="F83" s="8" t="s">
        <v>92</v>
      </c>
      <c r="G83" s="13"/>
      <c r="H83" s="8" t="s">
        <v>74</v>
      </c>
      <c r="I83" s="13" t="s">
        <v>75</v>
      </c>
      <c r="J83" s="14">
        <v>46149</v>
      </c>
      <c r="K83" s="14">
        <v>46151</v>
      </c>
      <c r="L83" s="15" t="s">
        <v>21</v>
      </c>
      <c r="M83" s="13"/>
      <c r="N83" s="16" t="s">
        <v>186</v>
      </c>
    </row>
    <row r="84" spans="1:14" ht="24" x14ac:dyDescent="0.25">
      <c r="A84" s="8" t="s">
        <v>48</v>
      </c>
      <c r="B84" s="13" t="s">
        <v>46</v>
      </c>
      <c r="C84" s="13" t="s">
        <v>142</v>
      </c>
      <c r="D84" s="8">
        <v>99</v>
      </c>
      <c r="E84" s="13" t="s">
        <v>187</v>
      </c>
      <c r="F84" s="8" t="s">
        <v>92</v>
      </c>
      <c r="G84" s="13"/>
      <c r="H84" s="8"/>
      <c r="I84" s="13" t="s">
        <v>75</v>
      </c>
      <c r="J84" s="14">
        <v>46149</v>
      </c>
      <c r="K84" s="14">
        <v>46151</v>
      </c>
      <c r="L84" s="15" t="s">
        <v>21</v>
      </c>
      <c r="M84" s="13"/>
      <c r="N84" s="16" t="s">
        <v>188</v>
      </c>
    </row>
    <row r="85" spans="1:14" ht="24" x14ac:dyDescent="0.25">
      <c r="A85" s="8" t="s">
        <v>48</v>
      </c>
      <c r="B85" s="13" t="s">
        <v>46</v>
      </c>
      <c r="C85" s="13" t="s">
        <v>142</v>
      </c>
      <c r="D85" s="8">
        <v>100</v>
      </c>
      <c r="E85" s="13" t="s">
        <v>185</v>
      </c>
      <c r="F85" s="8" t="s">
        <v>72</v>
      </c>
      <c r="G85" s="13"/>
      <c r="H85" s="8" t="s">
        <v>112</v>
      </c>
      <c r="I85" s="13" t="s">
        <v>75</v>
      </c>
      <c r="J85" s="14">
        <v>46149</v>
      </c>
      <c r="K85" s="14">
        <v>46151</v>
      </c>
      <c r="L85" s="15" t="s">
        <v>21</v>
      </c>
      <c r="M85" s="13"/>
      <c r="N85" s="16" t="s">
        <v>189</v>
      </c>
    </row>
    <row r="86" spans="1:14" ht="24" x14ac:dyDescent="0.25">
      <c r="A86" s="8" t="s">
        <v>842</v>
      </c>
      <c r="B86" s="13"/>
      <c r="C86" s="13" t="s">
        <v>595</v>
      </c>
      <c r="D86" s="8">
        <v>101</v>
      </c>
      <c r="E86" s="13" t="s">
        <v>882</v>
      </c>
      <c r="F86" s="8" t="s">
        <v>72</v>
      </c>
      <c r="G86" s="13"/>
      <c r="H86" s="8"/>
      <c r="I86" s="13" t="s">
        <v>75</v>
      </c>
      <c r="J86" s="14">
        <v>46149</v>
      </c>
      <c r="K86" s="14">
        <v>46149</v>
      </c>
      <c r="L86" s="15" t="s">
        <v>21</v>
      </c>
      <c r="M86" s="13"/>
      <c r="N86" s="16" t="s">
        <v>883</v>
      </c>
    </row>
    <row r="87" spans="1:14" ht="24" x14ac:dyDescent="0.25">
      <c r="A87" s="8" t="s">
        <v>48</v>
      </c>
      <c r="B87" s="13" t="s">
        <v>46</v>
      </c>
      <c r="C87" s="13" t="s">
        <v>142</v>
      </c>
      <c r="D87" s="8">
        <v>102</v>
      </c>
      <c r="E87" s="13" t="s">
        <v>190</v>
      </c>
      <c r="F87" s="8" t="s">
        <v>92</v>
      </c>
      <c r="G87" s="13" t="s">
        <v>191</v>
      </c>
      <c r="H87" s="8" t="s">
        <v>87</v>
      </c>
      <c r="I87" s="13" t="s">
        <v>75</v>
      </c>
      <c r="J87" s="14">
        <v>46149</v>
      </c>
      <c r="K87" s="14">
        <v>46151</v>
      </c>
      <c r="L87" s="15" t="s">
        <v>21</v>
      </c>
      <c r="M87" s="13"/>
      <c r="N87" s="16" t="s">
        <v>192</v>
      </c>
    </row>
    <row r="88" spans="1:14" ht="24" x14ac:dyDescent="0.25">
      <c r="A88" s="8" t="s">
        <v>48</v>
      </c>
      <c r="B88" s="13" t="s">
        <v>46</v>
      </c>
      <c r="C88" s="13" t="s">
        <v>142</v>
      </c>
      <c r="D88" s="8">
        <v>103</v>
      </c>
      <c r="E88" s="13" t="s">
        <v>193</v>
      </c>
      <c r="F88" s="8" t="s">
        <v>92</v>
      </c>
      <c r="G88" s="13"/>
      <c r="H88" s="8"/>
      <c r="I88" s="13" t="s">
        <v>75</v>
      </c>
      <c r="J88" s="14">
        <v>46149</v>
      </c>
      <c r="K88" s="14">
        <v>46151</v>
      </c>
      <c r="L88" s="15" t="s">
        <v>21</v>
      </c>
      <c r="M88" s="13"/>
      <c r="N88" s="16" t="s">
        <v>194</v>
      </c>
    </row>
    <row r="89" spans="1:14" ht="24" x14ac:dyDescent="0.25">
      <c r="A89" s="8" t="s">
        <v>48</v>
      </c>
      <c r="B89" s="13" t="s">
        <v>46</v>
      </c>
      <c r="C89" s="13" t="s">
        <v>142</v>
      </c>
      <c r="D89" s="8">
        <v>104</v>
      </c>
      <c r="E89" s="13" t="s">
        <v>195</v>
      </c>
      <c r="F89" s="8" t="s">
        <v>72</v>
      </c>
      <c r="G89" s="13"/>
      <c r="H89" s="8"/>
      <c r="I89" s="13" t="s">
        <v>75</v>
      </c>
      <c r="J89" s="14">
        <v>46149</v>
      </c>
      <c r="K89" s="14">
        <v>46151</v>
      </c>
      <c r="L89" s="15" t="s">
        <v>21</v>
      </c>
      <c r="M89" s="13"/>
      <c r="N89" s="16" t="s">
        <v>196</v>
      </c>
    </row>
    <row r="90" spans="1:14" ht="24" x14ac:dyDescent="0.25">
      <c r="A90" s="8" t="s">
        <v>48</v>
      </c>
      <c r="B90" s="13" t="s">
        <v>46</v>
      </c>
      <c r="C90" s="13" t="s">
        <v>142</v>
      </c>
      <c r="D90" s="8">
        <v>105</v>
      </c>
      <c r="E90" s="13" t="s">
        <v>197</v>
      </c>
      <c r="F90" s="8" t="s">
        <v>72</v>
      </c>
      <c r="G90" s="13"/>
      <c r="H90" s="8"/>
      <c r="I90" s="13" t="s">
        <v>75</v>
      </c>
      <c r="J90" s="14">
        <v>46149</v>
      </c>
      <c r="K90" s="14">
        <v>46151</v>
      </c>
      <c r="L90" s="15" t="s">
        <v>21</v>
      </c>
      <c r="M90" s="13"/>
      <c r="N90" s="16" t="s">
        <v>198</v>
      </c>
    </row>
    <row r="91" spans="1:14" ht="24" x14ac:dyDescent="0.25">
      <c r="A91" s="8" t="s">
        <v>48</v>
      </c>
      <c r="B91" s="13" t="s">
        <v>46</v>
      </c>
      <c r="C91" s="13" t="s">
        <v>142</v>
      </c>
      <c r="D91" s="8">
        <v>106</v>
      </c>
      <c r="E91" s="13" t="s">
        <v>199</v>
      </c>
      <c r="F91" s="8" t="s">
        <v>72</v>
      </c>
      <c r="G91" s="13"/>
      <c r="H91" s="8"/>
      <c r="I91" s="13" t="s">
        <v>75</v>
      </c>
      <c r="J91" s="14">
        <v>46149</v>
      </c>
      <c r="K91" s="14">
        <v>46151</v>
      </c>
      <c r="L91" s="17" t="s">
        <v>23</v>
      </c>
      <c r="M91" s="13" t="s">
        <v>200</v>
      </c>
      <c r="N91" s="16" t="s">
        <v>201</v>
      </c>
    </row>
    <row r="92" spans="1:14" ht="24" x14ac:dyDescent="0.25">
      <c r="A92" s="8" t="s">
        <v>48</v>
      </c>
      <c r="B92" s="13" t="s">
        <v>46</v>
      </c>
      <c r="C92" s="13" t="s">
        <v>142</v>
      </c>
      <c r="D92" s="8">
        <v>107</v>
      </c>
      <c r="E92" s="13" t="s">
        <v>202</v>
      </c>
      <c r="F92" s="8" t="s">
        <v>72</v>
      </c>
      <c r="G92" s="13"/>
      <c r="H92" s="8"/>
      <c r="I92" s="13" t="s">
        <v>75</v>
      </c>
      <c r="J92" s="14">
        <v>46149</v>
      </c>
      <c r="K92" s="14">
        <v>46151</v>
      </c>
      <c r="L92" s="17" t="s">
        <v>23</v>
      </c>
      <c r="M92" s="13" t="s">
        <v>200</v>
      </c>
      <c r="N92" s="16" t="s">
        <v>203</v>
      </c>
    </row>
    <row r="93" spans="1:14" ht="24" x14ac:dyDescent="0.25">
      <c r="A93" s="8" t="s">
        <v>48</v>
      </c>
      <c r="B93" s="13" t="s">
        <v>46</v>
      </c>
      <c r="C93" s="13" t="s">
        <v>70</v>
      </c>
      <c r="D93" s="8">
        <v>108</v>
      </c>
      <c r="E93" s="13" t="s">
        <v>114</v>
      </c>
      <c r="F93" s="8" t="s">
        <v>92</v>
      </c>
      <c r="G93" s="13" t="s">
        <v>79</v>
      </c>
      <c r="H93" s="8" t="s">
        <v>112</v>
      </c>
      <c r="I93" s="13" t="s">
        <v>75</v>
      </c>
      <c r="J93" s="14">
        <v>46149</v>
      </c>
      <c r="K93" s="14">
        <v>46151</v>
      </c>
      <c r="L93" s="15" t="s">
        <v>21</v>
      </c>
      <c r="M93" s="13"/>
      <c r="N93" s="16" t="s">
        <v>115</v>
      </c>
    </row>
    <row r="94" spans="1:14" ht="24" x14ac:dyDescent="0.25">
      <c r="A94" s="8" t="s">
        <v>48</v>
      </c>
      <c r="B94" s="13" t="s">
        <v>46</v>
      </c>
      <c r="C94" s="13" t="s">
        <v>70</v>
      </c>
      <c r="D94" s="8">
        <v>109</v>
      </c>
      <c r="E94" s="13" t="s">
        <v>116</v>
      </c>
      <c r="F94" s="8" t="s">
        <v>92</v>
      </c>
      <c r="G94" s="13" t="s">
        <v>98</v>
      </c>
      <c r="H94" s="8" t="s">
        <v>112</v>
      </c>
      <c r="I94" s="13" t="s">
        <v>75</v>
      </c>
      <c r="J94" s="14">
        <v>46149</v>
      </c>
      <c r="K94" s="14">
        <v>46151</v>
      </c>
      <c r="L94" s="15" t="s">
        <v>21</v>
      </c>
      <c r="M94" s="13"/>
      <c r="N94" s="16" t="s">
        <v>117</v>
      </c>
    </row>
    <row r="95" spans="1:14" ht="24" x14ac:dyDescent="0.25">
      <c r="A95" s="8" t="s">
        <v>48</v>
      </c>
      <c r="B95" s="13" t="s">
        <v>46</v>
      </c>
      <c r="C95" s="13" t="s">
        <v>70</v>
      </c>
      <c r="D95" s="8">
        <v>110</v>
      </c>
      <c r="E95" s="13" t="s">
        <v>118</v>
      </c>
      <c r="F95" s="8" t="s">
        <v>92</v>
      </c>
      <c r="G95" s="13" t="s">
        <v>73</v>
      </c>
      <c r="H95" s="8" t="s">
        <v>74</v>
      </c>
      <c r="I95" s="13" t="s">
        <v>75</v>
      </c>
      <c r="J95" s="14">
        <v>46149</v>
      </c>
      <c r="K95" s="14">
        <v>46151</v>
      </c>
      <c r="L95" s="15" t="s">
        <v>21</v>
      </c>
      <c r="M95" s="13"/>
      <c r="N95" s="16" t="s">
        <v>119</v>
      </c>
    </row>
    <row r="96" spans="1:14" ht="24" x14ac:dyDescent="0.25">
      <c r="A96" s="8" t="s">
        <v>48</v>
      </c>
      <c r="B96" s="13" t="s">
        <v>46</v>
      </c>
      <c r="C96" s="13" t="s">
        <v>70</v>
      </c>
      <c r="D96" s="8">
        <v>111</v>
      </c>
      <c r="E96" s="13" t="s">
        <v>120</v>
      </c>
      <c r="F96" s="8" t="s">
        <v>72</v>
      </c>
      <c r="G96" s="13"/>
      <c r="H96" s="8"/>
      <c r="I96" s="13" t="s">
        <v>75</v>
      </c>
      <c r="J96" s="14">
        <v>46149</v>
      </c>
      <c r="K96" s="14">
        <v>46150</v>
      </c>
      <c r="L96" s="15" t="s">
        <v>21</v>
      </c>
      <c r="M96" s="13"/>
      <c r="N96" s="16" t="s">
        <v>121</v>
      </c>
    </row>
    <row r="97" spans="1:14" ht="24" x14ac:dyDescent="0.25">
      <c r="A97" s="8" t="s">
        <v>48</v>
      </c>
      <c r="B97" s="13" t="s">
        <v>46</v>
      </c>
      <c r="C97" s="13" t="s">
        <v>70</v>
      </c>
      <c r="D97" s="8">
        <v>112</v>
      </c>
      <c r="E97" s="13" t="s">
        <v>122</v>
      </c>
      <c r="F97" s="8" t="s">
        <v>72</v>
      </c>
      <c r="G97" s="13" t="s">
        <v>73</v>
      </c>
      <c r="H97" s="8" t="s">
        <v>87</v>
      </c>
      <c r="I97" s="13" t="s">
        <v>75</v>
      </c>
      <c r="J97" s="14">
        <v>46149</v>
      </c>
      <c r="K97" s="14">
        <v>46151</v>
      </c>
      <c r="L97" s="15" t="s">
        <v>21</v>
      </c>
      <c r="M97" s="13"/>
      <c r="N97" s="16" t="s">
        <v>123</v>
      </c>
    </row>
    <row r="98" spans="1:14" ht="24" x14ac:dyDescent="0.25">
      <c r="A98" s="8" t="s">
        <v>48</v>
      </c>
      <c r="B98" s="13" t="s">
        <v>46</v>
      </c>
      <c r="C98" s="13" t="s">
        <v>70</v>
      </c>
      <c r="D98" s="8">
        <v>114</v>
      </c>
      <c r="E98" s="13" t="s">
        <v>124</v>
      </c>
      <c r="F98" s="8" t="s">
        <v>92</v>
      </c>
      <c r="G98" s="13" t="s">
        <v>86</v>
      </c>
      <c r="H98" s="8" t="s">
        <v>93</v>
      </c>
      <c r="I98" s="13" t="s">
        <v>75</v>
      </c>
      <c r="J98" s="14">
        <v>46150</v>
      </c>
      <c r="K98" s="14">
        <v>46151</v>
      </c>
      <c r="L98" s="15" t="s">
        <v>21</v>
      </c>
      <c r="M98" s="13"/>
      <c r="N98" s="16" t="s">
        <v>125</v>
      </c>
    </row>
    <row r="99" spans="1:14" ht="24" x14ac:dyDescent="0.25">
      <c r="A99" s="8" t="s">
        <v>48</v>
      </c>
      <c r="B99" s="13" t="s">
        <v>46</v>
      </c>
      <c r="C99" s="13" t="s">
        <v>70</v>
      </c>
      <c r="D99" s="8">
        <v>115</v>
      </c>
      <c r="E99" s="13" t="s">
        <v>126</v>
      </c>
      <c r="F99" s="8" t="s">
        <v>92</v>
      </c>
      <c r="G99" s="13" t="s">
        <v>86</v>
      </c>
      <c r="H99" s="8" t="s">
        <v>74</v>
      </c>
      <c r="I99" s="13" t="s">
        <v>75</v>
      </c>
      <c r="J99" s="14">
        <v>46150</v>
      </c>
      <c r="K99" s="14">
        <v>46151</v>
      </c>
      <c r="L99" s="15" t="s">
        <v>21</v>
      </c>
      <c r="M99" s="13"/>
      <c r="N99" s="16" t="s">
        <v>127</v>
      </c>
    </row>
    <row r="100" spans="1:14" ht="24" x14ac:dyDescent="0.25">
      <c r="A100" s="8" t="s">
        <v>48</v>
      </c>
      <c r="B100" s="13" t="s">
        <v>46</v>
      </c>
      <c r="C100" s="13" t="s">
        <v>70</v>
      </c>
      <c r="D100" s="8">
        <v>116</v>
      </c>
      <c r="E100" s="13" t="s">
        <v>128</v>
      </c>
      <c r="F100" s="8" t="s">
        <v>92</v>
      </c>
      <c r="G100" s="13" t="s">
        <v>86</v>
      </c>
      <c r="H100" s="8" t="s">
        <v>87</v>
      </c>
      <c r="I100" s="13" t="s">
        <v>75</v>
      </c>
      <c r="J100" s="14">
        <v>46150</v>
      </c>
      <c r="K100" s="14">
        <v>46151</v>
      </c>
      <c r="L100" s="15" t="s">
        <v>21</v>
      </c>
      <c r="M100" s="13"/>
      <c r="N100" s="16" t="s">
        <v>129</v>
      </c>
    </row>
    <row r="101" spans="1:14" ht="24" x14ac:dyDescent="0.25">
      <c r="A101" s="8" t="s">
        <v>48</v>
      </c>
      <c r="B101" s="13" t="s">
        <v>46</v>
      </c>
      <c r="C101" s="13" t="s">
        <v>70</v>
      </c>
      <c r="D101" s="8">
        <v>117</v>
      </c>
      <c r="E101" s="13" t="s">
        <v>130</v>
      </c>
      <c r="F101" s="8" t="s">
        <v>111</v>
      </c>
      <c r="G101" s="13" t="s">
        <v>86</v>
      </c>
      <c r="H101" s="8"/>
      <c r="I101" s="13" t="s">
        <v>75</v>
      </c>
      <c r="J101" s="14">
        <v>46150</v>
      </c>
      <c r="K101" s="14">
        <v>46151</v>
      </c>
      <c r="L101" s="15" t="s">
        <v>21</v>
      </c>
      <c r="M101" s="13"/>
      <c r="N101" s="16" t="s">
        <v>131</v>
      </c>
    </row>
    <row r="102" spans="1:14" ht="38.25" x14ac:dyDescent="0.25">
      <c r="A102" s="8" t="s">
        <v>48</v>
      </c>
      <c r="B102" s="13" t="s">
        <v>46</v>
      </c>
      <c r="C102" s="13" t="s">
        <v>70</v>
      </c>
      <c r="D102" s="8">
        <v>118</v>
      </c>
      <c r="E102" s="13" t="s">
        <v>132</v>
      </c>
      <c r="F102" s="8" t="s">
        <v>92</v>
      </c>
      <c r="G102" s="13" t="s">
        <v>86</v>
      </c>
      <c r="H102" s="8" t="s">
        <v>93</v>
      </c>
      <c r="I102" s="13" t="s">
        <v>75</v>
      </c>
      <c r="J102" s="14">
        <v>46150</v>
      </c>
      <c r="K102" s="14">
        <v>46151</v>
      </c>
      <c r="L102" s="15" t="s">
        <v>21</v>
      </c>
      <c r="M102" s="13"/>
      <c r="N102" s="16" t="s">
        <v>133</v>
      </c>
    </row>
    <row r="103" spans="1:14" ht="25.5" x14ac:dyDescent="0.25">
      <c r="A103" s="8" t="s">
        <v>48</v>
      </c>
      <c r="B103" s="13" t="s">
        <v>46</v>
      </c>
      <c r="C103" s="13" t="s">
        <v>70</v>
      </c>
      <c r="D103" s="8">
        <v>119</v>
      </c>
      <c r="E103" s="13" t="s">
        <v>134</v>
      </c>
      <c r="F103" s="8" t="s">
        <v>92</v>
      </c>
      <c r="G103" s="13" t="s">
        <v>86</v>
      </c>
      <c r="H103" s="8" t="s">
        <v>93</v>
      </c>
      <c r="I103" s="13" t="s">
        <v>75</v>
      </c>
      <c r="J103" s="14">
        <v>46150</v>
      </c>
      <c r="K103" s="14">
        <v>46151</v>
      </c>
      <c r="L103" s="15" t="s">
        <v>21</v>
      </c>
      <c r="M103" s="13"/>
      <c r="N103" s="16" t="s">
        <v>135</v>
      </c>
    </row>
    <row r="104" spans="1:14" ht="24" x14ac:dyDescent="0.25">
      <c r="A104" s="8" t="s">
        <v>48</v>
      </c>
      <c r="B104" s="13" t="s">
        <v>46</v>
      </c>
      <c r="C104" s="13" t="s">
        <v>70</v>
      </c>
      <c r="D104" s="8">
        <v>120</v>
      </c>
      <c r="E104" s="13" t="s">
        <v>136</v>
      </c>
      <c r="F104" s="8" t="s">
        <v>92</v>
      </c>
      <c r="G104" s="13" t="s">
        <v>98</v>
      </c>
      <c r="H104" s="8" t="s">
        <v>74</v>
      </c>
      <c r="I104" s="13" t="s">
        <v>75</v>
      </c>
      <c r="J104" s="14">
        <v>46150</v>
      </c>
      <c r="K104" s="14">
        <v>46151</v>
      </c>
      <c r="L104" s="15" t="s">
        <v>21</v>
      </c>
      <c r="M104" s="13"/>
      <c r="N104" s="16" t="s">
        <v>137</v>
      </c>
    </row>
    <row r="105" spans="1:14" ht="24" x14ac:dyDescent="0.25">
      <c r="A105" s="8" t="s">
        <v>48</v>
      </c>
      <c r="B105" s="13" t="s">
        <v>46</v>
      </c>
      <c r="C105" s="13" t="s">
        <v>70</v>
      </c>
      <c r="D105" s="8">
        <v>121</v>
      </c>
      <c r="E105" s="13" t="s">
        <v>138</v>
      </c>
      <c r="F105" s="8" t="s">
        <v>92</v>
      </c>
      <c r="G105" s="13" t="s">
        <v>98</v>
      </c>
      <c r="H105" s="8" t="s">
        <v>74</v>
      </c>
      <c r="I105" s="13" t="s">
        <v>75</v>
      </c>
      <c r="J105" s="14">
        <v>46150</v>
      </c>
      <c r="K105" s="14">
        <v>46151</v>
      </c>
      <c r="L105" s="15" t="s">
        <v>21</v>
      </c>
      <c r="M105" s="13"/>
      <c r="N105" s="16" t="s">
        <v>139</v>
      </c>
    </row>
    <row r="106" spans="1:14" ht="24" x14ac:dyDescent="0.25">
      <c r="A106" s="8" t="s">
        <v>48</v>
      </c>
      <c r="B106" s="13" t="s">
        <v>46</v>
      </c>
      <c r="C106" s="13" t="s">
        <v>70</v>
      </c>
      <c r="D106" s="8">
        <v>122</v>
      </c>
      <c r="E106" s="13" t="s">
        <v>140</v>
      </c>
      <c r="F106" s="8" t="s">
        <v>92</v>
      </c>
      <c r="G106" s="13" t="s">
        <v>98</v>
      </c>
      <c r="H106" s="8" t="s">
        <v>93</v>
      </c>
      <c r="I106" s="13" t="s">
        <v>75</v>
      </c>
      <c r="J106" s="14">
        <v>46150</v>
      </c>
      <c r="K106" s="14">
        <v>46151</v>
      </c>
      <c r="L106" s="15" t="s">
        <v>21</v>
      </c>
      <c r="M106" s="13"/>
      <c r="N106" s="16" t="s">
        <v>141</v>
      </c>
    </row>
    <row r="107" spans="1:14" ht="25.5" x14ac:dyDescent="0.25">
      <c r="A107" s="8" t="s">
        <v>842</v>
      </c>
      <c r="B107" s="13"/>
      <c r="C107" s="13" t="s">
        <v>595</v>
      </c>
      <c r="D107" s="8">
        <v>123</v>
      </c>
      <c r="E107" s="13" t="s">
        <v>884</v>
      </c>
      <c r="F107" s="8" t="s">
        <v>72</v>
      </c>
      <c r="G107" s="13"/>
      <c r="H107" s="8"/>
      <c r="I107" s="13" t="s">
        <v>75</v>
      </c>
      <c r="J107" s="14">
        <v>46150</v>
      </c>
      <c r="K107" s="14">
        <v>46150</v>
      </c>
      <c r="L107" s="15" t="s">
        <v>21</v>
      </c>
      <c r="M107" s="13"/>
      <c r="N107" s="16" t="s">
        <v>885</v>
      </c>
    </row>
    <row r="108" spans="1:14" ht="25.5" x14ac:dyDescent="0.25">
      <c r="A108" s="8" t="s">
        <v>842</v>
      </c>
      <c r="B108" s="13"/>
      <c r="C108" s="13" t="s">
        <v>595</v>
      </c>
      <c r="D108" s="8">
        <v>124</v>
      </c>
      <c r="E108" s="13" t="s">
        <v>886</v>
      </c>
      <c r="F108" s="8" t="s">
        <v>72</v>
      </c>
      <c r="G108" s="13"/>
      <c r="H108" s="8"/>
      <c r="I108" s="13" t="s">
        <v>75</v>
      </c>
      <c r="J108" s="14">
        <v>46150</v>
      </c>
      <c r="K108" s="14">
        <v>46150</v>
      </c>
      <c r="L108" s="15" t="s">
        <v>21</v>
      </c>
      <c r="M108" s="13"/>
      <c r="N108" s="16" t="s">
        <v>887</v>
      </c>
    </row>
    <row r="109" spans="1:14" ht="24" x14ac:dyDescent="0.25">
      <c r="A109" s="8" t="s">
        <v>842</v>
      </c>
      <c r="B109" s="13"/>
      <c r="C109" s="13" t="s">
        <v>595</v>
      </c>
      <c r="D109" s="8">
        <v>125</v>
      </c>
      <c r="E109" s="13" t="s">
        <v>888</v>
      </c>
      <c r="F109" s="8" t="s">
        <v>72</v>
      </c>
      <c r="G109" s="13"/>
      <c r="H109" s="8"/>
      <c r="I109" s="13" t="s">
        <v>75</v>
      </c>
      <c r="J109" s="14">
        <v>46150</v>
      </c>
      <c r="K109" s="14">
        <v>46150</v>
      </c>
      <c r="L109" s="15" t="s">
        <v>21</v>
      </c>
      <c r="M109" s="13"/>
      <c r="N109" s="16" t="s">
        <v>889</v>
      </c>
    </row>
    <row r="110" spans="1:14" ht="25.5" x14ac:dyDescent="0.25">
      <c r="A110" s="8" t="s">
        <v>842</v>
      </c>
      <c r="B110" s="13"/>
      <c r="C110" s="13" t="s">
        <v>595</v>
      </c>
      <c r="D110" s="8">
        <v>126</v>
      </c>
      <c r="E110" s="13" t="s">
        <v>890</v>
      </c>
      <c r="F110" s="8" t="s">
        <v>72</v>
      </c>
      <c r="G110" s="13"/>
      <c r="H110" s="8"/>
      <c r="I110" s="13" t="s">
        <v>75</v>
      </c>
      <c r="J110" s="14">
        <v>46150</v>
      </c>
      <c r="K110" s="14">
        <v>46150</v>
      </c>
      <c r="L110" s="15" t="s">
        <v>21</v>
      </c>
      <c r="M110" s="13"/>
      <c r="N110" s="16" t="s">
        <v>891</v>
      </c>
    </row>
    <row r="111" spans="1:14" ht="25.5" x14ac:dyDescent="0.25">
      <c r="A111" s="8" t="s">
        <v>842</v>
      </c>
      <c r="B111" s="13"/>
      <c r="C111" s="13" t="s">
        <v>595</v>
      </c>
      <c r="D111" s="8">
        <v>127</v>
      </c>
      <c r="E111" s="13" t="s">
        <v>892</v>
      </c>
      <c r="F111" s="8" t="s">
        <v>72</v>
      </c>
      <c r="G111" s="13"/>
      <c r="H111" s="8"/>
      <c r="I111" s="13" t="s">
        <v>75</v>
      </c>
      <c r="J111" s="14">
        <v>46150</v>
      </c>
      <c r="K111" s="14">
        <v>46150</v>
      </c>
      <c r="L111" s="15" t="s">
        <v>21</v>
      </c>
      <c r="M111" s="13"/>
      <c r="N111" s="16" t="s">
        <v>893</v>
      </c>
    </row>
    <row r="112" spans="1:14" ht="25.5" x14ac:dyDescent="0.25">
      <c r="A112" s="8" t="s">
        <v>842</v>
      </c>
      <c r="B112" s="13"/>
      <c r="C112" s="13" t="s">
        <v>595</v>
      </c>
      <c r="D112" s="8">
        <v>128</v>
      </c>
      <c r="E112" s="13" t="s">
        <v>894</v>
      </c>
      <c r="F112" s="8" t="s">
        <v>72</v>
      </c>
      <c r="G112" s="13"/>
      <c r="H112" s="8"/>
      <c r="I112" s="13" t="s">
        <v>75</v>
      </c>
      <c r="J112" s="14">
        <v>46150</v>
      </c>
      <c r="K112" s="14">
        <v>46150</v>
      </c>
      <c r="L112" s="15" t="s">
        <v>21</v>
      </c>
      <c r="M112" s="13"/>
      <c r="N112" s="16" t="s">
        <v>895</v>
      </c>
    </row>
    <row r="113" spans="1:14" ht="25.5" x14ac:dyDescent="0.25">
      <c r="A113" s="8" t="s">
        <v>842</v>
      </c>
      <c r="B113" s="13"/>
      <c r="C113" s="13" t="s">
        <v>595</v>
      </c>
      <c r="D113" s="8">
        <v>129</v>
      </c>
      <c r="E113" s="13" t="s">
        <v>896</v>
      </c>
      <c r="F113" s="8" t="s">
        <v>72</v>
      </c>
      <c r="G113" s="13"/>
      <c r="H113" s="8"/>
      <c r="I113" s="13" t="s">
        <v>75</v>
      </c>
      <c r="J113" s="14">
        <v>46150</v>
      </c>
      <c r="K113" s="14">
        <v>46150</v>
      </c>
      <c r="L113" s="15" t="s">
        <v>21</v>
      </c>
      <c r="M113" s="13"/>
      <c r="N113" s="16" t="s">
        <v>897</v>
      </c>
    </row>
    <row r="114" spans="1:14" ht="25.5" x14ac:dyDescent="0.25">
      <c r="A114" s="8" t="s">
        <v>842</v>
      </c>
      <c r="B114" s="13"/>
      <c r="C114" s="13" t="s">
        <v>595</v>
      </c>
      <c r="D114" s="8">
        <v>130</v>
      </c>
      <c r="E114" s="13" t="s">
        <v>898</v>
      </c>
      <c r="F114" s="8" t="s">
        <v>72</v>
      </c>
      <c r="G114" s="13"/>
      <c r="H114" s="8"/>
      <c r="I114" s="13" t="s">
        <v>75</v>
      </c>
      <c r="J114" s="14">
        <v>46150</v>
      </c>
      <c r="K114" s="14">
        <v>46150</v>
      </c>
      <c r="L114" s="15" t="s">
        <v>21</v>
      </c>
      <c r="M114" s="13"/>
      <c r="N114" s="16" t="s">
        <v>899</v>
      </c>
    </row>
    <row r="115" spans="1:14" ht="25.5" x14ac:dyDescent="0.25">
      <c r="A115" s="8" t="s">
        <v>842</v>
      </c>
      <c r="B115" s="13"/>
      <c r="C115" s="13" t="s">
        <v>595</v>
      </c>
      <c r="D115" s="8">
        <v>131</v>
      </c>
      <c r="E115" s="13" t="s">
        <v>900</v>
      </c>
      <c r="F115" s="8" t="s">
        <v>72</v>
      </c>
      <c r="G115" s="13"/>
      <c r="H115" s="8"/>
      <c r="I115" s="13" t="s">
        <v>75</v>
      </c>
      <c r="J115" s="14">
        <v>46150</v>
      </c>
      <c r="K115" s="14">
        <v>46176</v>
      </c>
      <c r="L115" s="15" t="s">
        <v>21</v>
      </c>
      <c r="M115" s="13"/>
      <c r="N115" s="16" t="s">
        <v>901</v>
      </c>
    </row>
    <row r="116" spans="1:14" ht="25.5" x14ac:dyDescent="0.25">
      <c r="A116" s="8" t="s">
        <v>842</v>
      </c>
      <c r="B116" s="13"/>
      <c r="C116" s="13" t="s">
        <v>595</v>
      </c>
      <c r="D116" s="8">
        <v>132</v>
      </c>
      <c r="E116" s="13" t="s">
        <v>902</v>
      </c>
      <c r="F116" s="8" t="s">
        <v>72</v>
      </c>
      <c r="G116" s="13"/>
      <c r="H116" s="8"/>
      <c r="I116" s="13" t="s">
        <v>75</v>
      </c>
      <c r="J116" s="14">
        <v>46150</v>
      </c>
      <c r="K116" s="14">
        <v>46151</v>
      </c>
      <c r="L116" s="15" t="s">
        <v>21</v>
      </c>
      <c r="M116" s="13"/>
      <c r="N116" s="16" t="s">
        <v>903</v>
      </c>
    </row>
    <row r="117" spans="1:14" ht="25.5" x14ac:dyDescent="0.25">
      <c r="A117" s="8" t="s">
        <v>842</v>
      </c>
      <c r="B117" s="13"/>
      <c r="C117" s="13" t="s">
        <v>595</v>
      </c>
      <c r="D117" s="8">
        <v>133</v>
      </c>
      <c r="E117" s="13" t="s">
        <v>904</v>
      </c>
      <c r="F117" s="8" t="s">
        <v>72</v>
      </c>
      <c r="G117" s="13"/>
      <c r="H117" s="8"/>
      <c r="I117" s="13" t="s">
        <v>75</v>
      </c>
      <c r="J117" s="14">
        <v>46150</v>
      </c>
      <c r="K117" s="14">
        <v>46151</v>
      </c>
      <c r="L117" s="15" t="s">
        <v>21</v>
      </c>
      <c r="M117" s="13"/>
      <c r="N117" s="16" t="s">
        <v>905</v>
      </c>
    </row>
    <row r="118" spans="1:14" ht="25.5" x14ac:dyDescent="0.25">
      <c r="A118" s="8" t="s">
        <v>842</v>
      </c>
      <c r="B118" s="13"/>
      <c r="C118" s="13" t="s">
        <v>595</v>
      </c>
      <c r="D118" s="8">
        <v>134</v>
      </c>
      <c r="E118" s="13" t="s">
        <v>906</v>
      </c>
      <c r="F118" s="8" t="s">
        <v>72</v>
      </c>
      <c r="G118" s="13"/>
      <c r="H118" s="8"/>
      <c r="I118" s="13" t="s">
        <v>75</v>
      </c>
      <c r="J118" s="14">
        <v>46150</v>
      </c>
      <c r="K118" s="14">
        <v>46151</v>
      </c>
      <c r="L118" s="15" t="s">
        <v>21</v>
      </c>
      <c r="M118" s="13"/>
      <c r="N118" s="16" t="s">
        <v>907</v>
      </c>
    </row>
    <row r="119" spans="1:14" ht="38.25" x14ac:dyDescent="0.25">
      <c r="A119" s="8" t="s">
        <v>842</v>
      </c>
      <c r="B119" s="13"/>
      <c r="C119" s="13" t="s">
        <v>595</v>
      </c>
      <c r="D119" s="8">
        <v>135</v>
      </c>
      <c r="E119" s="13" t="s">
        <v>908</v>
      </c>
      <c r="F119" s="8" t="s">
        <v>72</v>
      </c>
      <c r="G119" s="13"/>
      <c r="H119" s="8"/>
      <c r="I119" s="13" t="s">
        <v>75</v>
      </c>
      <c r="J119" s="14">
        <v>46150</v>
      </c>
      <c r="K119" s="14">
        <v>46157</v>
      </c>
      <c r="L119" s="15" t="s">
        <v>21</v>
      </c>
      <c r="M119" s="13"/>
      <c r="N119" s="16" t="s">
        <v>909</v>
      </c>
    </row>
    <row r="120" spans="1:14" ht="25.5" x14ac:dyDescent="0.25">
      <c r="A120" s="8" t="s">
        <v>842</v>
      </c>
      <c r="B120" s="13"/>
      <c r="C120" s="13" t="s">
        <v>910</v>
      </c>
      <c r="D120" s="8">
        <v>137</v>
      </c>
      <c r="E120" s="13" t="s">
        <v>911</v>
      </c>
      <c r="F120" s="8" t="s">
        <v>72</v>
      </c>
      <c r="G120" s="13"/>
      <c r="H120" s="8" t="s">
        <v>74</v>
      </c>
      <c r="I120" s="13" t="s">
        <v>75</v>
      </c>
      <c r="J120" s="14">
        <v>46151</v>
      </c>
      <c r="K120" s="14">
        <v>46176</v>
      </c>
      <c r="L120" s="15" t="s">
        <v>21</v>
      </c>
      <c r="M120" s="13"/>
      <c r="N120" s="16" t="s">
        <v>912</v>
      </c>
    </row>
    <row r="121" spans="1:14" ht="25.5" x14ac:dyDescent="0.25">
      <c r="A121" s="8" t="s">
        <v>842</v>
      </c>
      <c r="B121" s="13"/>
      <c r="C121" s="13" t="s">
        <v>910</v>
      </c>
      <c r="D121" s="8">
        <v>138</v>
      </c>
      <c r="E121" s="13" t="s">
        <v>913</v>
      </c>
      <c r="F121" s="8" t="s">
        <v>72</v>
      </c>
      <c r="G121" s="13"/>
      <c r="H121" s="8" t="s">
        <v>74</v>
      </c>
      <c r="I121" s="13" t="s">
        <v>75</v>
      </c>
      <c r="J121" s="14">
        <v>46151</v>
      </c>
      <c r="K121" s="14">
        <v>46177</v>
      </c>
      <c r="L121" s="15" t="s">
        <v>21</v>
      </c>
      <c r="M121" s="13"/>
      <c r="N121" s="16" t="s">
        <v>914</v>
      </c>
    </row>
    <row r="122" spans="1:14" ht="24" x14ac:dyDescent="0.25">
      <c r="A122" s="8" t="s">
        <v>842</v>
      </c>
      <c r="B122" s="13"/>
      <c r="C122" s="13" t="s">
        <v>910</v>
      </c>
      <c r="D122" s="8">
        <v>139</v>
      </c>
      <c r="E122" s="13" t="s">
        <v>915</v>
      </c>
      <c r="F122" s="8" t="s">
        <v>72</v>
      </c>
      <c r="G122" s="13"/>
      <c r="H122" s="8" t="s">
        <v>74</v>
      </c>
      <c r="I122" s="13" t="s">
        <v>75</v>
      </c>
      <c r="J122" s="14">
        <v>46151</v>
      </c>
      <c r="K122" s="14">
        <v>46177</v>
      </c>
      <c r="L122" s="15" t="s">
        <v>21</v>
      </c>
      <c r="M122" s="13"/>
      <c r="N122" s="16" t="s">
        <v>916</v>
      </c>
    </row>
    <row r="123" spans="1:14" ht="24" x14ac:dyDescent="0.25">
      <c r="A123" s="8" t="s">
        <v>842</v>
      </c>
      <c r="B123" s="13"/>
      <c r="C123" s="13" t="s">
        <v>910</v>
      </c>
      <c r="D123" s="8">
        <v>140</v>
      </c>
      <c r="E123" s="13" t="s">
        <v>917</v>
      </c>
      <c r="F123" s="8" t="s">
        <v>72</v>
      </c>
      <c r="G123" s="13"/>
      <c r="H123" s="8" t="s">
        <v>74</v>
      </c>
      <c r="I123" s="13" t="s">
        <v>75</v>
      </c>
      <c r="J123" s="14">
        <v>46151</v>
      </c>
      <c r="K123" s="14">
        <v>46177</v>
      </c>
      <c r="L123" s="15" t="s">
        <v>21</v>
      </c>
      <c r="M123" s="13"/>
      <c r="N123" s="16" t="s">
        <v>918</v>
      </c>
    </row>
    <row r="124" spans="1:14" ht="25.5" x14ac:dyDescent="0.25">
      <c r="A124" s="8" t="s">
        <v>842</v>
      </c>
      <c r="B124" s="13"/>
      <c r="C124" s="13" t="s">
        <v>595</v>
      </c>
      <c r="D124" s="8">
        <v>141</v>
      </c>
      <c r="E124" s="13" t="s">
        <v>919</v>
      </c>
      <c r="F124" s="8" t="s">
        <v>72</v>
      </c>
      <c r="G124" s="13"/>
      <c r="H124" s="8"/>
      <c r="I124" s="13" t="s">
        <v>75</v>
      </c>
      <c r="J124" s="14">
        <v>46151</v>
      </c>
      <c r="K124" s="14">
        <v>46151</v>
      </c>
      <c r="L124" s="15" t="s">
        <v>21</v>
      </c>
      <c r="M124" s="13"/>
      <c r="N124" s="16" t="s">
        <v>920</v>
      </c>
    </row>
    <row r="125" spans="1:14" ht="25.5" x14ac:dyDescent="0.25">
      <c r="A125" s="8" t="s">
        <v>842</v>
      </c>
      <c r="B125" s="13"/>
      <c r="C125" s="13" t="s">
        <v>595</v>
      </c>
      <c r="D125" s="8">
        <v>142</v>
      </c>
      <c r="E125" s="13" t="s">
        <v>921</v>
      </c>
      <c r="F125" s="8" t="s">
        <v>72</v>
      </c>
      <c r="G125" s="13"/>
      <c r="H125" s="8"/>
      <c r="I125" s="13" t="s">
        <v>75</v>
      </c>
      <c r="J125" s="14">
        <v>46151</v>
      </c>
      <c r="K125" s="14">
        <v>46151</v>
      </c>
      <c r="L125" s="15" t="s">
        <v>21</v>
      </c>
      <c r="M125" s="13"/>
      <c r="N125" s="16" t="s">
        <v>922</v>
      </c>
    </row>
    <row r="126" spans="1:14" ht="25.5" x14ac:dyDescent="0.25">
      <c r="A126" s="8" t="s">
        <v>842</v>
      </c>
      <c r="B126" s="13"/>
      <c r="C126" s="13" t="s">
        <v>595</v>
      </c>
      <c r="D126" s="8">
        <v>143</v>
      </c>
      <c r="E126" s="13" t="s">
        <v>923</v>
      </c>
      <c r="F126" s="8" t="s">
        <v>72</v>
      </c>
      <c r="G126" s="13"/>
      <c r="H126" s="8"/>
      <c r="I126" s="13" t="s">
        <v>75</v>
      </c>
      <c r="J126" s="14">
        <v>46151</v>
      </c>
      <c r="K126" s="14">
        <v>46151</v>
      </c>
      <c r="L126" s="15" t="s">
        <v>21</v>
      </c>
      <c r="M126" s="13"/>
      <c r="N126" s="16" t="s">
        <v>924</v>
      </c>
    </row>
    <row r="127" spans="1:14" ht="25.5" x14ac:dyDescent="0.25">
      <c r="A127" s="8" t="s">
        <v>842</v>
      </c>
      <c r="B127" s="13"/>
      <c r="C127" s="13" t="s">
        <v>279</v>
      </c>
      <c r="D127" s="8">
        <v>144</v>
      </c>
      <c r="E127" s="13" t="s">
        <v>925</v>
      </c>
      <c r="F127" s="8" t="s">
        <v>72</v>
      </c>
      <c r="G127" s="13"/>
      <c r="H127" s="8" t="s">
        <v>87</v>
      </c>
      <c r="I127" s="13" t="s">
        <v>75</v>
      </c>
      <c r="J127" s="14">
        <v>46151</v>
      </c>
      <c r="K127" s="14">
        <v>46178</v>
      </c>
      <c r="L127" s="17" t="s">
        <v>23</v>
      </c>
      <c r="M127" s="13" t="s">
        <v>200</v>
      </c>
      <c r="N127" s="16" t="s">
        <v>926</v>
      </c>
    </row>
    <row r="128" spans="1:14" ht="25.5" x14ac:dyDescent="0.25">
      <c r="A128" s="8" t="s">
        <v>842</v>
      </c>
      <c r="B128" s="13"/>
      <c r="C128" s="13" t="s">
        <v>279</v>
      </c>
      <c r="D128" s="8">
        <v>145</v>
      </c>
      <c r="E128" s="13" t="s">
        <v>927</v>
      </c>
      <c r="F128" s="8" t="s">
        <v>72</v>
      </c>
      <c r="G128" s="13"/>
      <c r="H128" s="8" t="s">
        <v>87</v>
      </c>
      <c r="I128" s="13" t="s">
        <v>75</v>
      </c>
      <c r="J128" s="14">
        <v>46151</v>
      </c>
      <c r="K128" s="14">
        <v>46177</v>
      </c>
      <c r="L128" s="15" t="s">
        <v>21</v>
      </c>
      <c r="M128" s="13"/>
      <c r="N128" s="16" t="s">
        <v>928</v>
      </c>
    </row>
    <row r="129" spans="1:14" ht="25.5" x14ac:dyDescent="0.25">
      <c r="A129" s="8" t="s">
        <v>842</v>
      </c>
      <c r="B129" s="13"/>
      <c r="C129" s="13" t="s">
        <v>279</v>
      </c>
      <c r="D129" s="8">
        <v>146</v>
      </c>
      <c r="E129" s="13" t="s">
        <v>929</v>
      </c>
      <c r="F129" s="8" t="s">
        <v>72</v>
      </c>
      <c r="G129" s="13"/>
      <c r="H129" s="8" t="s">
        <v>87</v>
      </c>
      <c r="I129" s="13" t="s">
        <v>75</v>
      </c>
      <c r="J129" s="14">
        <v>46151</v>
      </c>
      <c r="K129" s="14">
        <v>46177</v>
      </c>
      <c r="L129" s="15" t="s">
        <v>21</v>
      </c>
      <c r="M129" s="13"/>
      <c r="N129" s="16" t="s">
        <v>930</v>
      </c>
    </row>
    <row r="130" spans="1:14" ht="25.5" x14ac:dyDescent="0.25">
      <c r="A130" s="8" t="s">
        <v>842</v>
      </c>
      <c r="B130" s="13"/>
      <c r="C130" s="13" t="s">
        <v>279</v>
      </c>
      <c r="D130" s="8">
        <v>147</v>
      </c>
      <c r="E130" s="13" t="s">
        <v>931</v>
      </c>
      <c r="F130" s="8" t="s">
        <v>72</v>
      </c>
      <c r="G130" s="13"/>
      <c r="H130" s="8" t="s">
        <v>87</v>
      </c>
      <c r="I130" s="13" t="s">
        <v>75</v>
      </c>
      <c r="J130" s="14">
        <v>46151</v>
      </c>
      <c r="K130" s="14">
        <v>46177</v>
      </c>
      <c r="L130" s="15" t="s">
        <v>21</v>
      </c>
      <c r="M130" s="13"/>
      <c r="N130" s="16" t="s">
        <v>932</v>
      </c>
    </row>
    <row r="131" spans="1:14" ht="25.5" x14ac:dyDescent="0.25">
      <c r="A131" s="8" t="s">
        <v>842</v>
      </c>
      <c r="B131" s="13"/>
      <c r="C131" s="13" t="s">
        <v>279</v>
      </c>
      <c r="D131" s="8">
        <v>148</v>
      </c>
      <c r="E131" s="13" t="s">
        <v>933</v>
      </c>
      <c r="F131" s="8" t="s">
        <v>72</v>
      </c>
      <c r="G131" s="13"/>
      <c r="H131" s="8" t="s">
        <v>87</v>
      </c>
      <c r="I131" s="13" t="s">
        <v>75</v>
      </c>
      <c r="J131" s="14">
        <v>46151</v>
      </c>
      <c r="K131" s="14">
        <v>46177</v>
      </c>
      <c r="L131" s="15" t="s">
        <v>21</v>
      </c>
      <c r="M131" s="13"/>
      <c r="N131" s="16" t="s">
        <v>934</v>
      </c>
    </row>
    <row r="132" spans="1:14" ht="25.5" x14ac:dyDescent="0.25">
      <c r="A132" s="8" t="s">
        <v>842</v>
      </c>
      <c r="B132" s="13"/>
      <c r="C132" s="13" t="s">
        <v>279</v>
      </c>
      <c r="D132" s="8">
        <v>149</v>
      </c>
      <c r="E132" s="13" t="s">
        <v>935</v>
      </c>
      <c r="F132" s="8" t="s">
        <v>72</v>
      </c>
      <c r="G132" s="13"/>
      <c r="H132" s="8" t="s">
        <v>87</v>
      </c>
      <c r="I132" s="13" t="s">
        <v>75</v>
      </c>
      <c r="J132" s="14">
        <v>46151</v>
      </c>
      <c r="K132" s="14">
        <v>46177</v>
      </c>
      <c r="L132" s="15" t="s">
        <v>21</v>
      </c>
      <c r="M132" s="13"/>
      <c r="N132" s="16" t="s">
        <v>936</v>
      </c>
    </row>
    <row r="133" spans="1:14" ht="25.5" x14ac:dyDescent="0.25">
      <c r="A133" s="8" t="s">
        <v>842</v>
      </c>
      <c r="B133" s="13"/>
      <c r="C133" s="13" t="s">
        <v>279</v>
      </c>
      <c r="D133" s="8">
        <v>150</v>
      </c>
      <c r="E133" s="13" t="s">
        <v>937</v>
      </c>
      <c r="F133" s="8" t="s">
        <v>72</v>
      </c>
      <c r="G133" s="13"/>
      <c r="H133" s="8" t="s">
        <v>87</v>
      </c>
      <c r="I133" s="13" t="s">
        <v>75</v>
      </c>
      <c r="J133" s="14">
        <v>46151</v>
      </c>
      <c r="K133" s="14">
        <v>46177</v>
      </c>
      <c r="L133" s="15" t="s">
        <v>21</v>
      </c>
      <c r="M133" s="13"/>
      <c r="N133" s="16" t="s">
        <v>938</v>
      </c>
    </row>
    <row r="134" spans="1:14" ht="25.5" x14ac:dyDescent="0.25">
      <c r="A134" s="8" t="s">
        <v>842</v>
      </c>
      <c r="B134" s="13"/>
      <c r="C134" s="13" t="s">
        <v>279</v>
      </c>
      <c r="D134" s="8">
        <v>151</v>
      </c>
      <c r="E134" s="13" t="s">
        <v>939</v>
      </c>
      <c r="F134" s="8" t="s">
        <v>72</v>
      </c>
      <c r="G134" s="13"/>
      <c r="H134" s="8" t="s">
        <v>87</v>
      </c>
      <c r="I134" s="13" t="s">
        <v>75</v>
      </c>
      <c r="J134" s="14">
        <v>46151</v>
      </c>
      <c r="K134" s="14">
        <v>46177</v>
      </c>
      <c r="L134" s="15" t="s">
        <v>21</v>
      </c>
      <c r="M134" s="13"/>
      <c r="N134" s="16" t="s">
        <v>940</v>
      </c>
    </row>
    <row r="135" spans="1:14" ht="25.5" x14ac:dyDescent="0.25">
      <c r="A135" s="8" t="s">
        <v>842</v>
      </c>
      <c r="B135" s="13"/>
      <c r="C135" s="13" t="s">
        <v>279</v>
      </c>
      <c r="D135" s="8">
        <v>152</v>
      </c>
      <c r="E135" s="13" t="s">
        <v>941</v>
      </c>
      <c r="F135" s="8" t="s">
        <v>72</v>
      </c>
      <c r="G135" s="13"/>
      <c r="H135" s="8" t="s">
        <v>87</v>
      </c>
      <c r="I135" s="13" t="s">
        <v>75</v>
      </c>
      <c r="J135" s="14">
        <v>46151</v>
      </c>
      <c r="K135" s="14">
        <v>46177</v>
      </c>
      <c r="L135" s="15" t="s">
        <v>21</v>
      </c>
      <c r="M135" s="13"/>
      <c r="N135" s="16" t="s">
        <v>942</v>
      </c>
    </row>
    <row r="136" spans="1:14" ht="25.5" x14ac:dyDescent="0.25">
      <c r="A136" s="8" t="s">
        <v>842</v>
      </c>
      <c r="B136" s="13"/>
      <c r="C136" s="13" t="s">
        <v>279</v>
      </c>
      <c r="D136" s="8">
        <v>153</v>
      </c>
      <c r="E136" s="13" t="s">
        <v>943</v>
      </c>
      <c r="F136" s="8" t="s">
        <v>72</v>
      </c>
      <c r="G136" s="13"/>
      <c r="H136" s="8" t="s">
        <v>74</v>
      </c>
      <c r="I136" s="13" t="s">
        <v>75</v>
      </c>
      <c r="J136" s="14">
        <v>46151</v>
      </c>
      <c r="K136" s="14">
        <v>46177</v>
      </c>
      <c r="L136" s="15" t="s">
        <v>21</v>
      </c>
      <c r="M136" s="13"/>
      <c r="N136" s="16" t="s">
        <v>944</v>
      </c>
    </row>
    <row r="137" spans="1:14" ht="25.5" x14ac:dyDescent="0.25">
      <c r="A137" s="8" t="s">
        <v>842</v>
      </c>
      <c r="B137" s="13"/>
      <c r="C137" s="13" t="s">
        <v>279</v>
      </c>
      <c r="D137" s="8">
        <v>154</v>
      </c>
      <c r="E137" s="13" t="s">
        <v>945</v>
      </c>
      <c r="F137" s="8" t="s">
        <v>72</v>
      </c>
      <c r="G137" s="13"/>
      <c r="H137" s="8"/>
      <c r="I137" s="13" t="s">
        <v>75</v>
      </c>
      <c r="J137" s="14">
        <v>46151</v>
      </c>
      <c r="K137" s="14">
        <v>46177</v>
      </c>
      <c r="L137" s="15" t="s">
        <v>21</v>
      </c>
      <c r="M137" s="13"/>
      <c r="N137" s="16" t="s">
        <v>946</v>
      </c>
    </row>
    <row r="138" spans="1:14" ht="25.5" x14ac:dyDescent="0.25">
      <c r="A138" s="8" t="s">
        <v>842</v>
      </c>
      <c r="B138" s="13"/>
      <c r="C138" s="13" t="s">
        <v>279</v>
      </c>
      <c r="D138" s="8">
        <v>155</v>
      </c>
      <c r="E138" s="13" t="s">
        <v>947</v>
      </c>
      <c r="F138" s="8" t="s">
        <v>72</v>
      </c>
      <c r="G138" s="13"/>
      <c r="H138" s="8" t="s">
        <v>87</v>
      </c>
      <c r="I138" s="13" t="s">
        <v>75</v>
      </c>
      <c r="J138" s="14">
        <v>46151</v>
      </c>
      <c r="K138" s="14">
        <v>46177</v>
      </c>
      <c r="L138" s="15" t="s">
        <v>21</v>
      </c>
      <c r="M138" s="13"/>
      <c r="N138" s="16" t="s">
        <v>948</v>
      </c>
    </row>
    <row r="139" spans="1:14" ht="25.5" x14ac:dyDescent="0.25">
      <c r="A139" s="8" t="s">
        <v>842</v>
      </c>
      <c r="B139" s="13"/>
      <c r="C139" s="13" t="s">
        <v>279</v>
      </c>
      <c r="D139" s="8">
        <v>156</v>
      </c>
      <c r="E139" s="13" t="s">
        <v>949</v>
      </c>
      <c r="F139" s="8" t="s">
        <v>72</v>
      </c>
      <c r="G139" s="13"/>
      <c r="H139" s="8" t="s">
        <v>87</v>
      </c>
      <c r="I139" s="13" t="s">
        <v>75</v>
      </c>
      <c r="J139" s="14">
        <v>46151</v>
      </c>
      <c r="K139" s="14">
        <v>46177</v>
      </c>
      <c r="L139" s="15" t="s">
        <v>21</v>
      </c>
      <c r="M139" s="13"/>
      <c r="N139" s="16" t="s">
        <v>950</v>
      </c>
    </row>
    <row r="140" spans="1:14" ht="38.25" x14ac:dyDescent="0.25">
      <c r="A140" s="8" t="s">
        <v>842</v>
      </c>
      <c r="B140" s="13"/>
      <c r="C140" s="13" t="s">
        <v>279</v>
      </c>
      <c r="D140" s="8">
        <v>157</v>
      </c>
      <c r="E140" s="13" t="s">
        <v>951</v>
      </c>
      <c r="F140" s="8" t="s">
        <v>72</v>
      </c>
      <c r="G140" s="13"/>
      <c r="H140" s="8" t="s">
        <v>87</v>
      </c>
      <c r="I140" s="13" t="s">
        <v>75</v>
      </c>
      <c r="J140" s="14">
        <v>46151</v>
      </c>
      <c r="K140" s="14">
        <v>46177</v>
      </c>
      <c r="L140" s="15" t="s">
        <v>21</v>
      </c>
      <c r="M140" s="13"/>
      <c r="N140" s="16" t="s">
        <v>952</v>
      </c>
    </row>
    <row r="141" spans="1:14" ht="24" x14ac:dyDescent="0.25">
      <c r="A141" s="8" t="s">
        <v>842</v>
      </c>
      <c r="B141" s="13"/>
      <c r="C141" s="13" t="s">
        <v>279</v>
      </c>
      <c r="D141" s="8">
        <v>158</v>
      </c>
      <c r="E141" s="13" t="s">
        <v>953</v>
      </c>
      <c r="F141" s="8" t="s">
        <v>72</v>
      </c>
      <c r="G141" s="13"/>
      <c r="H141" s="8" t="s">
        <v>87</v>
      </c>
      <c r="I141" s="13" t="s">
        <v>75</v>
      </c>
      <c r="J141" s="14">
        <v>46151</v>
      </c>
      <c r="K141" s="14">
        <v>46177</v>
      </c>
      <c r="L141" s="15" t="s">
        <v>21</v>
      </c>
      <c r="M141" s="13"/>
      <c r="N141" s="16" t="s">
        <v>954</v>
      </c>
    </row>
    <row r="142" spans="1:14" ht="24" x14ac:dyDescent="0.25">
      <c r="A142" s="8" t="s">
        <v>842</v>
      </c>
      <c r="B142" s="13"/>
      <c r="C142" s="13" t="s">
        <v>279</v>
      </c>
      <c r="D142" s="8">
        <v>159</v>
      </c>
      <c r="E142" s="13" t="s">
        <v>955</v>
      </c>
      <c r="F142" s="8" t="s">
        <v>72</v>
      </c>
      <c r="G142" s="13"/>
      <c r="H142" s="8" t="s">
        <v>74</v>
      </c>
      <c r="I142" s="13" t="s">
        <v>75</v>
      </c>
      <c r="J142" s="14">
        <v>46151</v>
      </c>
      <c r="K142" s="14">
        <v>46177</v>
      </c>
      <c r="L142" s="15" t="s">
        <v>21</v>
      </c>
      <c r="M142" s="13"/>
      <c r="N142" s="16" t="s">
        <v>956</v>
      </c>
    </row>
    <row r="143" spans="1:14" ht="25.5" x14ac:dyDescent="0.25">
      <c r="A143" s="8" t="s">
        <v>842</v>
      </c>
      <c r="B143" s="13"/>
      <c r="C143" s="13" t="s">
        <v>595</v>
      </c>
      <c r="D143" s="8">
        <v>160</v>
      </c>
      <c r="E143" s="13" t="s">
        <v>957</v>
      </c>
      <c r="F143" s="8" t="s">
        <v>72</v>
      </c>
      <c r="G143" s="13"/>
      <c r="H143" s="8"/>
      <c r="I143" s="13" t="s">
        <v>75</v>
      </c>
      <c r="J143" s="14">
        <v>46151</v>
      </c>
      <c r="K143" s="14">
        <v>46151</v>
      </c>
      <c r="L143" s="15" t="s">
        <v>21</v>
      </c>
      <c r="M143" s="13"/>
      <c r="N143" s="16" t="s">
        <v>958</v>
      </c>
    </row>
    <row r="144" spans="1:14" ht="25.5" x14ac:dyDescent="0.25">
      <c r="A144" s="8" t="s">
        <v>842</v>
      </c>
      <c r="B144" s="13"/>
      <c r="C144" s="13" t="s">
        <v>279</v>
      </c>
      <c r="D144" s="8">
        <v>161</v>
      </c>
      <c r="E144" s="13" t="s">
        <v>959</v>
      </c>
      <c r="F144" s="8" t="s">
        <v>72</v>
      </c>
      <c r="G144" s="13"/>
      <c r="H144" s="8" t="s">
        <v>87</v>
      </c>
      <c r="I144" s="13" t="s">
        <v>75</v>
      </c>
      <c r="J144" s="14">
        <v>46151</v>
      </c>
      <c r="K144" s="14">
        <v>46178</v>
      </c>
      <c r="L144" s="17" t="s">
        <v>23</v>
      </c>
      <c r="M144" s="13" t="s">
        <v>200</v>
      </c>
      <c r="N144" s="16" t="s">
        <v>960</v>
      </c>
    </row>
    <row r="145" spans="1:14" ht="38.25" x14ac:dyDescent="0.25">
      <c r="A145" s="8" t="s">
        <v>842</v>
      </c>
      <c r="B145" s="13"/>
      <c r="C145" s="13" t="s">
        <v>595</v>
      </c>
      <c r="D145" s="8">
        <v>162</v>
      </c>
      <c r="E145" s="13" t="s">
        <v>961</v>
      </c>
      <c r="F145" s="8" t="s">
        <v>72</v>
      </c>
      <c r="G145" s="13"/>
      <c r="H145" s="8"/>
      <c r="I145" s="13" t="s">
        <v>75</v>
      </c>
      <c r="J145" s="14">
        <v>46151</v>
      </c>
      <c r="K145" s="14">
        <v>46154</v>
      </c>
      <c r="L145" s="15" t="s">
        <v>21</v>
      </c>
      <c r="M145" s="13"/>
      <c r="N145" s="16" t="s">
        <v>962</v>
      </c>
    </row>
    <row r="146" spans="1:14" ht="38.25" x14ac:dyDescent="0.25">
      <c r="A146" s="8" t="s">
        <v>842</v>
      </c>
      <c r="B146" s="13"/>
      <c r="C146" s="13" t="s">
        <v>70</v>
      </c>
      <c r="D146" s="8">
        <v>163</v>
      </c>
      <c r="E146" s="13" t="s">
        <v>963</v>
      </c>
      <c r="F146" s="8" t="s">
        <v>72</v>
      </c>
      <c r="G146" s="13"/>
      <c r="H146" s="8" t="s">
        <v>112</v>
      </c>
      <c r="I146" s="13" t="s">
        <v>75</v>
      </c>
      <c r="J146" s="14">
        <v>46151</v>
      </c>
      <c r="K146" s="14">
        <v>46176</v>
      </c>
      <c r="L146" s="15" t="s">
        <v>21</v>
      </c>
      <c r="M146" s="13"/>
      <c r="N146" s="16" t="s">
        <v>964</v>
      </c>
    </row>
    <row r="147" spans="1:14" ht="24" x14ac:dyDescent="0.25">
      <c r="A147" s="8" t="s">
        <v>842</v>
      </c>
      <c r="B147" s="13"/>
      <c r="C147" s="13" t="s">
        <v>335</v>
      </c>
      <c r="D147" s="8">
        <v>164</v>
      </c>
      <c r="E147" s="13" t="s">
        <v>965</v>
      </c>
      <c r="F147" s="8" t="s">
        <v>72</v>
      </c>
      <c r="G147" s="13"/>
      <c r="H147" s="8" t="s">
        <v>87</v>
      </c>
      <c r="I147" s="13" t="s">
        <v>75</v>
      </c>
      <c r="J147" s="14">
        <v>46151</v>
      </c>
      <c r="K147" s="14">
        <v>46177</v>
      </c>
      <c r="L147" s="15" t="s">
        <v>21</v>
      </c>
      <c r="M147" s="13"/>
      <c r="N147" s="16" t="s">
        <v>966</v>
      </c>
    </row>
    <row r="148" spans="1:14" ht="25.5" x14ac:dyDescent="0.25">
      <c r="A148" s="8" t="s">
        <v>842</v>
      </c>
      <c r="B148" s="13"/>
      <c r="C148" s="13" t="s">
        <v>412</v>
      </c>
      <c r="D148" s="8">
        <v>165</v>
      </c>
      <c r="E148" s="13" t="s">
        <v>967</v>
      </c>
      <c r="F148" s="8" t="s">
        <v>72</v>
      </c>
      <c r="G148" s="13"/>
      <c r="H148" s="8"/>
      <c r="I148" s="13" t="s">
        <v>75</v>
      </c>
      <c r="J148" s="14">
        <v>46151</v>
      </c>
      <c r="K148" s="14">
        <v>46177</v>
      </c>
      <c r="L148" s="15" t="s">
        <v>21</v>
      </c>
      <c r="M148" s="13"/>
      <c r="N148" s="16" t="s">
        <v>968</v>
      </c>
    </row>
    <row r="149" spans="1:14" ht="25.5" x14ac:dyDescent="0.25">
      <c r="A149" s="8" t="s">
        <v>842</v>
      </c>
      <c r="B149" s="13"/>
      <c r="C149" s="13" t="s">
        <v>412</v>
      </c>
      <c r="D149" s="8">
        <v>166</v>
      </c>
      <c r="E149" s="13" t="s">
        <v>969</v>
      </c>
      <c r="F149" s="8" t="s">
        <v>72</v>
      </c>
      <c r="G149" s="13"/>
      <c r="H149" s="8"/>
      <c r="I149" s="13" t="s">
        <v>75</v>
      </c>
      <c r="J149" s="14">
        <v>46151</v>
      </c>
      <c r="K149" s="14">
        <v>46177</v>
      </c>
      <c r="L149" s="15" t="s">
        <v>21</v>
      </c>
      <c r="M149" s="13"/>
      <c r="N149" s="16" t="s">
        <v>970</v>
      </c>
    </row>
    <row r="150" spans="1:14" ht="25.5" x14ac:dyDescent="0.25">
      <c r="A150" s="8" t="s">
        <v>842</v>
      </c>
      <c r="B150" s="13"/>
      <c r="C150" s="13" t="s">
        <v>412</v>
      </c>
      <c r="D150" s="8">
        <v>167</v>
      </c>
      <c r="E150" s="13" t="s">
        <v>971</v>
      </c>
      <c r="F150" s="8" t="s">
        <v>72</v>
      </c>
      <c r="G150" s="13"/>
      <c r="H150" s="8" t="s">
        <v>87</v>
      </c>
      <c r="I150" s="13" t="s">
        <v>75</v>
      </c>
      <c r="J150" s="14">
        <v>46151</v>
      </c>
      <c r="K150" s="14">
        <v>46177</v>
      </c>
      <c r="L150" s="15" t="s">
        <v>21</v>
      </c>
      <c r="M150" s="13"/>
      <c r="N150" s="16" t="s">
        <v>972</v>
      </c>
    </row>
    <row r="151" spans="1:14" ht="25.5" x14ac:dyDescent="0.25">
      <c r="A151" s="8" t="s">
        <v>842</v>
      </c>
      <c r="B151" s="13"/>
      <c r="C151" s="13" t="s">
        <v>412</v>
      </c>
      <c r="D151" s="8">
        <v>168</v>
      </c>
      <c r="E151" s="13" t="s">
        <v>973</v>
      </c>
      <c r="F151" s="8" t="s">
        <v>72</v>
      </c>
      <c r="G151" s="13"/>
      <c r="H151" s="8" t="s">
        <v>87</v>
      </c>
      <c r="I151" s="13" t="s">
        <v>75</v>
      </c>
      <c r="J151" s="14">
        <v>46151</v>
      </c>
      <c r="K151" s="14">
        <v>46177</v>
      </c>
      <c r="L151" s="15" t="s">
        <v>21</v>
      </c>
      <c r="M151" s="13"/>
      <c r="N151" s="16" t="s">
        <v>974</v>
      </c>
    </row>
    <row r="152" spans="1:14" ht="25.5" x14ac:dyDescent="0.25">
      <c r="A152" s="8" t="s">
        <v>842</v>
      </c>
      <c r="B152" s="13"/>
      <c r="C152" s="13" t="s">
        <v>412</v>
      </c>
      <c r="D152" s="8">
        <v>169</v>
      </c>
      <c r="E152" s="13" t="s">
        <v>975</v>
      </c>
      <c r="F152" s="8" t="s">
        <v>72</v>
      </c>
      <c r="G152" s="13"/>
      <c r="H152" s="8" t="s">
        <v>87</v>
      </c>
      <c r="I152" s="13" t="s">
        <v>75</v>
      </c>
      <c r="J152" s="14">
        <v>46151</v>
      </c>
      <c r="K152" s="14">
        <v>46177</v>
      </c>
      <c r="L152" s="15" t="s">
        <v>21</v>
      </c>
      <c r="M152" s="13"/>
      <c r="N152" s="16" t="s">
        <v>976</v>
      </c>
    </row>
    <row r="153" spans="1:14" ht="24" x14ac:dyDescent="0.25">
      <c r="A153" s="8" t="s">
        <v>842</v>
      </c>
      <c r="B153" s="13"/>
      <c r="C153" s="13" t="s">
        <v>412</v>
      </c>
      <c r="D153" s="8">
        <v>170</v>
      </c>
      <c r="E153" s="13" t="s">
        <v>977</v>
      </c>
      <c r="F153" s="8" t="s">
        <v>72</v>
      </c>
      <c r="G153" s="13"/>
      <c r="H153" s="8" t="s">
        <v>87</v>
      </c>
      <c r="I153" s="13" t="s">
        <v>75</v>
      </c>
      <c r="J153" s="14">
        <v>46151</v>
      </c>
      <c r="K153" s="14">
        <v>46177</v>
      </c>
      <c r="L153" s="15" t="s">
        <v>21</v>
      </c>
      <c r="M153" s="13"/>
      <c r="N153" s="16" t="s">
        <v>978</v>
      </c>
    </row>
    <row r="154" spans="1:14" ht="25.5" x14ac:dyDescent="0.25">
      <c r="A154" s="8" t="s">
        <v>842</v>
      </c>
      <c r="B154" s="13"/>
      <c r="C154" s="13" t="s">
        <v>910</v>
      </c>
      <c r="D154" s="8">
        <v>171</v>
      </c>
      <c r="E154" s="13" t="s">
        <v>979</v>
      </c>
      <c r="F154" s="8" t="s">
        <v>72</v>
      </c>
      <c r="G154" s="13"/>
      <c r="H154" s="8" t="s">
        <v>74</v>
      </c>
      <c r="I154" s="13" t="s">
        <v>75</v>
      </c>
      <c r="J154" s="14">
        <v>46151</v>
      </c>
      <c r="K154" s="14">
        <v>46177</v>
      </c>
      <c r="L154" s="15" t="s">
        <v>21</v>
      </c>
      <c r="M154" s="13"/>
      <c r="N154" s="16" t="s">
        <v>980</v>
      </c>
    </row>
    <row r="155" spans="1:14" ht="25.5" x14ac:dyDescent="0.25">
      <c r="A155" s="8" t="s">
        <v>842</v>
      </c>
      <c r="B155" s="13"/>
      <c r="C155" s="13" t="s">
        <v>595</v>
      </c>
      <c r="D155" s="8">
        <v>172</v>
      </c>
      <c r="E155" s="13" t="s">
        <v>981</v>
      </c>
      <c r="F155" s="8" t="s">
        <v>72</v>
      </c>
      <c r="G155" s="13"/>
      <c r="H155" s="8"/>
      <c r="I155" s="13" t="s">
        <v>75</v>
      </c>
      <c r="J155" s="14">
        <v>46151</v>
      </c>
      <c r="K155" s="14">
        <v>46154</v>
      </c>
      <c r="L155" s="15" t="s">
        <v>21</v>
      </c>
      <c r="M155" s="13"/>
      <c r="N155" s="16" t="s">
        <v>982</v>
      </c>
    </row>
    <row r="156" spans="1:14" ht="25.5" x14ac:dyDescent="0.25">
      <c r="A156" s="8" t="s">
        <v>842</v>
      </c>
      <c r="B156" s="13"/>
      <c r="C156" s="13" t="s">
        <v>595</v>
      </c>
      <c r="D156" s="8">
        <v>173</v>
      </c>
      <c r="E156" s="13" t="s">
        <v>983</v>
      </c>
      <c r="F156" s="8" t="s">
        <v>72</v>
      </c>
      <c r="G156" s="13"/>
      <c r="H156" s="8"/>
      <c r="I156" s="13" t="s">
        <v>75</v>
      </c>
      <c r="J156" s="14">
        <v>46151</v>
      </c>
      <c r="K156" s="14">
        <v>46154</v>
      </c>
      <c r="L156" s="15" t="s">
        <v>21</v>
      </c>
      <c r="M156" s="13"/>
      <c r="N156" s="16" t="s">
        <v>984</v>
      </c>
    </row>
    <row r="157" spans="1:14" ht="38.25" x14ac:dyDescent="0.25">
      <c r="A157" s="8" t="s">
        <v>842</v>
      </c>
      <c r="B157" s="13"/>
      <c r="C157" s="13" t="s">
        <v>142</v>
      </c>
      <c r="D157" s="8">
        <v>174</v>
      </c>
      <c r="E157" s="13" t="s">
        <v>985</v>
      </c>
      <c r="F157" s="8" t="s">
        <v>72</v>
      </c>
      <c r="G157" s="13"/>
      <c r="H157" s="8" t="s">
        <v>74</v>
      </c>
      <c r="I157" s="13" t="s">
        <v>75</v>
      </c>
      <c r="J157" s="14">
        <v>46151</v>
      </c>
      <c r="K157" s="14">
        <v>46175</v>
      </c>
      <c r="L157" s="15" t="s">
        <v>21</v>
      </c>
      <c r="M157" s="13"/>
      <c r="N157" s="16" t="s">
        <v>986</v>
      </c>
    </row>
    <row r="158" spans="1:14" ht="38.25" x14ac:dyDescent="0.25">
      <c r="A158" s="8" t="s">
        <v>842</v>
      </c>
      <c r="B158" s="13"/>
      <c r="C158" s="13" t="s">
        <v>142</v>
      </c>
      <c r="D158" s="8">
        <v>175</v>
      </c>
      <c r="E158" s="13" t="s">
        <v>987</v>
      </c>
      <c r="F158" s="8" t="s">
        <v>72</v>
      </c>
      <c r="G158" s="13"/>
      <c r="H158" s="8" t="s">
        <v>74</v>
      </c>
      <c r="I158" s="13" t="s">
        <v>75</v>
      </c>
      <c r="J158" s="14">
        <v>46151</v>
      </c>
      <c r="K158" s="14">
        <v>46175</v>
      </c>
      <c r="L158" s="15" t="s">
        <v>21</v>
      </c>
      <c r="M158" s="13"/>
      <c r="N158" s="16" t="s">
        <v>988</v>
      </c>
    </row>
    <row r="159" spans="1:14" ht="25.5" x14ac:dyDescent="0.25">
      <c r="A159" s="8" t="s">
        <v>842</v>
      </c>
      <c r="B159" s="13"/>
      <c r="C159" s="13" t="s">
        <v>989</v>
      </c>
      <c r="D159" s="8">
        <v>176</v>
      </c>
      <c r="E159" s="13" t="s">
        <v>990</v>
      </c>
      <c r="F159" s="8" t="s">
        <v>72</v>
      </c>
      <c r="G159" s="13"/>
      <c r="H159" s="8" t="s">
        <v>87</v>
      </c>
      <c r="I159" s="13" t="s">
        <v>75</v>
      </c>
      <c r="J159" s="14">
        <v>46151</v>
      </c>
      <c r="K159" s="14">
        <v>46175</v>
      </c>
      <c r="L159" s="15" t="s">
        <v>21</v>
      </c>
      <c r="M159" s="13"/>
      <c r="N159" s="16" t="s">
        <v>991</v>
      </c>
    </row>
    <row r="160" spans="1:14" ht="25.5" x14ac:dyDescent="0.25">
      <c r="A160" s="8" t="s">
        <v>842</v>
      </c>
      <c r="B160" s="13"/>
      <c r="C160" s="13" t="s">
        <v>989</v>
      </c>
      <c r="D160" s="8">
        <v>177</v>
      </c>
      <c r="E160" s="13" t="s">
        <v>992</v>
      </c>
      <c r="F160" s="8" t="s">
        <v>72</v>
      </c>
      <c r="G160" s="13"/>
      <c r="H160" s="8" t="s">
        <v>74</v>
      </c>
      <c r="I160" s="13" t="s">
        <v>75</v>
      </c>
      <c r="J160" s="14">
        <v>46151</v>
      </c>
      <c r="K160" s="14">
        <v>46177</v>
      </c>
      <c r="L160" s="15" t="s">
        <v>21</v>
      </c>
      <c r="M160" s="13"/>
      <c r="N160" s="16" t="s">
        <v>993</v>
      </c>
    </row>
    <row r="161" spans="1:14" ht="25.5" x14ac:dyDescent="0.25">
      <c r="A161" s="8" t="s">
        <v>842</v>
      </c>
      <c r="B161" s="13"/>
      <c r="C161" s="13" t="s">
        <v>989</v>
      </c>
      <c r="D161" s="8">
        <v>178</v>
      </c>
      <c r="E161" s="13" t="s">
        <v>994</v>
      </c>
      <c r="F161" s="8" t="s">
        <v>72</v>
      </c>
      <c r="G161" s="13"/>
      <c r="H161" s="8" t="s">
        <v>74</v>
      </c>
      <c r="I161" s="13" t="s">
        <v>75</v>
      </c>
      <c r="J161" s="14">
        <v>46151</v>
      </c>
      <c r="K161" s="14">
        <v>46175</v>
      </c>
      <c r="L161" s="15" t="s">
        <v>21</v>
      </c>
      <c r="M161" s="13"/>
      <c r="N161" s="16" t="s">
        <v>995</v>
      </c>
    </row>
    <row r="162" spans="1:14" ht="38.25" x14ac:dyDescent="0.25">
      <c r="A162" s="8" t="s">
        <v>842</v>
      </c>
      <c r="B162" s="13"/>
      <c r="C162" s="13" t="s">
        <v>996</v>
      </c>
      <c r="D162" s="8">
        <v>179</v>
      </c>
      <c r="E162" s="13" t="s">
        <v>997</v>
      </c>
      <c r="F162" s="8" t="s">
        <v>72</v>
      </c>
      <c r="G162" s="13"/>
      <c r="H162" s="8" t="s">
        <v>87</v>
      </c>
      <c r="I162" s="13" t="s">
        <v>75</v>
      </c>
      <c r="J162" s="14">
        <v>46151</v>
      </c>
      <c r="K162" s="14">
        <v>46176</v>
      </c>
      <c r="L162" s="15" t="s">
        <v>21</v>
      </c>
      <c r="M162" s="13"/>
      <c r="N162" s="16" t="s">
        <v>998</v>
      </c>
    </row>
    <row r="163" spans="1:14" ht="25.5" x14ac:dyDescent="0.25">
      <c r="A163" s="8" t="s">
        <v>842</v>
      </c>
      <c r="B163" s="13"/>
      <c r="C163" s="13" t="s">
        <v>996</v>
      </c>
      <c r="D163" s="8">
        <v>180</v>
      </c>
      <c r="E163" s="13" t="s">
        <v>999</v>
      </c>
      <c r="F163" s="8" t="s">
        <v>72</v>
      </c>
      <c r="G163" s="13"/>
      <c r="H163" s="8" t="s">
        <v>87</v>
      </c>
      <c r="I163" s="13" t="s">
        <v>75</v>
      </c>
      <c r="J163" s="14">
        <v>46151</v>
      </c>
      <c r="K163" s="14">
        <v>46176</v>
      </c>
      <c r="L163" s="15" t="s">
        <v>21</v>
      </c>
      <c r="M163" s="13"/>
      <c r="N163" s="16" t="s">
        <v>1000</v>
      </c>
    </row>
    <row r="164" spans="1:14" ht="25.5" x14ac:dyDescent="0.25">
      <c r="A164" s="8" t="s">
        <v>842</v>
      </c>
      <c r="B164" s="13"/>
      <c r="C164" s="13" t="s">
        <v>996</v>
      </c>
      <c r="D164" s="8">
        <v>181</v>
      </c>
      <c r="E164" s="13" t="s">
        <v>1001</v>
      </c>
      <c r="F164" s="8" t="s">
        <v>72</v>
      </c>
      <c r="G164" s="13"/>
      <c r="H164" s="8" t="s">
        <v>87</v>
      </c>
      <c r="I164" s="13" t="s">
        <v>75</v>
      </c>
      <c r="J164" s="14">
        <v>46151</v>
      </c>
      <c r="K164" s="14">
        <v>46175</v>
      </c>
      <c r="L164" s="15" t="s">
        <v>21</v>
      </c>
      <c r="M164" s="13"/>
      <c r="N164" s="16" t="s">
        <v>1002</v>
      </c>
    </row>
    <row r="165" spans="1:14" ht="25.5" x14ac:dyDescent="0.25">
      <c r="A165" s="8" t="s">
        <v>842</v>
      </c>
      <c r="B165" s="13"/>
      <c r="C165" s="13" t="s">
        <v>996</v>
      </c>
      <c r="D165" s="8">
        <v>182</v>
      </c>
      <c r="E165" s="13" t="s">
        <v>1003</v>
      </c>
      <c r="F165" s="8" t="s">
        <v>72</v>
      </c>
      <c r="G165" s="13"/>
      <c r="H165" s="8" t="s">
        <v>87</v>
      </c>
      <c r="I165" s="13" t="s">
        <v>75</v>
      </c>
      <c r="J165" s="14">
        <v>46151</v>
      </c>
      <c r="K165" s="14">
        <v>46175</v>
      </c>
      <c r="L165" s="15" t="s">
        <v>21</v>
      </c>
      <c r="M165" s="13"/>
      <c r="N165" s="16" t="s">
        <v>1004</v>
      </c>
    </row>
    <row r="166" spans="1:14" ht="25.5" x14ac:dyDescent="0.25">
      <c r="A166" s="8" t="s">
        <v>842</v>
      </c>
      <c r="B166" s="13"/>
      <c r="C166" s="13" t="s">
        <v>996</v>
      </c>
      <c r="D166" s="8">
        <v>183</v>
      </c>
      <c r="E166" s="13" t="s">
        <v>1005</v>
      </c>
      <c r="F166" s="8" t="s">
        <v>72</v>
      </c>
      <c r="G166" s="13"/>
      <c r="H166" s="8" t="s">
        <v>87</v>
      </c>
      <c r="I166" s="13" t="s">
        <v>75</v>
      </c>
      <c r="J166" s="14">
        <v>46151</v>
      </c>
      <c r="K166" s="14">
        <v>46175</v>
      </c>
      <c r="L166" s="15" t="s">
        <v>21</v>
      </c>
      <c r="M166" s="13"/>
      <c r="N166" s="16" t="s">
        <v>1006</v>
      </c>
    </row>
    <row r="167" spans="1:14" ht="25.5" x14ac:dyDescent="0.25">
      <c r="A167" s="8" t="s">
        <v>842</v>
      </c>
      <c r="B167" s="13"/>
      <c r="C167" s="13" t="s">
        <v>996</v>
      </c>
      <c r="D167" s="8">
        <v>184</v>
      </c>
      <c r="E167" s="13" t="s">
        <v>1007</v>
      </c>
      <c r="F167" s="8" t="s">
        <v>72</v>
      </c>
      <c r="G167" s="13"/>
      <c r="H167" s="8" t="s">
        <v>74</v>
      </c>
      <c r="I167" s="13" t="s">
        <v>75</v>
      </c>
      <c r="J167" s="14">
        <v>46151</v>
      </c>
      <c r="K167" s="14">
        <v>46176</v>
      </c>
      <c r="L167" s="15" t="s">
        <v>21</v>
      </c>
      <c r="M167" s="13"/>
      <c r="N167" s="16" t="s">
        <v>1008</v>
      </c>
    </row>
    <row r="168" spans="1:14" ht="25.5" x14ac:dyDescent="0.25">
      <c r="A168" s="8" t="s">
        <v>842</v>
      </c>
      <c r="B168" s="13"/>
      <c r="C168" s="13" t="s">
        <v>996</v>
      </c>
      <c r="D168" s="8">
        <v>185</v>
      </c>
      <c r="E168" s="13" t="s">
        <v>1009</v>
      </c>
      <c r="F168" s="8" t="s">
        <v>72</v>
      </c>
      <c r="G168" s="13"/>
      <c r="H168" s="8" t="s">
        <v>74</v>
      </c>
      <c r="I168" s="13" t="s">
        <v>75</v>
      </c>
      <c r="J168" s="14">
        <v>46151</v>
      </c>
      <c r="K168" s="14">
        <v>46175</v>
      </c>
      <c r="L168" s="15" t="s">
        <v>21</v>
      </c>
      <c r="M168" s="13"/>
      <c r="N168" s="16" t="s">
        <v>1010</v>
      </c>
    </row>
    <row r="169" spans="1:14" ht="25.5" x14ac:dyDescent="0.25">
      <c r="A169" s="8" t="s">
        <v>842</v>
      </c>
      <c r="B169" s="13"/>
      <c r="C169" s="13" t="s">
        <v>996</v>
      </c>
      <c r="D169" s="8">
        <v>186</v>
      </c>
      <c r="E169" s="13" t="s">
        <v>1011</v>
      </c>
      <c r="F169" s="8" t="s">
        <v>72</v>
      </c>
      <c r="G169" s="13"/>
      <c r="H169" s="8" t="s">
        <v>87</v>
      </c>
      <c r="I169" s="13" t="s">
        <v>75</v>
      </c>
      <c r="J169" s="14">
        <v>46151</v>
      </c>
      <c r="K169" s="14">
        <v>46175</v>
      </c>
      <c r="L169" s="15" t="s">
        <v>21</v>
      </c>
      <c r="M169" s="13"/>
      <c r="N169" s="16" t="s">
        <v>1012</v>
      </c>
    </row>
    <row r="170" spans="1:14" ht="25.5" x14ac:dyDescent="0.25">
      <c r="A170" s="8" t="s">
        <v>842</v>
      </c>
      <c r="B170" s="13"/>
      <c r="C170" s="13" t="s">
        <v>996</v>
      </c>
      <c r="D170" s="8">
        <v>187</v>
      </c>
      <c r="E170" s="13" t="s">
        <v>1013</v>
      </c>
      <c r="F170" s="8" t="s">
        <v>72</v>
      </c>
      <c r="G170" s="13"/>
      <c r="H170" s="8" t="s">
        <v>74</v>
      </c>
      <c r="I170" s="13" t="s">
        <v>75</v>
      </c>
      <c r="J170" s="14">
        <v>46151</v>
      </c>
      <c r="K170" s="14">
        <v>46176</v>
      </c>
      <c r="L170" s="15" t="s">
        <v>21</v>
      </c>
      <c r="M170" s="13"/>
      <c r="N170" s="16" t="s">
        <v>1014</v>
      </c>
    </row>
    <row r="171" spans="1:14" ht="25.5" x14ac:dyDescent="0.25">
      <c r="A171" s="8" t="s">
        <v>842</v>
      </c>
      <c r="B171" s="13"/>
      <c r="C171" s="13" t="s">
        <v>996</v>
      </c>
      <c r="D171" s="8">
        <v>188</v>
      </c>
      <c r="E171" s="13" t="s">
        <v>1015</v>
      </c>
      <c r="F171" s="8" t="s">
        <v>72</v>
      </c>
      <c r="G171" s="13"/>
      <c r="H171" s="8" t="s">
        <v>74</v>
      </c>
      <c r="I171" s="13" t="s">
        <v>75</v>
      </c>
      <c r="J171" s="14">
        <v>46151</v>
      </c>
      <c r="K171" s="14">
        <v>46175</v>
      </c>
      <c r="L171" s="15" t="s">
        <v>21</v>
      </c>
      <c r="M171" s="13"/>
      <c r="N171" s="16" t="s">
        <v>1016</v>
      </c>
    </row>
    <row r="172" spans="1:14" ht="25.5" x14ac:dyDescent="0.25">
      <c r="A172" s="8" t="s">
        <v>842</v>
      </c>
      <c r="B172" s="13"/>
      <c r="C172" s="13" t="s">
        <v>996</v>
      </c>
      <c r="D172" s="8">
        <v>189</v>
      </c>
      <c r="E172" s="13" t="s">
        <v>1017</v>
      </c>
      <c r="F172" s="8" t="s">
        <v>72</v>
      </c>
      <c r="G172" s="13"/>
      <c r="H172" s="8" t="s">
        <v>87</v>
      </c>
      <c r="I172" s="13" t="s">
        <v>75</v>
      </c>
      <c r="J172" s="14">
        <v>46151</v>
      </c>
      <c r="K172" s="14">
        <v>46176</v>
      </c>
      <c r="L172" s="15" t="s">
        <v>21</v>
      </c>
      <c r="M172" s="13"/>
      <c r="N172" s="16" t="s">
        <v>1018</v>
      </c>
    </row>
    <row r="173" spans="1:14" ht="25.5" x14ac:dyDescent="0.25">
      <c r="A173" s="8" t="s">
        <v>842</v>
      </c>
      <c r="B173" s="13"/>
      <c r="C173" s="13" t="s">
        <v>1019</v>
      </c>
      <c r="D173" s="8">
        <v>190</v>
      </c>
      <c r="E173" s="13" t="s">
        <v>1020</v>
      </c>
      <c r="F173" s="8" t="s">
        <v>72</v>
      </c>
      <c r="G173" s="13"/>
      <c r="H173" s="8" t="s">
        <v>87</v>
      </c>
      <c r="I173" s="13" t="s">
        <v>75</v>
      </c>
      <c r="J173" s="14">
        <v>46151</v>
      </c>
      <c r="K173" s="14">
        <v>46178</v>
      </c>
      <c r="L173" s="17" t="s">
        <v>23</v>
      </c>
      <c r="M173" s="13" t="s">
        <v>200</v>
      </c>
      <c r="N173" s="16" t="s">
        <v>1021</v>
      </c>
    </row>
    <row r="174" spans="1:14" ht="25.5" x14ac:dyDescent="0.25">
      <c r="A174" s="8" t="s">
        <v>842</v>
      </c>
      <c r="B174" s="13"/>
      <c r="C174" s="13" t="s">
        <v>595</v>
      </c>
      <c r="D174" s="8">
        <v>191</v>
      </c>
      <c r="E174" s="13" t="s">
        <v>1022</v>
      </c>
      <c r="F174" s="8" t="s">
        <v>72</v>
      </c>
      <c r="G174" s="13"/>
      <c r="H174" s="8"/>
      <c r="I174" s="13" t="s">
        <v>75</v>
      </c>
      <c r="J174" s="14">
        <v>46151</v>
      </c>
      <c r="K174" s="14">
        <v>46154</v>
      </c>
      <c r="L174" s="15" t="s">
        <v>21</v>
      </c>
      <c r="M174" s="13"/>
      <c r="N174" s="16" t="s">
        <v>1023</v>
      </c>
    </row>
    <row r="175" spans="1:14" ht="25.5" x14ac:dyDescent="0.25">
      <c r="A175" s="8" t="s">
        <v>842</v>
      </c>
      <c r="B175" s="13"/>
      <c r="C175" s="13" t="s">
        <v>595</v>
      </c>
      <c r="D175" s="8">
        <v>192</v>
      </c>
      <c r="E175" s="13" t="s">
        <v>1024</v>
      </c>
      <c r="F175" s="8" t="s">
        <v>72</v>
      </c>
      <c r="G175" s="13"/>
      <c r="H175" s="8"/>
      <c r="I175" s="13" t="s">
        <v>75</v>
      </c>
      <c r="J175" s="14">
        <v>46151</v>
      </c>
      <c r="K175" s="14">
        <v>46154</v>
      </c>
      <c r="L175" s="15" t="s">
        <v>21</v>
      </c>
      <c r="M175" s="13"/>
      <c r="N175" s="16" t="s">
        <v>1025</v>
      </c>
    </row>
    <row r="176" spans="1:14" ht="25.5" x14ac:dyDescent="0.25">
      <c r="A176" s="8" t="s">
        <v>842</v>
      </c>
      <c r="B176" s="13"/>
      <c r="C176" s="13" t="s">
        <v>1019</v>
      </c>
      <c r="D176" s="8">
        <v>193</v>
      </c>
      <c r="E176" s="13" t="s">
        <v>1026</v>
      </c>
      <c r="F176" s="8" t="s">
        <v>72</v>
      </c>
      <c r="G176" s="13"/>
      <c r="H176" s="8" t="s">
        <v>87</v>
      </c>
      <c r="I176" s="13" t="s">
        <v>75</v>
      </c>
      <c r="J176" s="14">
        <v>46151</v>
      </c>
      <c r="K176" s="14">
        <v>46178</v>
      </c>
      <c r="L176" s="17" t="s">
        <v>23</v>
      </c>
      <c r="M176" s="13" t="s">
        <v>200</v>
      </c>
      <c r="N176" s="16" t="s">
        <v>1027</v>
      </c>
    </row>
    <row r="177" spans="1:14" ht="25.5" x14ac:dyDescent="0.25">
      <c r="A177" s="8" t="s">
        <v>842</v>
      </c>
      <c r="B177" s="13"/>
      <c r="C177" s="13" t="s">
        <v>1019</v>
      </c>
      <c r="D177" s="8">
        <v>194</v>
      </c>
      <c r="E177" s="13" t="s">
        <v>1028</v>
      </c>
      <c r="F177" s="8" t="s">
        <v>72</v>
      </c>
      <c r="G177" s="13"/>
      <c r="H177" s="8" t="s">
        <v>87</v>
      </c>
      <c r="I177" s="13" t="s">
        <v>75</v>
      </c>
      <c r="J177" s="14">
        <v>46151</v>
      </c>
      <c r="K177" s="14">
        <v>46178</v>
      </c>
      <c r="L177" s="17" t="s">
        <v>23</v>
      </c>
      <c r="M177" s="13" t="s">
        <v>200</v>
      </c>
      <c r="N177" s="16" t="s">
        <v>1029</v>
      </c>
    </row>
    <row r="178" spans="1:14" ht="25.5" x14ac:dyDescent="0.25">
      <c r="A178" s="8" t="s">
        <v>842</v>
      </c>
      <c r="B178" s="13"/>
      <c r="C178" s="13" t="s">
        <v>1019</v>
      </c>
      <c r="D178" s="8">
        <v>195</v>
      </c>
      <c r="E178" s="13" t="s">
        <v>1030</v>
      </c>
      <c r="F178" s="8" t="s">
        <v>72</v>
      </c>
      <c r="G178" s="13"/>
      <c r="H178" s="8" t="s">
        <v>87</v>
      </c>
      <c r="I178" s="13" t="s">
        <v>75</v>
      </c>
      <c r="J178" s="14">
        <v>46151</v>
      </c>
      <c r="K178" s="14">
        <v>46178</v>
      </c>
      <c r="L178" s="17" t="s">
        <v>23</v>
      </c>
      <c r="M178" s="13" t="s">
        <v>200</v>
      </c>
      <c r="N178" s="16" t="s">
        <v>1031</v>
      </c>
    </row>
    <row r="179" spans="1:14" ht="25.5" x14ac:dyDescent="0.25">
      <c r="A179" s="8" t="s">
        <v>842</v>
      </c>
      <c r="B179" s="13"/>
      <c r="C179" s="13" t="s">
        <v>1019</v>
      </c>
      <c r="D179" s="8">
        <v>196</v>
      </c>
      <c r="E179" s="13" t="s">
        <v>1032</v>
      </c>
      <c r="F179" s="8" t="s">
        <v>72</v>
      </c>
      <c r="G179" s="13"/>
      <c r="H179" s="8" t="s">
        <v>87</v>
      </c>
      <c r="I179" s="13" t="s">
        <v>75</v>
      </c>
      <c r="J179" s="14">
        <v>46151</v>
      </c>
      <c r="K179" s="14">
        <v>46178</v>
      </c>
      <c r="L179" s="17" t="s">
        <v>23</v>
      </c>
      <c r="M179" s="13" t="s">
        <v>200</v>
      </c>
      <c r="N179" s="16" t="s">
        <v>1033</v>
      </c>
    </row>
    <row r="180" spans="1:14" ht="25.5" x14ac:dyDescent="0.25">
      <c r="A180" s="8" t="s">
        <v>842</v>
      </c>
      <c r="B180" s="13"/>
      <c r="C180" s="13" t="s">
        <v>1019</v>
      </c>
      <c r="D180" s="8">
        <v>197</v>
      </c>
      <c r="E180" s="13" t="s">
        <v>1034</v>
      </c>
      <c r="F180" s="8" t="s">
        <v>72</v>
      </c>
      <c r="G180" s="13"/>
      <c r="H180" s="8" t="s">
        <v>87</v>
      </c>
      <c r="I180" s="13" t="s">
        <v>75</v>
      </c>
      <c r="J180" s="14">
        <v>46151</v>
      </c>
      <c r="K180" s="14">
        <v>46176</v>
      </c>
      <c r="L180" s="15" t="s">
        <v>21</v>
      </c>
      <c r="M180" s="13"/>
      <c r="N180" s="16" t="s">
        <v>1035</v>
      </c>
    </row>
    <row r="181" spans="1:14" ht="25.5" x14ac:dyDescent="0.25">
      <c r="A181" s="8" t="s">
        <v>842</v>
      </c>
      <c r="B181" s="13"/>
      <c r="C181" s="13" t="s">
        <v>1019</v>
      </c>
      <c r="D181" s="8">
        <v>198</v>
      </c>
      <c r="E181" s="13" t="s">
        <v>1036</v>
      </c>
      <c r="F181" s="8" t="s">
        <v>72</v>
      </c>
      <c r="G181" s="13"/>
      <c r="H181" s="8"/>
      <c r="I181" s="13" t="s">
        <v>75</v>
      </c>
      <c r="J181" s="14">
        <v>46151</v>
      </c>
      <c r="K181" s="14">
        <v>46178</v>
      </c>
      <c r="L181" s="17" t="s">
        <v>23</v>
      </c>
      <c r="M181" s="13" t="s">
        <v>200</v>
      </c>
      <c r="N181" s="16" t="s">
        <v>1037</v>
      </c>
    </row>
    <row r="182" spans="1:14" ht="24" x14ac:dyDescent="0.25">
      <c r="A182" s="8" t="s">
        <v>842</v>
      </c>
      <c r="B182" s="13"/>
      <c r="C182" s="13" t="s">
        <v>1019</v>
      </c>
      <c r="D182" s="8">
        <v>199</v>
      </c>
      <c r="E182" s="13" t="s">
        <v>1038</v>
      </c>
      <c r="F182" s="8" t="s">
        <v>72</v>
      </c>
      <c r="G182" s="13"/>
      <c r="H182" s="8" t="s">
        <v>87</v>
      </c>
      <c r="I182" s="13" t="s">
        <v>75</v>
      </c>
      <c r="J182" s="14">
        <v>46151</v>
      </c>
      <c r="K182" s="14">
        <v>46178</v>
      </c>
      <c r="L182" s="17" t="s">
        <v>23</v>
      </c>
      <c r="M182" s="13" t="s">
        <v>200</v>
      </c>
      <c r="N182" s="16" t="s">
        <v>1039</v>
      </c>
    </row>
    <row r="183" spans="1:14" ht="38.25" x14ac:dyDescent="0.25">
      <c r="A183" s="8" t="s">
        <v>842</v>
      </c>
      <c r="B183" s="13"/>
      <c r="C183" s="13" t="s">
        <v>1040</v>
      </c>
      <c r="D183" s="8">
        <v>200</v>
      </c>
      <c r="E183" s="13" t="s">
        <v>1041</v>
      </c>
      <c r="F183" s="8" t="s">
        <v>72</v>
      </c>
      <c r="G183" s="13"/>
      <c r="H183" s="8" t="s">
        <v>87</v>
      </c>
      <c r="I183" s="13" t="s">
        <v>75</v>
      </c>
      <c r="J183" s="14">
        <v>46151</v>
      </c>
      <c r="K183" s="14">
        <v>46177</v>
      </c>
      <c r="L183" s="15" t="s">
        <v>21</v>
      </c>
      <c r="M183" s="13"/>
      <c r="N183" s="16" t="s">
        <v>1042</v>
      </c>
    </row>
    <row r="184" spans="1:14" ht="38.25" x14ac:dyDescent="0.25">
      <c r="A184" s="8" t="s">
        <v>842</v>
      </c>
      <c r="B184" s="13"/>
      <c r="C184" s="13" t="s">
        <v>1040</v>
      </c>
      <c r="D184" s="8">
        <v>201</v>
      </c>
      <c r="E184" s="13" t="s">
        <v>1043</v>
      </c>
      <c r="F184" s="8" t="s">
        <v>72</v>
      </c>
      <c r="G184" s="13"/>
      <c r="H184" s="8" t="s">
        <v>74</v>
      </c>
      <c r="I184" s="13" t="s">
        <v>75</v>
      </c>
      <c r="J184" s="14">
        <v>46151</v>
      </c>
      <c r="K184" s="14">
        <v>46177</v>
      </c>
      <c r="L184" s="15" t="s">
        <v>21</v>
      </c>
      <c r="M184" s="13"/>
      <c r="N184" s="16" t="s">
        <v>1044</v>
      </c>
    </row>
    <row r="185" spans="1:14" ht="38.25" x14ac:dyDescent="0.25">
      <c r="A185" s="8" t="s">
        <v>842</v>
      </c>
      <c r="B185" s="13"/>
      <c r="C185" s="13" t="s">
        <v>1040</v>
      </c>
      <c r="D185" s="8">
        <v>202</v>
      </c>
      <c r="E185" s="13" t="s">
        <v>1045</v>
      </c>
      <c r="F185" s="8" t="s">
        <v>72</v>
      </c>
      <c r="G185" s="13"/>
      <c r="H185" s="8" t="s">
        <v>74</v>
      </c>
      <c r="I185" s="13" t="s">
        <v>75</v>
      </c>
      <c r="J185" s="14">
        <v>46151</v>
      </c>
      <c r="K185" s="14">
        <v>46177</v>
      </c>
      <c r="L185" s="15" t="s">
        <v>21</v>
      </c>
      <c r="M185" s="13"/>
      <c r="N185" s="16" t="s">
        <v>1046</v>
      </c>
    </row>
    <row r="186" spans="1:14" ht="38.25" x14ac:dyDescent="0.25">
      <c r="A186" s="8" t="s">
        <v>842</v>
      </c>
      <c r="B186" s="13"/>
      <c r="C186" s="13" t="s">
        <v>1040</v>
      </c>
      <c r="D186" s="8">
        <v>203</v>
      </c>
      <c r="E186" s="13" t="s">
        <v>1047</v>
      </c>
      <c r="F186" s="8" t="s">
        <v>72</v>
      </c>
      <c r="G186" s="13"/>
      <c r="H186" s="8" t="s">
        <v>74</v>
      </c>
      <c r="I186" s="13" t="s">
        <v>75</v>
      </c>
      <c r="J186" s="14">
        <v>46151</v>
      </c>
      <c r="K186" s="14">
        <v>46177</v>
      </c>
      <c r="L186" s="15" t="s">
        <v>21</v>
      </c>
      <c r="M186" s="13"/>
      <c r="N186" s="16" t="s">
        <v>1048</v>
      </c>
    </row>
    <row r="187" spans="1:14" ht="38.25" x14ac:dyDescent="0.25">
      <c r="A187" s="8" t="s">
        <v>842</v>
      </c>
      <c r="B187" s="13"/>
      <c r="C187" s="13" t="s">
        <v>1040</v>
      </c>
      <c r="D187" s="8">
        <v>204</v>
      </c>
      <c r="E187" s="13" t="s">
        <v>1049</v>
      </c>
      <c r="F187" s="8" t="s">
        <v>72</v>
      </c>
      <c r="G187" s="13"/>
      <c r="H187" s="8" t="s">
        <v>87</v>
      </c>
      <c r="I187" s="13" t="s">
        <v>75</v>
      </c>
      <c r="J187" s="14">
        <v>46151</v>
      </c>
      <c r="K187" s="14">
        <v>46176</v>
      </c>
      <c r="L187" s="15" t="s">
        <v>21</v>
      </c>
      <c r="M187" s="13"/>
      <c r="N187" s="16" t="s">
        <v>1050</v>
      </c>
    </row>
    <row r="188" spans="1:14" ht="25.5" x14ac:dyDescent="0.25">
      <c r="A188" s="8" t="s">
        <v>842</v>
      </c>
      <c r="B188" s="13"/>
      <c r="C188" s="13" t="s">
        <v>1040</v>
      </c>
      <c r="D188" s="8">
        <v>205</v>
      </c>
      <c r="E188" s="13" t="s">
        <v>1051</v>
      </c>
      <c r="F188" s="8" t="s">
        <v>72</v>
      </c>
      <c r="G188" s="13"/>
      <c r="H188" s="8" t="s">
        <v>87</v>
      </c>
      <c r="I188" s="13" t="s">
        <v>75</v>
      </c>
      <c r="J188" s="14">
        <v>46151</v>
      </c>
      <c r="K188" s="14">
        <v>46175</v>
      </c>
      <c r="L188" s="15" t="s">
        <v>21</v>
      </c>
      <c r="M188" s="13"/>
      <c r="N188" s="16" t="s">
        <v>1052</v>
      </c>
    </row>
    <row r="189" spans="1:14" ht="25.5" x14ac:dyDescent="0.25">
      <c r="A189" s="8" t="s">
        <v>842</v>
      </c>
      <c r="B189" s="13"/>
      <c r="C189" s="13" t="s">
        <v>1040</v>
      </c>
      <c r="D189" s="8">
        <v>206</v>
      </c>
      <c r="E189" s="13" t="s">
        <v>1053</v>
      </c>
      <c r="F189" s="8" t="s">
        <v>72</v>
      </c>
      <c r="G189" s="13"/>
      <c r="H189" s="8" t="s">
        <v>87</v>
      </c>
      <c r="I189" s="13" t="s">
        <v>75</v>
      </c>
      <c r="J189" s="14">
        <v>46151</v>
      </c>
      <c r="K189" s="14">
        <v>46175</v>
      </c>
      <c r="L189" s="15" t="s">
        <v>21</v>
      </c>
      <c r="M189" s="13"/>
      <c r="N189" s="16" t="s">
        <v>1054</v>
      </c>
    </row>
    <row r="190" spans="1:14" ht="25.5" x14ac:dyDescent="0.25">
      <c r="A190" s="8" t="s">
        <v>842</v>
      </c>
      <c r="B190" s="13"/>
      <c r="C190" s="13" t="s">
        <v>1040</v>
      </c>
      <c r="D190" s="8">
        <v>207</v>
      </c>
      <c r="E190" s="13" t="s">
        <v>1055</v>
      </c>
      <c r="F190" s="8" t="s">
        <v>72</v>
      </c>
      <c r="G190" s="13"/>
      <c r="H190" s="8" t="s">
        <v>74</v>
      </c>
      <c r="I190" s="13" t="s">
        <v>75</v>
      </c>
      <c r="J190" s="14">
        <v>46151</v>
      </c>
      <c r="K190" s="14">
        <v>46175</v>
      </c>
      <c r="L190" s="15" t="s">
        <v>21</v>
      </c>
      <c r="M190" s="13"/>
      <c r="N190" s="16" t="s">
        <v>1056</v>
      </c>
    </row>
    <row r="191" spans="1:14" ht="25.5" x14ac:dyDescent="0.25">
      <c r="A191" s="8" t="s">
        <v>842</v>
      </c>
      <c r="B191" s="13"/>
      <c r="C191" s="13" t="s">
        <v>595</v>
      </c>
      <c r="D191" s="8">
        <v>208</v>
      </c>
      <c r="E191" s="13" t="s">
        <v>1057</v>
      </c>
      <c r="F191" s="8" t="s">
        <v>72</v>
      </c>
      <c r="G191" s="13"/>
      <c r="H191" s="8"/>
      <c r="I191" s="13" t="s">
        <v>75</v>
      </c>
      <c r="J191" s="14">
        <v>46151</v>
      </c>
      <c r="K191" s="14">
        <v>46154</v>
      </c>
      <c r="L191" s="15" t="s">
        <v>21</v>
      </c>
      <c r="M191" s="13"/>
      <c r="N191" s="16" t="s">
        <v>1058</v>
      </c>
    </row>
    <row r="192" spans="1:14" ht="25.5" x14ac:dyDescent="0.25">
      <c r="A192" s="8" t="s">
        <v>842</v>
      </c>
      <c r="B192" s="13"/>
      <c r="C192" s="13" t="s">
        <v>1059</v>
      </c>
      <c r="D192" s="8">
        <v>209</v>
      </c>
      <c r="E192" s="13" t="s">
        <v>1060</v>
      </c>
      <c r="F192" s="8" t="s">
        <v>72</v>
      </c>
      <c r="G192" s="13"/>
      <c r="H192" s="8"/>
      <c r="I192" s="13" t="s">
        <v>75</v>
      </c>
      <c r="J192" s="14">
        <v>46151</v>
      </c>
      <c r="K192" s="14">
        <v>46175</v>
      </c>
      <c r="L192" s="15" t="s">
        <v>21</v>
      </c>
      <c r="M192" s="13"/>
      <c r="N192" s="16" t="s">
        <v>1061</v>
      </c>
    </row>
    <row r="193" spans="1:14" ht="25.5" x14ac:dyDescent="0.25">
      <c r="A193" s="8" t="s">
        <v>842</v>
      </c>
      <c r="B193" s="13"/>
      <c r="C193" s="13" t="s">
        <v>1059</v>
      </c>
      <c r="D193" s="8">
        <v>210</v>
      </c>
      <c r="E193" s="13" t="s">
        <v>1062</v>
      </c>
      <c r="F193" s="8" t="s">
        <v>72</v>
      </c>
      <c r="G193" s="13"/>
      <c r="H193" s="8" t="s">
        <v>87</v>
      </c>
      <c r="I193" s="13" t="s">
        <v>75</v>
      </c>
      <c r="J193" s="14">
        <v>46151</v>
      </c>
      <c r="K193" s="14">
        <v>46175</v>
      </c>
      <c r="L193" s="15" t="s">
        <v>21</v>
      </c>
      <c r="M193" s="13"/>
      <c r="N193" s="16" t="s">
        <v>1063</v>
      </c>
    </row>
    <row r="194" spans="1:14" ht="25.5" x14ac:dyDescent="0.25">
      <c r="A194" s="8" t="s">
        <v>842</v>
      </c>
      <c r="B194" s="13"/>
      <c r="C194" s="13" t="s">
        <v>1059</v>
      </c>
      <c r="D194" s="8">
        <v>211</v>
      </c>
      <c r="E194" s="13" t="s">
        <v>1064</v>
      </c>
      <c r="F194" s="8" t="s">
        <v>72</v>
      </c>
      <c r="G194" s="13"/>
      <c r="H194" s="8" t="s">
        <v>74</v>
      </c>
      <c r="I194" s="13" t="s">
        <v>75</v>
      </c>
      <c r="J194" s="14">
        <v>46151</v>
      </c>
      <c r="K194" s="14">
        <v>46176</v>
      </c>
      <c r="L194" s="15" t="s">
        <v>21</v>
      </c>
      <c r="M194" s="13"/>
      <c r="N194" s="16" t="s">
        <v>1065</v>
      </c>
    </row>
    <row r="195" spans="1:14" ht="25.5" x14ac:dyDescent="0.25">
      <c r="A195" s="8" t="s">
        <v>842</v>
      </c>
      <c r="B195" s="13"/>
      <c r="C195" s="13" t="s">
        <v>1059</v>
      </c>
      <c r="D195" s="8">
        <v>212</v>
      </c>
      <c r="E195" s="13" t="s">
        <v>1066</v>
      </c>
      <c r="F195" s="8" t="s">
        <v>72</v>
      </c>
      <c r="G195" s="13"/>
      <c r="H195" s="8" t="s">
        <v>87</v>
      </c>
      <c r="I195" s="13" t="s">
        <v>75</v>
      </c>
      <c r="J195" s="14">
        <v>46151</v>
      </c>
      <c r="K195" s="14">
        <v>46175</v>
      </c>
      <c r="L195" s="15" t="s">
        <v>21</v>
      </c>
      <c r="M195" s="13"/>
      <c r="N195" s="16" t="s">
        <v>1067</v>
      </c>
    </row>
    <row r="196" spans="1:14" ht="25.5" x14ac:dyDescent="0.25">
      <c r="A196" s="8" t="s">
        <v>842</v>
      </c>
      <c r="B196" s="13"/>
      <c r="C196" s="13" t="s">
        <v>1059</v>
      </c>
      <c r="D196" s="8">
        <v>213</v>
      </c>
      <c r="E196" s="13" t="s">
        <v>1068</v>
      </c>
      <c r="F196" s="8" t="s">
        <v>72</v>
      </c>
      <c r="G196" s="13"/>
      <c r="H196" s="8" t="s">
        <v>74</v>
      </c>
      <c r="I196" s="13" t="s">
        <v>75</v>
      </c>
      <c r="J196" s="14">
        <v>46151</v>
      </c>
      <c r="K196" s="14">
        <v>46176</v>
      </c>
      <c r="L196" s="15" t="s">
        <v>21</v>
      </c>
      <c r="M196" s="13"/>
      <c r="N196" s="16" t="s">
        <v>1069</v>
      </c>
    </row>
    <row r="197" spans="1:14" ht="25.5" x14ac:dyDescent="0.25">
      <c r="A197" s="8" t="s">
        <v>842</v>
      </c>
      <c r="B197" s="13"/>
      <c r="C197" s="13" t="s">
        <v>1059</v>
      </c>
      <c r="D197" s="8">
        <v>214</v>
      </c>
      <c r="E197" s="13" t="s">
        <v>1070</v>
      </c>
      <c r="F197" s="8" t="s">
        <v>72</v>
      </c>
      <c r="G197" s="13"/>
      <c r="H197" s="8" t="s">
        <v>87</v>
      </c>
      <c r="I197" s="13" t="s">
        <v>75</v>
      </c>
      <c r="J197" s="14">
        <v>46151</v>
      </c>
      <c r="K197" s="14">
        <v>46176</v>
      </c>
      <c r="L197" s="15" t="s">
        <v>21</v>
      </c>
      <c r="M197" s="13"/>
      <c r="N197" s="16" t="s">
        <v>1071</v>
      </c>
    </row>
    <row r="198" spans="1:14" ht="25.5" x14ac:dyDescent="0.25">
      <c r="A198" s="8" t="s">
        <v>842</v>
      </c>
      <c r="B198" s="13"/>
      <c r="C198" s="13" t="s">
        <v>1059</v>
      </c>
      <c r="D198" s="8">
        <v>215</v>
      </c>
      <c r="E198" s="13" t="s">
        <v>1072</v>
      </c>
      <c r="F198" s="8" t="s">
        <v>72</v>
      </c>
      <c r="G198" s="13"/>
      <c r="H198" s="8" t="s">
        <v>87</v>
      </c>
      <c r="I198" s="13" t="s">
        <v>75</v>
      </c>
      <c r="J198" s="14">
        <v>46151</v>
      </c>
      <c r="K198" s="14">
        <v>46175</v>
      </c>
      <c r="L198" s="15" t="s">
        <v>21</v>
      </c>
      <c r="M198" s="13"/>
      <c r="N198" s="16" t="s">
        <v>1073</v>
      </c>
    </row>
    <row r="199" spans="1:14" ht="25.5" x14ac:dyDescent="0.25">
      <c r="A199" s="8" t="s">
        <v>842</v>
      </c>
      <c r="B199" s="13"/>
      <c r="C199" s="13" t="s">
        <v>1059</v>
      </c>
      <c r="D199" s="8">
        <v>216</v>
      </c>
      <c r="E199" s="13" t="s">
        <v>1074</v>
      </c>
      <c r="F199" s="8" t="s">
        <v>72</v>
      </c>
      <c r="G199" s="13"/>
      <c r="H199" s="8" t="s">
        <v>87</v>
      </c>
      <c r="I199" s="13" t="s">
        <v>75</v>
      </c>
      <c r="J199" s="14">
        <v>46151</v>
      </c>
      <c r="K199" s="14">
        <v>46175</v>
      </c>
      <c r="L199" s="15" t="s">
        <v>21</v>
      </c>
      <c r="M199" s="13"/>
      <c r="N199" s="16" t="s">
        <v>1075</v>
      </c>
    </row>
    <row r="200" spans="1:14" ht="25.5" x14ac:dyDescent="0.25">
      <c r="A200" s="8" t="s">
        <v>842</v>
      </c>
      <c r="B200" s="13"/>
      <c r="C200" s="13" t="s">
        <v>1059</v>
      </c>
      <c r="D200" s="8">
        <v>217</v>
      </c>
      <c r="E200" s="13" t="s">
        <v>1076</v>
      </c>
      <c r="F200" s="8" t="s">
        <v>72</v>
      </c>
      <c r="G200" s="13"/>
      <c r="H200" s="8" t="s">
        <v>87</v>
      </c>
      <c r="I200" s="13" t="s">
        <v>75</v>
      </c>
      <c r="J200" s="14">
        <v>46151</v>
      </c>
      <c r="K200" s="14">
        <v>46175</v>
      </c>
      <c r="L200" s="15" t="s">
        <v>21</v>
      </c>
      <c r="M200" s="13"/>
      <c r="N200" s="16" t="s">
        <v>1077</v>
      </c>
    </row>
    <row r="201" spans="1:14" ht="25.5" x14ac:dyDescent="0.25">
      <c r="A201" s="8" t="s">
        <v>842</v>
      </c>
      <c r="B201" s="13"/>
      <c r="C201" s="13" t="s">
        <v>1059</v>
      </c>
      <c r="D201" s="8">
        <v>218</v>
      </c>
      <c r="E201" s="13" t="s">
        <v>1078</v>
      </c>
      <c r="F201" s="8" t="s">
        <v>72</v>
      </c>
      <c r="G201" s="13"/>
      <c r="H201" s="8" t="s">
        <v>87</v>
      </c>
      <c r="I201" s="13" t="s">
        <v>75</v>
      </c>
      <c r="J201" s="14">
        <v>46151</v>
      </c>
      <c r="K201" s="14">
        <v>46175</v>
      </c>
      <c r="L201" s="15" t="s">
        <v>21</v>
      </c>
      <c r="M201" s="13"/>
      <c r="N201" s="16" t="s">
        <v>1079</v>
      </c>
    </row>
    <row r="202" spans="1:14" ht="25.5" x14ac:dyDescent="0.25">
      <c r="A202" s="8" t="s">
        <v>842</v>
      </c>
      <c r="B202" s="13"/>
      <c r="C202" s="13" t="s">
        <v>1059</v>
      </c>
      <c r="D202" s="8">
        <v>219</v>
      </c>
      <c r="E202" s="13" t="s">
        <v>1080</v>
      </c>
      <c r="F202" s="8" t="s">
        <v>72</v>
      </c>
      <c r="G202" s="13"/>
      <c r="H202" s="8" t="s">
        <v>74</v>
      </c>
      <c r="I202" s="13" t="s">
        <v>75</v>
      </c>
      <c r="J202" s="14">
        <v>46151</v>
      </c>
      <c r="K202" s="14">
        <v>46175</v>
      </c>
      <c r="L202" s="15" t="s">
        <v>21</v>
      </c>
      <c r="M202" s="13"/>
      <c r="N202" s="16" t="s">
        <v>1081</v>
      </c>
    </row>
    <row r="203" spans="1:14" ht="25.5" x14ac:dyDescent="0.25">
      <c r="A203" s="8" t="s">
        <v>842</v>
      </c>
      <c r="B203" s="13"/>
      <c r="C203" s="13" t="s">
        <v>1059</v>
      </c>
      <c r="D203" s="8">
        <v>220</v>
      </c>
      <c r="E203" s="13" t="s">
        <v>1082</v>
      </c>
      <c r="F203" s="8" t="s">
        <v>72</v>
      </c>
      <c r="G203" s="13"/>
      <c r="H203" s="8" t="s">
        <v>87</v>
      </c>
      <c r="I203" s="13" t="s">
        <v>75</v>
      </c>
      <c r="J203" s="14">
        <v>46151</v>
      </c>
      <c r="K203" s="14">
        <v>46175</v>
      </c>
      <c r="L203" s="15" t="s">
        <v>21</v>
      </c>
      <c r="M203" s="13"/>
      <c r="N203" s="16" t="s">
        <v>1083</v>
      </c>
    </row>
    <row r="204" spans="1:14" ht="25.5" x14ac:dyDescent="0.25">
      <c r="A204" s="8" t="s">
        <v>842</v>
      </c>
      <c r="B204" s="13"/>
      <c r="C204" s="13" t="s">
        <v>1059</v>
      </c>
      <c r="D204" s="8">
        <v>221</v>
      </c>
      <c r="E204" s="13" t="s">
        <v>1084</v>
      </c>
      <c r="F204" s="8" t="s">
        <v>72</v>
      </c>
      <c r="G204" s="13"/>
      <c r="H204" s="8" t="s">
        <v>87</v>
      </c>
      <c r="I204" s="13" t="s">
        <v>75</v>
      </c>
      <c r="J204" s="14">
        <v>46151</v>
      </c>
      <c r="K204" s="14">
        <v>46176</v>
      </c>
      <c r="L204" s="15" t="s">
        <v>21</v>
      </c>
      <c r="M204" s="13"/>
      <c r="N204" s="16" t="s">
        <v>1085</v>
      </c>
    </row>
    <row r="205" spans="1:14" ht="25.5" x14ac:dyDescent="0.25">
      <c r="A205" s="8" t="s">
        <v>842</v>
      </c>
      <c r="B205" s="13"/>
      <c r="C205" s="13" t="s">
        <v>1059</v>
      </c>
      <c r="D205" s="8">
        <v>222</v>
      </c>
      <c r="E205" s="13" t="s">
        <v>1086</v>
      </c>
      <c r="F205" s="8" t="s">
        <v>72</v>
      </c>
      <c r="G205" s="13"/>
      <c r="H205" s="8" t="s">
        <v>87</v>
      </c>
      <c r="I205" s="13" t="s">
        <v>75</v>
      </c>
      <c r="J205" s="14">
        <v>46151</v>
      </c>
      <c r="K205" s="14">
        <v>46175</v>
      </c>
      <c r="L205" s="15" t="s">
        <v>21</v>
      </c>
      <c r="M205" s="13"/>
      <c r="N205" s="16" t="s">
        <v>1087</v>
      </c>
    </row>
    <row r="206" spans="1:14" ht="25.5" x14ac:dyDescent="0.25">
      <c r="A206" s="8" t="s">
        <v>842</v>
      </c>
      <c r="B206" s="13"/>
      <c r="C206" s="13" t="s">
        <v>1059</v>
      </c>
      <c r="D206" s="8">
        <v>223</v>
      </c>
      <c r="E206" s="13" t="s">
        <v>1088</v>
      </c>
      <c r="F206" s="8" t="s">
        <v>72</v>
      </c>
      <c r="G206" s="13"/>
      <c r="H206" s="8" t="s">
        <v>74</v>
      </c>
      <c r="I206" s="13" t="s">
        <v>75</v>
      </c>
      <c r="J206" s="14">
        <v>46151</v>
      </c>
      <c r="K206" s="14">
        <v>46175</v>
      </c>
      <c r="L206" s="15" t="s">
        <v>21</v>
      </c>
      <c r="M206" s="13"/>
      <c r="N206" s="16" t="s">
        <v>1089</v>
      </c>
    </row>
    <row r="207" spans="1:14" ht="25.5" x14ac:dyDescent="0.25">
      <c r="A207" s="8" t="s">
        <v>842</v>
      </c>
      <c r="B207" s="13"/>
      <c r="C207" s="13" t="s">
        <v>1059</v>
      </c>
      <c r="D207" s="8">
        <v>224</v>
      </c>
      <c r="E207" s="13" t="s">
        <v>1090</v>
      </c>
      <c r="F207" s="8" t="s">
        <v>72</v>
      </c>
      <c r="G207" s="13"/>
      <c r="H207" s="8" t="s">
        <v>74</v>
      </c>
      <c r="I207" s="13" t="s">
        <v>75</v>
      </c>
      <c r="J207" s="14">
        <v>46151</v>
      </c>
      <c r="K207" s="14">
        <v>46176</v>
      </c>
      <c r="L207" s="15" t="s">
        <v>21</v>
      </c>
      <c r="M207" s="13"/>
      <c r="N207" s="16" t="s">
        <v>1091</v>
      </c>
    </row>
    <row r="208" spans="1:14" ht="25.5" x14ac:dyDescent="0.25">
      <c r="A208" s="8" t="s">
        <v>842</v>
      </c>
      <c r="B208" s="13"/>
      <c r="C208" s="13" t="s">
        <v>1059</v>
      </c>
      <c r="D208" s="8">
        <v>225</v>
      </c>
      <c r="E208" s="13" t="s">
        <v>1092</v>
      </c>
      <c r="F208" s="8" t="s">
        <v>72</v>
      </c>
      <c r="G208" s="13"/>
      <c r="H208" s="8" t="s">
        <v>87</v>
      </c>
      <c r="I208" s="13" t="s">
        <v>75</v>
      </c>
      <c r="J208" s="14">
        <v>46151</v>
      </c>
      <c r="K208" s="14">
        <v>46176</v>
      </c>
      <c r="L208" s="15" t="s">
        <v>21</v>
      </c>
      <c r="M208" s="13"/>
      <c r="N208" s="16" t="s">
        <v>1093</v>
      </c>
    </row>
    <row r="209" spans="1:14" ht="24" x14ac:dyDescent="0.25">
      <c r="A209" s="8" t="s">
        <v>842</v>
      </c>
      <c r="B209" s="13"/>
      <c r="C209" s="13" t="s">
        <v>1059</v>
      </c>
      <c r="D209" s="8">
        <v>226</v>
      </c>
      <c r="E209" s="13" t="s">
        <v>1094</v>
      </c>
      <c r="F209" s="8" t="s">
        <v>72</v>
      </c>
      <c r="G209" s="13"/>
      <c r="H209" s="8" t="s">
        <v>74</v>
      </c>
      <c r="I209" s="13" t="s">
        <v>75</v>
      </c>
      <c r="J209" s="14">
        <v>46151</v>
      </c>
      <c r="K209" s="14">
        <v>46176</v>
      </c>
      <c r="L209" s="15" t="s">
        <v>21</v>
      </c>
      <c r="M209" s="13"/>
      <c r="N209" s="16" t="s">
        <v>1095</v>
      </c>
    </row>
    <row r="210" spans="1:14" ht="25.5" x14ac:dyDescent="0.25">
      <c r="A210" s="8" t="s">
        <v>842</v>
      </c>
      <c r="B210" s="13"/>
      <c r="C210" s="13" t="s">
        <v>1059</v>
      </c>
      <c r="D210" s="8">
        <v>227</v>
      </c>
      <c r="E210" s="13" t="s">
        <v>1096</v>
      </c>
      <c r="F210" s="8" t="s">
        <v>72</v>
      </c>
      <c r="G210" s="13"/>
      <c r="H210" s="8" t="s">
        <v>87</v>
      </c>
      <c r="I210" s="13" t="s">
        <v>75</v>
      </c>
      <c r="J210" s="14">
        <v>46151</v>
      </c>
      <c r="K210" s="14">
        <v>46176</v>
      </c>
      <c r="L210" s="15" t="s">
        <v>21</v>
      </c>
      <c r="M210" s="13"/>
      <c r="N210" s="16" t="s">
        <v>1097</v>
      </c>
    </row>
    <row r="211" spans="1:14" ht="25.5" x14ac:dyDescent="0.25">
      <c r="A211" s="8" t="s">
        <v>842</v>
      </c>
      <c r="B211" s="13"/>
      <c r="C211" s="13" t="s">
        <v>1059</v>
      </c>
      <c r="D211" s="8">
        <v>228</v>
      </c>
      <c r="E211" s="13" t="s">
        <v>1098</v>
      </c>
      <c r="F211" s="8" t="s">
        <v>72</v>
      </c>
      <c r="G211" s="13"/>
      <c r="H211" s="8" t="s">
        <v>74</v>
      </c>
      <c r="I211" s="13" t="s">
        <v>75</v>
      </c>
      <c r="J211" s="14">
        <v>46151</v>
      </c>
      <c r="K211" s="14">
        <v>46175</v>
      </c>
      <c r="L211" s="15" t="s">
        <v>21</v>
      </c>
      <c r="M211" s="13"/>
      <c r="N211" s="16" t="s">
        <v>1099</v>
      </c>
    </row>
    <row r="212" spans="1:14" ht="25.5" x14ac:dyDescent="0.25">
      <c r="A212" s="8" t="s">
        <v>842</v>
      </c>
      <c r="B212" s="13"/>
      <c r="C212" s="13" t="s">
        <v>1059</v>
      </c>
      <c r="D212" s="8">
        <v>229</v>
      </c>
      <c r="E212" s="13" t="s">
        <v>1100</v>
      </c>
      <c r="F212" s="8" t="s">
        <v>72</v>
      </c>
      <c r="G212" s="13"/>
      <c r="H212" s="8" t="s">
        <v>74</v>
      </c>
      <c r="I212" s="13" t="s">
        <v>75</v>
      </c>
      <c r="J212" s="14">
        <v>46151</v>
      </c>
      <c r="K212" s="14">
        <v>46175</v>
      </c>
      <c r="L212" s="15" t="s">
        <v>21</v>
      </c>
      <c r="M212" s="13"/>
      <c r="N212" s="16" t="s">
        <v>1101</v>
      </c>
    </row>
    <row r="213" spans="1:14" ht="25.5" x14ac:dyDescent="0.25">
      <c r="A213" s="8" t="s">
        <v>842</v>
      </c>
      <c r="B213" s="13"/>
      <c r="C213" s="13" t="s">
        <v>1059</v>
      </c>
      <c r="D213" s="8">
        <v>230</v>
      </c>
      <c r="E213" s="13" t="s">
        <v>1102</v>
      </c>
      <c r="F213" s="8" t="s">
        <v>72</v>
      </c>
      <c r="G213" s="13"/>
      <c r="H213" s="8" t="s">
        <v>74</v>
      </c>
      <c r="I213" s="13" t="s">
        <v>75</v>
      </c>
      <c r="J213" s="14">
        <v>46151</v>
      </c>
      <c r="K213" s="14">
        <v>46176</v>
      </c>
      <c r="L213" s="15" t="s">
        <v>21</v>
      </c>
      <c r="M213" s="13"/>
      <c r="N213" s="16" t="s">
        <v>1103</v>
      </c>
    </row>
    <row r="214" spans="1:14" ht="38.25" x14ac:dyDescent="0.25">
      <c r="A214" s="8" t="s">
        <v>842</v>
      </c>
      <c r="B214" s="13"/>
      <c r="C214" s="13" t="s">
        <v>279</v>
      </c>
      <c r="D214" s="8">
        <v>231</v>
      </c>
      <c r="E214" s="13" t="s">
        <v>1104</v>
      </c>
      <c r="F214" s="8" t="s">
        <v>72</v>
      </c>
      <c r="G214" s="13"/>
      <c r="H214" s="8" t="s">
        <v>87</v>
      </c>
      <c r="I214" s="13" t="s">
        <v>75</v>
      </c>
      <c r="J214" s="14">
        <v>46151</v>
      </c>
      <c r="K214" s="14">
        <v>46177</v>
      </c>
      <c r="L214" s="15" t="s">
        <v>21</v>
      </c>
      <c r="M214" s="13"/>
      <c r="N214" s="16" t="s">
        <v>1105</v>
      </c>
    </row>
    <row r="215" spans="1:14" ht="38.25" x14ac:dyDescent="0.25">
      <c r="A215" s="8" t="s">
        <v>842</v>
      </c>
      <c r="B215" s="13"/>
      <c r="C215" s="13" t="s">
        <v>279</v>
      </c>
      <c r="D215" s="8">
        <v>232</v>
      </c>
      <c r="E215" s="13" t="s">
        <v>1106</v>
      </c>
      <c r="F215" s="8" t="s">
        <v>72</v>
      </c>
      <c r="G215" s="13"/>
      <c r="H215" s="8" t="s">
        <v>87</v>
      </c>
      <c r="I215" s="13" t="s">
        <v>75</v>
      </c>
      <c r="J215" s="14">
        <v>46151</v>
      </c>
      <c r="K215" s="14">
        <v>46177</v>
      </c>
      <c r="L215" s="15" t="s">
        <v>21</v>
      </c>
      <c r="M215" s="13"/>
      <c r="N215" s="16" t="s">
        <v>1107</v>
      </c>
    </row>
    <row r="216" spans="1:14" ht="25.5" x14ac:dyDescent="0.25">
      <c r="A216" s="8" t="s">
        <v>842</v>
      </c>
      <c r="B216" s="13"/>
      <c r="C216" s="13" t="s">
        <v>44</v>
      </c>
      <c r="D216" s="8">
        <v>233</v>
      </c>
      <c r="E216" s="13" t="s">
        <v>1108</v>
      </c>
      <c r="F216" s="8" t="s">
        <v>72</v>
      </c>
      <c r="G216" s="13"/>
      <c r="H216" s="8" t="s">
        <v>87</v>
      </c>
      <c r="I216" s="13" t="s">
        <v>75</v>
      </c>
      <c r="J216" s="14">
        <v>46151</v>
      </c>
      <c r="K216" s="14">
        <v>46176</v>
      </c>
      <c r="L216" s="15" t="s">
        <v>21</v>
      </c>
      <c r="M216" s="13"/>
      <c r="N216" s="16" t="s">
        <v>1109</v>
      </c>
    </row>
    <row r="217" spans="1:14" ht="24" x14ac:dyDescent="0.25">
      <c r="A217" s="8" t="s">
        <v>842</v>
      </c>
      <c r="B217" s="13"/>
      <c r="C217" s="13" t="s">
        <v>44</v>
      </c>
      <c r="D217" s="8">
        <v>234</v>
      </c>
      <c r="E217" s="13" t="s">
        <v>1110</v>
      </c>
      <c r="F217" s="8" t="s">
        <v>72</v>
      </c>
      <c r="G217" s="13"/>
      <c r="H217" s="8" t="s">
        <v>87</v>
      </c>
      <c r="I217" s="13" t="s">
        <v>75</v>
      </c>
      <c r="J217" s="14">
        <v>46151</v>
      </c>
      <c r="K217" s="14">
        <v>46176</v>
      </c>
      <c r="L217" s="15" t="s">
        <v>21</v>
      </c>
      <c r="M217" s="13"/>
      <c r="N217" s="16" t="s">
        <v>1111</v>
      </c>
    </row>
    <row r="218" spans="1:14" ht="25.5" x14ac:dyDescent="0.25">
      <c r="A218" s="8" t="s">
        <v>842</v>
      </c>
      <c r="B218" s="13"/>
      <c r="C218" s="13" t="s">
        <v>44</v>
      </c>
      <c r="D218" s="8">
        <v>235</v>
      </c>
      <c r="E218" s="13" t="s">
        <v>1112</v>
      </c>
      <c r="F218" s="8" t="s">
        <v>72</v>
      </c>
      <c r="G218" s="13"/>
      <c r="H218" s="8" t="s">
        <v>87</v>
      </c>
      <c r="I218" s="13" t="s">
        <v>75</v>
      </c>
      <c r="J218" s="14">
        <v>46151</v>
      </c>
      <c r="K218" s="14">
        <v>46177</v>
      </c>
      <c r="L218" s="15" t="s">
        <v>21</v>
      </c>
      <c r="M218" s="13"/>
      <c r="N218" s="16" t="s">
        <v>1113</v>
      </c>
    </row>
    <row r="219" spans="1:14" ht="25.5" x14ac:dyDescent="0.25">
      <c r="A219" s="8" t="s">
        <v>842</v>
      </c>
      <c r="B219" s="13"/>
      <c r="C219" s="13" t="s">
        <v>44</v>
      </c>
      <c r="D219" s="8">
        <v>236</v>
      </c>
      <c r="E219" s="13" t="s">
        <v>1114</v>
      </c>
      <c r="F219" s="8" t="s">
        <v>72</v>
      </c>
      <c r="G219" s="13"/>
      <c r="H219" s="8" t="s">
        <v>87</v>
      </c>
      <c r="I219" s="13" t="s">
        <v>75</v>
      </c>
      <c r="J219" s="14">
        <v>46151</v>
      </c>
      <c r="K219" s="14">
        <v>46178</v>
      </c>
      <c r="L219" s="17" t="s">
        <v>23</v>
      </c>
      <c r="M219" s="13" t="s">
        <v>200</v>
      </c>
      <c r="N219" s="16" t="s">
        <v>1115</v>
      </c>
    </row>
    <row r="220" spans="1:14" ht="25.5" x14ac:dyDescent="0.25">
      <c r="A220" s="8" t="s">
        <v>842</v>
      </c>
      <c r="B220" s="13"/>
      <c r="C220" s="13" t="s">
        <v>44</v>
      </c>
      <c r="D220" s="8">
        <v>237</v>
      </c>
      <c r="E220" s="13" t="s">
        <v>1116</v>
      </c>
      <c r="F220" s="8" t="s">
        <v>72</v>
      </c>
      <c r="G220" s="13"/>
      <c r="H220" s="8" t="s">
        <v>87</v>
      </c>
      <c r="I220" s="13" t="s">
        <v>75</v>
      </c>
      <c r="J220" s="14">
        <v>46151</v>
      </c>
      <c r="K220" s="14">
        <v>46177</v>
      </c>
      <c r="L220" s="15" t="s">
        <v>21</v>
      </c>
      <c r="M220" s="13"/>
      <c r="N220" s="16" t="s">
        <v>1117</v>
      </c>
    </row>
    <row r="221" spans="1:14" ht="25.5" x14ac:dyDescent="0.25">
      <c r="A221" s="8" t="s">
        <v>842</v>
      </c>
      <c r="B221" s="13"/>
      <c r="C221" s="13" t="s">
        <v>44</v>
      </c>
      <c r="D221" s="8">
        <v>238</v>
      </c>
      <c r="E221" s="13" t="s">
        <v>1118</v>
      </c>
      <c r="F221" s="8" t="s">
        <v>72</v>
      </c>
      <c r="G221" s="13"/>
      <c r="H221" s="8" t="s">
        <v>74</v>
      </c>
      <c r="I221" s="13" t="s">
        <v>75</v>
      </c>
      <c r="J221" s="14">
        <v>46151</v>
      </c>
      <c r="K221" s="14">
        <v>46176</v>
      </c>
      <c r="L221" s="15" t="s">
        <v>21</v>
      </c>
      <c r="M221" s="13"/>
      <c r="N221" s="16" t="s">
        <v>1119</v>
      </c>
    </row>
    <row r="222" spans="1:14" ht="25.5" x14ac:dyDescent="0.25">
      <c r="A222" s="8" t="s">
        <v>842</v>
      </c>
      <c r="B222" s="13"/>
      <c r="C222" s="13" t="s">
        <v>44</v>
      </c>
      <c r="D222" s="8">
        <v>239</v>
      </c>
      <c r="E222" s="13" t="s">
        <v>1120</v>
      </c>
      <c r="F222" s="8" t="s">
        <v>72</v>
      </c>
      <c r="G222" s="13"/>
      <c r="H222" s="8" t="s">
        <v>74</v>
      </c>
      <c r="I222" s="13" t="s">
        <v>75</v>
      </c>
      <c r="J222" s="14">
        <v>46151</v>
      </c>
      <c r="K222" s="14">
        <v>46176</v>
      </c>
      <c r="L222" s="15" t="s">
        <v>21</v>
      </c>
      <c r="M222" s="13"/>
      <c r="N222" s="16" t="s">
        <v>1121</v>
      </c>
    </row>
    <row r="223" spans="1:14" ht="24" x14ac:dyDescent="0.25">
      <c r="A223" s="8" t="s">
        <v>842</v>
      </c>
      <c r="B223" s="13"/>
      <c r="C223" s="13" t="s">
        <v>595</v>
      </c>
      <c r="D223" s="8">
        <v>240</v>
      </c>
      <c r="E223" s="13" t="s">
        <v>1122</v>
      </c>
      <c r="F223" s="8" t="s">
        <v>72</v>
      </c>
      <c r="G223" s="13"/>
      <c r="H223" s="8" t="s">
        <v>87</v>
      </c>
      <c r="I223" s="13" t="s">
        <v>75</v>
      </c>
      <c r="J223" s="14">
        <v>46151</v>
      </c>
      <c r="K223" s="14">
        <v>46177</v>
      </c>
      <c r="L223" s="17" t="s">
        <v>23</v>
      </c>
      <c r="M223" s="13" t="s">
        <v>200</v>
      </c>
      <c r="N223" s="16" t="s">
        <v>1123</v>
      </c>
    </row>
    <row r="224" spans="1:14" ht="25.5" x14ac:dyDescent="0.25">
      <c r="A224" s="8" t="s">
        <v>842</v>
      </c>
      <c r="B224" s="13"/>
      <c r="C224" s="13" t="s">
        <v>595</v>
      </c>
      <c r="D224" s="8">
        <v>241</v>
      </c>
      <c r="E224" s="13" t="s">
        <v>1124</v>
      </c>
      <c r="F224" s="8" t="s">
        <v>72</v>
      </c>
      <c r="G224" s="13"/>
      <c r="H224" s="8" t="s">
        <v>74</v>
      </c>
      <c r="I224" s="13" t="s">
        <v>75</v>
      </c>
      <c r="J224" s="14">
        <v>46151</v>
      </c>
      <c r="K224" s="14">
        <v>46163</v>
      </c>
      <c r="L224" s="15" t="s">
        <v>21</v>
      </c>
      <c r="M224" s="13"/>
      <c r="N224" s="16" t="s">
        <v>1125</v>
      </c>
    </row>
    <row r="225" spans="1:14" ht="25.5" x14ac:dyDescent="0.25">
      <c r="A225" s="8" t="s">
        <v>842</v>
      </c>
      <c r="B225" s="13"/>
      <c r="C225" s="13" t="s">
        <v>595</v>
      </c>
      <c r="D225" s="8">
        <v>242</v>
      </c>
      <c r="E225" s="13" t="s">
        <v>1126</v>
      </c>
      <c r="F225" s="8" t="s">
        <v>72</v>
      </c>
      <c r="G225" s="13"/>
      <c r="H225" s="8"/>
      <c r="I225" s="13" t="s">
        <v>75</v>
      </c>
      <c r="J225" s="14">
        <v>46151</v>
      </c>
      <c r="K225" s="14">
        <v>46151</v>
      </c>
      <c r="L225" s="15" t="s">
        <v>21</v>
      </c>
      <c r="M225" s="13"/>
      <c r="N225" s="16" t="s">
        <v>1127</v>
      </c>
    </row>
    <row r="226" spans="1:14" ht="25.5" x14ac:dyDescent="0.25">
      <c r="A226" s="8" t="s">
        <v>842</v>
      </c>
      <c r="B226" s="13"/>
      <c r="C226" s="13" t="s">
        <v>595</v>
      </c>
      <c r="D226" s="8">
        <v>243</v>
      </c>
      <c r="E226" s="13" t="s">
        <v>1128</v>
      </c>
      <c r="F226" s="8" t="s">
        <v>72</v>
      </c>
      <c r="G226" s="13"/>
      <c r="H226" s="8"/>
      <c r="I226" s="13" t="s">
        <v>75</v>
      </c>
      <c r="J226" s="14">
        <v>46151</v>
      </c>
      <c r="K226" s="14">
        <v>46151</v>
      </c>
      <c r="L226" s="15" t="s">
        <v>21</v>
      </c>
      <c r="M226" s="13"/>
      <c r="N226" s="16" t="s">
        <v>1129</v>
      </c>
    </row>
    <row r="227" spans="1:14" ht="25.5" x14ac:dyDescent="0.25">
      <c r="A227" s="8" t="s">
        <v>842</v>
      </c>
      <c r="B227" s="13"/>
      <c r="C227" s="13" t="s">
        <v>595</v>
      </c>
      <c r="D227" s="8">
        <v>244</v>
      </c>
      <c r="E227" s="13" t="s">
        <v>1130</v>
      </c>
      <c r="F227" s="8" t="s">
        <v>72</v>
      </c>
      <c r="G227" s="13"/>
      <c r="H227" s="8"/>
      <c r="I227" s="13" t="s">
        <v>75</v>
      </c>
      <c r="J227" s="14">
        <v>46151</v>
      </c>
      <c r="K227" s="14">
        <v>46151</v>
      </c>
      <c r="L227" s="15" t="s">
        <v>21</v>
      </c>
      <c r="M227" s="13"/>
      <c r="N227" s="16" t="s">
        <v>1131</v>
      </c>
    </row>
    <row r="228" spans="1:14" ht="25.5" x14ac:dyDescent="0.25">
      <c r="A228" s="8" t="s">
        <v>842</v>
      </c>
      <c r="B228" s="13"/>
      <c r="C228" s="13" t="s">
        <v>595</v>
      </c>
      <c r="D228" s="8">
        <v>245</v>
      </c>
      <c r="E228" s="13" t="s">
        <v>1132</v>
      </c>
      <c r="F228" s="8" t="s">
        <v>72</v>
      </c>
      <c r="G228" s="13"/>
      <c r="H228" s="8"/>
      <c r="I228" s="13" t="s">
        <v>75</v>
      </c>
      <c r="J228" s="14">
        <v>46151</v>
      </c>
      <c r="K228" s="14">
        <v>46151</v>
      </c>
      <c r="L228" s="15" t="s">
        <v>21</v>
      </c>
      <c r="M228" s="13"/>
      <c r="N228" s="16" t="s">
        <v>1133</v>
      </c>
    </row>
    <row r="229" spans="1:14" ht="25.5" x14ac:dyDescent="0.25">
      <c r="A229" s="8" t="s">
        <v>842</v>
      </c>
      <c r="B229" s="13"/>
      <c r="C229" s="13" t="s">
        <v>595</v>
      </c>
      <c r="D229" s="8">
        <v>246</v>
      </c>
      <c r="E229" s="13" t="s">
        <v>1134</v>
      </c>
      <c r="F229" s="8" t="s">
        <v>72</v>
      </c>
      <c r="G229" s="13"/>
      <c r="H229" s="8"/>
      <c r="I229" s="13" t="s">
        <v>75</v>
      </c>
      <c r="J229" s="14">
        <v>46151</v>
      </c>
      <c r="K229" s="14">
        <v>46151</v>
      </c>
      <c r="L229" s="15" t="s">
        <v>21</v>
      </c>
      <c r="M229" s="13"/>
      <c r="N229" s="16" t="s">
        <v>1135</v>
      </c>
    </row>
    <row r="230" spans="1:14" ht="25.5" x14ac:dyDescent="0.25">
      <c r="A230" s="8" t="s">
        <v>842</v>
      </c>
      <c r="B230" s="13"/>
      <c r="C230" s="13" t="s">
        <v>595</v>
      </c>
      <c r="D230" s="8">
        <v>247</v>
      </c>
      <c r="E230" s="13" t="s">
        <v>1136</v>
      </c>
      <c r="F230" s="8" t="s">
        <v>72</v>
      </c>
      <c r="G230" s="13"/>
      <c r="H230" s="8"/>
      <c r="I230" s="13" t="s">
        <v>75</v>
      </c>
      <c r="J230" s="14">
        <v>46151</v>
      </c>
      <c r="K230" s="14">
        <v>46151</v>
      </c>
      <c r="L230" s="15" t="s">
        <v>21</v>
      </c>
      <c r="M230" s="13"/>
      <c r="N230" s="16" t="s">
        <v>1137</v>
      </c>
    </row>
    <row r="231" spans="1:14" ht="25.5" x14ac:dyDescent="0.25">
      <c r="A231" s="8" t="s">
        <v>842</v>
      </c>
      <c r="B231" s="13"/>
      <c r="C231" s="13" t="s">
        <v>595</v>
      </c>
      <c r="D231" s="8">
        <v>248</v>
      </c>
      <c r="E231" s="13" t="s">
        <v>1138</v>
      </c>
      <c r="F231" s="8" t="s">
        <v>72</v>
      </c>
      <c r="G231" s="13"/>
      <c r="H231" s="8"/>
      <c r="I231" s="13" t="s">
        <v>75</v>
      </c>
      <c r="J231" s="14">
        <v>46151</v>
      </c>
      <c r="K231" s="14">
        <v>46151</v>
      </c>
      <c r="L231" s="15" t="s">
        <v>21</v>
      </c>
      <c r="M231" s="13"/>
      <c r="N231" s="16" t="s">
        <v>1139</v>
      </c>
    </row>
    <row r="232" spans="1:14" ht="25.5" x14ac:dyDescent="0.25">
      <c r="A232" s="8" t="s">
        <v>842</v>
      </c>
      <c r="B232" s="13"/>
      <c r="C232" s="13" t="s">
        <v>595</v>
      </c>
      <c r="D232" s="8">
        <v>249</v>
      </c>
      <c r="E232" s="13" t="s">
        <v>1140</v>
      </c>
      <c r="F232" s="8" t="s">
        <v>72</v>
      </c>
      <c r="G232" s="13"/>
      <c r="H232" s="8"/>
      <c r="I232" s="13" t="s">
        <v>75</v>
      </c>
      <c r="J232" s="14">
        <v>46151</v>
      </c>
      <c r="K232" s="14">
        <v>46151</v>
      </c>
      <c r="L232" s="15" t="s">
        <v>21</v>
      </c>
      <c r="M232" s="13"/>
      <c r="N232" s="16" t="s">
        <v>1141</v>
      </c>
    </row>
    <row r="233" spans="1:14" ht="25.5" x14ac:dyDescent="0.25">
      <c r="A233" s="8" t="s">
        <v>842</v>
      </c>
      <c r="B233" s="13"/>
      <c r="C233" s="13" t="s">
        <v>595</v>
      </c>
      <c r="D233" s="8">
        <v>250</v>
      </c>
      <c r="E233" s="13" t="s">
        <v>1142</v>
      </c>
      <c r="F233" s="8" t="s">
        <v>72</v>
      </c>
      <c r="G233" s="13"/>
      <c r="H233" s="8"/>
      <c r="I233" s="13" t="s">
        <v>75</v>
      </c>
      <c r="J233" s="14">
        <v>46151</v>
      </c>
      <c r="K233" s="14">
        <v>46151</v>
      </c>
      <c r="L233" s="15" t="s">
        <v>21</v>
      </c>
      <c r="M233" s="13"/>
      <c r="N233" s="16" t="s">
        <v>1143</v>
      </c>
    </row>
    <row r="234" spans="1:14" ht="25.5" x14ac:dyDescent="0.25">
      <c r="A234" s="8" t="s">
        <v>842</v>
      </c>
      <c r="B234" s="13"/>
      <c r="C234" s="13" t="s">
        <v>335</v>
      </c>
      <c r="D234" s="8">
        <v>251</v>
      </c>
      <c r="E234" s="13" t="s">
        <v>1144</v>
      </c>
      <c r="F234" s="8" t="s">
        <v>72</v>
      </c>
      <c r="G234" s="13"/>
      <c r="H234" s="8" t="s">
        <v>87</v>
      </c>
      <c r="I234" s="13" t="s">
        <v>75</v>
      </c>
      <c r="J234" s="14">
        <v>46151</v>
      </c>
      <c r="K234" s="14">
        <v>46177</v>
      </c>
      <c r="L234" s="15" t="s">
        <v>21</v>
      </c>
      <c r="M234" s="13"/>
      <c r="N234" s="16" t="s">
        <v>1145</v>
      </c>
    </row>
    <row r="235" spans="1:14" ht="25.5" x14ac:dyDescent="0.25">
      <c r="A235" s="8" t="s">
        <v>842</v>
      </c>
      <c r="B235" s="13"/>
      <c r="C235" s="13" t="s">
        <v>595</v>
      </c>
      <c r="D235" s="8">
        <v>252</v>
      </c>
      <c r="E235" s="13" t="s">
        <v>1146</v>
      </c>
      <c r="F235" s="8" t="s">
        <v>72</v>
      </c>
      <c r="G235" s="13"/>
      <c r="H235" s="8"/>
      <c r="I235" s="13" t="s">
        <v>75</v>
      </c>
      <c r="J235" s="14">
        <v>46151</v>
      </c>
      <c r="K235" s="14">
        <v>46151</v>
      </c>
      <c r="L235" s="15" t="s">
        <v>21</v>
      </c>
      <c r="M235" s="13"/>
      <c r="N235" s="16" t="s">
        <v>1147</v>
      </c>
    </row>
    <row r="236" spans="1:14" ht="24" x14ac:dyDescent="0.25">
      <c r="A236" s="8" t="s">
        <v>842</v>
      </c>
      <c r="B236" s="13"/>
      <c r="C236" s="13" t="s">
        <v>412</v>
      </c>
      <c r="D236" s="8">
        <v>253</v>
      </c>
      <c r="E236" s="13" t="s">
        <v>1148</v>
      </c>
      <c r="F236" s="8" t="s">
        <v>72</v>
      </c>
      <c r="G236" s="13"/>
      <c r="H236" s="8" t="s">
        <v>87</v>
      </c>
      <c r="I236" s="13" t="s">
        <v>75</v>
      </c>
      <c r="J236" s="14">
        <v>46151</v>
      </c>
      <c r="K236" s="14">
        <v>46177</v>
      </c>
      <c r="L236" s="15" t="s">
        <v>21</v>
      </c>
      <c r="M236" s="13"/>
      <c r="N236" s="16" t="s">
        <v>1149</v>
      </c>
    </row>
    <row r="237" spans="1:14" ht="25.5" x14ac:dyDescent="0.25">
      <c r="A237" s="8" t="s">
        <v>842</v>
      </c>
      <c r="B237" s="13"/>
      <c r="C237" s="13" t="s">
        <v>279</v>
      </c>
      <c r="D237" s="8">
        <v>254</v>
      </c>
      <c r="E237" s="13" t="s">
        <v>1150</v>
      </c>
      <c r="F237" s="8" t="s">
        <v>72</v>
      </c>
      <c r="G237" s="13"/>
      <c r="H237" s="8" t="s">
        <v>87</v>
      </c>
      <c r="I237" s="13" t="s">
        <v>75</v>
      </c>
      <c r="J237" s="14">
        <v>46151</v>
      </c>
      <c r="K237" s="14">
        <v>46151</v>
      </c>
      <c r="L237" s="15" t="s">
        <v>21</v>
      </c>
      <c r="M237" s="13"/>
      <c r="N237" s="16" t="s">
        <v>1151</v>
      </c>
    </row>
    <row r="238" spans="1:14" ht="25.5" x14ac:dyDescent="0.25">
      <c r="A238" s="8" t="s">
        <v>842</v>
      </c>
      <c r="B238" s="13"/>
      <c r="C238" s="13" t="s">
        <v>595</v>
      </c>
      <c r="D238" s="8">
        <v>255</v>
      </c>
      <c r="E238" s="13" t="s">
        <v>1152</v>
      </c>
      <c r="F238" s="8" t="s">
        <v>72</v>
      </c>
      <c r="G238" s="13"/>
      <c r="H238" s="8"/>
      <c r="I238" s="13" t="s">
        <v>75</v>
      </c>
      <c r="J238" s="14">
        <v>46151</v>
      </c>
      <c r="K238" s="14">
        <v>46151</v>
      </c>
      <c r="L238" s="15" t="s">
        <v>21</v>
      </c>
      <c r="M238" s="13"/>
      <c r="N238" s="16" t="s">
        <v>1153</v>
      </c>
    </row>
    <row r="239" spans="1:14" ht="25.5" x14ac:dyDescent="0.25">
      <c r="A239" s="8" t="s">
        <v>842</v>
      </c>
      <c r="B239" s="13"/>
      <c r="C239" s="13" t="s">
        <v>595</v>
      </c>
      <c r="D239" s="8">
        <v>256</v>
      </c>
      <c r="E239" s="13" t="s">
        <v>1154</v>
      </c>
      <c r="F239" s="8" t="s">
        <v>72</v>
      </c>
      <c r="G239" s="13"/>
      <c r="H239" s="8"/>
      <c r="I239" s="13" t="s">
        <v>75</v>
      </c>
      <c r="J239" s="14">
        <v>46151</v>
      </c>
      <c r="K239" s="14">
        <v>46151</v>
      </c>
      <c r="L239" s="15" t="s">
        <v>21</v>
      </c>
      <c r="M239" s="13"/>
      <c r="N239" s="16" t="s">
        <v>1155</v>
      </c>
    </row>
    <row r="240" spans="1:14" ht="25.5" x14ac:dyDescent="0.25">
      <c r="A240" s="8" t="s">
        <v>842</v>
      </c>
      <c r="B240" s="13"/>
      <c r="C240" s="13" t="s">
        <v>595</v>
      </c>
      <c r="D240" s="8">
        <v>257</v>
      </c>
      <c r="E240" s="13" t="s">
        <v>1156</v>
      </c>
      <c r="F240" s="8" t="s">
        <v>72</v>
      </c>
      <c r="G240" s="13"/>
      <c r="H240" s="8"/>
      <c r="I240" s="13" t="s">
        <v>75</v>
      </c>
      <c r="J240" s="14">
        <v>46151</v>
      </c>
      <c r="K240" s="14">
        <v>46151</v>
      </c>
      <c r="L240" s="15" t="s">
        <v>21</v>
      </c>
      <c r="M240" s="13"/>
      <c r="N240" s="16" t="s">
        <v>1157</v>
      </c>
    </row>
    <row r="241" spans="1:14" ht="25.5" x14ac:dyDescent="0.25">
      <c r="A241" s="8" t="s">
        <v>842</v>
      </c>
      <c r="B241" s="13"/>
      <c r="C241" s="13" t="s">
        <v>595</v>
      </c>
      <c r="D241" s="8">
        <v>258</v>
      </c>
      <c r="E241" s="13" t="s">
        <v>1158</v>
      </c>
      <c r="F241" s="8" t="s">
        <v>72</v>
      </c>
      <c r="G241" s="13"/>
      <c r="H241" s="8"/>
      <c r="I241" s="13" t="s">
        <v>75</v>
      </c>
      <c r="J241" s="14">
        <v>46151</v>
      </c>
      <c r="K241" s="14">
        <v>46151</v>
      </c>
      <c r="L241" s="15" t="s">
        <v>21</v>
      </c>
      <c r="M241" s="13"/>
      <c r="N241" s="16" t="s">
        <v>1159</v>
      </c>
    </row>
    <row r="242" spans="1:14" ht="24" x14ac:dyDescent="0.25">
      <c r="A242" s="8" t="s">
        <v>842</v>
      </c>
      <c r="B242" s="13"/>
      <c r="C242" s="13" t="s">
        <v>595</v>
      </c>
      <c r="D242" s="8">
        <v>259</v>
      </c>
      <c r="E242" s="13" t="s">
        <v>1160</v>
      </c>
      <c r="F242" s="8" t="s">
        <v>72</v>
      </c>
      <c r="G242" s="13"/>
      <c r="H242" s="8"/>
      <c r="I242" s="13" t="s">
        <v>75</v>
      </c>
      <c r="J242" s="14">
        <v>46151</v>
      </c>
      <c r="K242" s="14">
        <v>46151</v>
      </c>
      <c r="L242" s="15" t="s">
        <v>21</v>
      </c>
      <c r="M242" s="13"/>
      <c r="N242" s="16" t="s">
        <v>1161</v>
      </c>
    </row>
    <row r="243" spans="1:14" ht="24" x14ac:dyDescent="0.25">
      <c r="A243" s="8" t="s">
        <v>842</v>
      </c>
      <c r="B243" s="13"/>
      <c r="C243" s="13" t="s">
        <v>595</v>
      </c>
      <c r="D243" s="8">
        <v>260</v>
      </c>
      <c r="E243" s="13" t="s">
        <v>1162</v>
      </c>
      <c r="F243" s="8" t="s">
        <v>72</v>
      </c>
      <c r="G243" s="13"/>
      <c r="H243" s="8"/>
      <c r="I243" s="13" t="s">
        <v>75</v>
      </c>
      <c r="J243" s="14">
        <v>46151</v>
      </c>
      <c r="K243" s="14">
        <v>46151</v>
      </c>
      <c r="L243" s="15" t="s">
        <v>21</v>
      </c>
      <c r="M243" s="13"/>
      <c r="N243" s="16" t="s">
        <v>1163</v>
      </c>
    </row>
    <row r="244" spans="1:14" ht="24" x14ac:dyDescent="0.25">
      <c r="A244" s="8" t="s">
        <v>842</v>
      </c>
      <c r="B244" s="13"/>
      <c r="C244" s="13" t="s">
        <v>595</v>
      </c>
      <c r="D244" s="8">
        <v>261</v>
      </c>
      <c r="E244" s="13" t="s">
        <v>1164</v>
      </c>
      <c r="F244" s="8" t="s">
        <v>72</v>
      </c>
      <c r="G244" s="13"/>
      <c r="H244" s="8"/>
      <c r="I244" s="13" t="s">
        <v>75</v>
      </c>
      <c r="J244" s="14">
        <v>46151</v>
      </c>
      <c r="K244" s="14">
        <v>46151</v>
      </c>
      <c r="L244" s="15" t="s">
        <v>21</v>
      </c>
      <c r="M244" s="13"/>
      <c r="N244" s="16" t="s">
        <v>1165</v>
      </c>
    </row>
    <row r="245" spans="1:14" ht="24" x14ac:dyDescent="0.25">
      <c r="A245" s="8" t="s">
        <v>842</v>
      </c>
      <c r="B245" s="13"/>
      <c r="C245" s="13" t="s">
        <v>595</v>
      </c>
      <c r="D245" s="8">
        <v>262</v>
      </c>
      <c r="E245" s="13" t="s">
        <v>1166</v>
      </c>
      <c r="F245" s="8" t="s">
        <v>72</v>
      </c>
      <c r="G245" s="13"/>
      <c r="H245" s="8"/>
      <c r="I245" s="13" t="s">
        <v>75</v>
      </c>
      <c r="J245" s="14">
        <v>46151</v>
      </c>
      <c r="K245" s="14">
        <v>46152</v>
      </c>
      <c r="L245" s="15" t="s">
        <v>21</v>
      </c>
      <c r="M245" s="13"/>
      <c r="N245" s="16" t="s">
        <v>1167</v>
      </c>
    </row>
    <row r="246" spans="1:14" ht="24" x14ac:dyDescent="0.25">
      <c r="A246" s="8" t="s">
        <v>842</v>
      </c>
      <c r="B246" s="13"/>
      <c r="C246" s="13" t="s">
        <v>595</v>
      </c>
      <c r="D246" s="8">
        <v>263</v>
      </c>
      <c r="E246" s="13" t="s">
        <v>1168</v>
      </c>
      <c r="F246" s="8" t="s">
        <v>72</v>
      </c>
      <c r="G246" s="13"/>
      <c r="H246" s="8"/>
      <c r="I246" s="13" t="s">
        <v>75</v>
      </c>
      <c r="J246" s="14">
        <v>46151</v>
      </c>
      <c r="K246" s="14">
        <v>46152</v>
      </c>
      <c r="L246" s="15" t="s">
        <v>21</v>
      </c>
      <c r="M246" s="13"/>
      <c r="N246" s="16" t="s">
        <v>1169</v>
      </c>
    </row>
    <row r="247" spans="1:14" ht="25.5" x14ac:dyDescent="0.25">
      <c r="A247" s="8" t="s">
        <v>842</v>
      </c>
      <c r="B247" s="13"/>
      <c r="C247" s="13" t="s">
        <v>595</v>
      </c>
      <c r="D247" s="8">
        <v>264</v>
      </c>
      <c r="E247" s="13" t="s">
        <v>1170</v>
      </c>
      <c r="F247" s="8" t="s">
        <v>72</v>
      </c>
      <c r="G247" s="13"/>
      <c r="H247" s="8"/>
      <c r="I247" s="13" t="s">
        <v>75</v>
      </c>
      <c r="J247" s="14">
        <v>46151</v>
      </c>
      <c r="K247" s="14">
        <v>46152</v>
      </c>
      <c r="L247" s="15" t="s">
        <v>21</v>
      </c>
      <c r="M247" s="13"/>
      <c r="N247" s="16" t="s">
        <v>1171</v>
      </c>
    </row>
    <row r="248" spans="1:14" ht="24" x14ac:dyDescent="0.25">
      <c r="A248" s="8" t="s">
        <v>842</v>
      </c>
      <c r="B248" s="13"/>
      <c r="C248" s="13" t="s">
        <v>595</v>
      </c>
      <c r="D248" s="8">
        <v>265</v>
      </c>
      <c r="E248" s="13" t="s">
        <v>1172</v>
      </c>
      <c r="F248" s="8" t="s">
        <v>72</v>
      </c>
      <c r="G248" s="13"/>
      <c r="H248" s="8"/>
      <c r="I248" s="13" t="s">
        <v>75</v>
      </c>
      <c r="J248" s="14">
        <v>46151</v>
      </c>
      <c r="K248" s="14">
        <v>46152</v>
      </c>
      <c r="L248" s="15" t="s">
        <v>21</v>
      </c>
      <c r="M248" s="13"/>
      <c r="N248" s="16" t="s">
        <v>1173</v>
      </c>
    </row>
    <row r="249" spans="1:14" ht="25.5" x14ac:dyDescent="0.25">
      <c r="A249" s="8" t="s">
        <v>842</v>
      </c>
      <c r="B249" s="13"/>
      <c r="C249" s="13" t="s">
        <v>595</v>
      </c>
      <c r="D249" s="8">
        <v>266</v>
      </c>
      <c r="E249" s="13" t="s">
        <v>1174</v>
      </c>
      <c r="F249" s="8" t="s">
        <v>72</v>
      </c>
      <c r="G249" s="13"/>
      <c r="H249" s="8"/>
      <c r="I249" s="13" t="s">
        <v>75</v>
      </c>
      <c r="J249" s="14">
        <v>46151</v>
      </c>
      <c r="K249" s="14">
        <v>46153</v>
      </c>
      <c r="L249" s="15" t="s">
        <v>21</v>
      </c>
      <c r="M249" s="13"/>
      <c r="N249" s="16" t="s">
        <v>1175</v>
      </c>
    </row>
    <row r="250" spans="1:14" ht="24" x14ac:dyDescent="0.25">
      <c r="A250" s="8" t="s">
        <v>842</v>
      </c>
      <c r="B250" s="13"/>
      <c r="C250" s="13" t="s">
        <v>595</v>
      </c>
      <c r="D250" s="8">
        <v>267</v>
      </c>
      <c r="E250" s="13" t="s">
        <v>1176</v>
      </c>
      <c r="F250" s="8" t="s">
        <v>72</v>
      </c>
      <c r="G250" s="13"/>
      <c r="H250" s="8"/>
      <c r="I250" s="13" t="s">
        <v>75</v>
      </c>
      <c r="J250" s="14">
        <v>46151</v>
      </c>
      <c r="K250" s="14">
        <v>46153</v>
      </c>
      <c r="L250" s="15" t="s">
        <v>21</v>
      </c>
      <c r="M250" s="13"/>
      <c r="N250" s="16" t="s">
        <v>1177</v>
      </c>
    </row>
    <row r="251" spans="1:14" ht="25.5" x14ac:dyDescent="0.25">
      <c r="A251" s="8" t="s">
        <v>842</v>
      </c>
      <c r="B251" s="13"/>
      <c r="C251" s="13" t="s">
        <v>595</v>
      </c>
      <c r="D251" s="8">
        <v>268</v>
      </c>
      <c r="E251" s="13" t="s">
        <v>1178</v>
      </c>
      <c r="F251" s="8" t="s">
        <v>72</v>
      </c>
      <c r="G251" s="13"/>
      <c r="H251" s="8"/>
      <c r="I251" s="13" t="s">
        <v>75</v>
      </c>
      <c r="J251" s="14">
        <v>46151</v>
      </c>
      <c r="K251" s="14">
        <v>46153</v>
      </c>
      <c r="L251" s="15" t="s">
        <v>21</v>
      </c>
      <c r="M251" s="13"/>
      <c r="N251" s="16" t="s">
        <v>1179</v>
      </c>
    </row>
    <row r="252" spans="1:14" ht="25.5" x14ac:dyDescent="0.25">
      <c r="A252" s="8" t="s">
        <v>842</v>
      </c>
      <c r="B252" s="13"/>
      <c r="C252" s="13" t="s">
        <v>595</v>
      </c>
      <c r="D252" s="8">
        <v>269</v>
      </c>
      <c r="E252" s="13" t="s">
        <v>1180</v>
      </c>
      <c r="F252" s="8" t="s">
        <v>72</v>
      </c>
      <c r="G252" s="13"/>
      <c r="H252" s="8"/>
      <c r="I252" s="13" t="s">
        <v>75</v>
      </c>
      <c r="J252" s="14">
        <v>46151</v>
      </c>
      <c r="K252" s="14">
        <v>46153</v>
      </c>
      <c r="L252" s="15" t="s">
        <v>21</v>
      </c>
      <c r="M252" s="13"/>
      <c r="N252" s="16" t="s">
        <v>1181</v>
      </c>
    </row>
    <row r="253" spans="1:14" ht="25.5" x14ac:dyDescent="0.25">
      <c r="A253" s="8" t="s">
        <v>842</v>
      </c>
      <c r="B253" s="13"/>
      <c r="C253" s="13" t="s">
        <v>595</v>
      </c>
      <c r="D253" s="8">
        <v>270</v>
      </c>
      <c r="E253" s="13" t="s">
        <v>1182</v>
      </c>
      <c r="F253" s="8" t="s">
        <v>72</v>
      </c>
      <c r="G253" s="13"/>
      <c r="H253" s="8"/>
      <c r="I253" s="13" t="s">
        <v>75</v>
      </c>
      <c r="J253" s="14">
        <v>46151</v>
      </c>
      <c r="K253" s="14">
        <v>46153</v>
      </c>
      <c r="L253" s="15" t="s">
        <v>21</v>
      </c>
      <c r="M253" s="13"/>
      <c r="N253" s="16" t="s">
        <v>1183</v>
      </c>
    </row>
    <row r="254" spans="1:14" ht="38.25" x14ac:dyDescent="0.25">
      <c r="A254" s="8" t="s">
        <v>50</v>
      </c>
      <c r="B254" s="13" t="s">
        <v>46</v>
      </c>
      <c r="C254" s="13" t="s">
        <v>70</v>
      </c>
      <c r="D254" s="8">
        <v>271</v>
      </c>
      <c r="E254" s="13" t="s">
        <v>242</v>
      </c>
      <c r="F254" s="8" t="s">
        <v>72</v>
      </c>
      <c r="G254" s="13"/>
      <c r="H254" s="8"/>
      <c r="I254" s="13" t="s">
        <v>75</v>
      </c>
      <c r="J254" s="14">
        <v>46151</v>
      </c>
      <c r="K254" s="14">
        <v>46161</v>
      </c>
      <c r="L254" s="15" t="s">
        <v>21</v>
      </c>
      <c r="M254" s="13"/>
      <c r="N254" s="16" t="s">
        <v>243</v>
      </c>
    </row>
    <row r="255" spans="1:14" ht="25.5" x14ac:dyDescent="0.25">
      <c r="A255" s="8" t="s">
        <v>842</v>
      </c>
      <c r="B255" s="13"/>
      <c r="C255" s="13" t="s">
        <v>595</v>
      </c>
      <c r="D255" s="8">
        <v>272</v>
      </c>
      <c r="E255" s="13" t="s">
        <v>1184</v>
      </c>
      <c r="F255" s="8" t="s">
        <v>72</v>
      </c>
      <c r="G255" s="13"/>
      <c r="H255" s="8"/>
      <c r="I255" s="13" t="s">
        <v>75</v>
      </c>
      <c r="J255" s="14">
        <v>46151</v>
      </c>
      <c r="K255" s="14">
        <v>46152</v>
      </c>
      <c r="L255" s="15" t="s">
        <v>21</v>
      </c>
      <c r="M255" s="13"/>
      <c r="N255" s="16" t="s">
        <v>1185</v>
      </c>
    </row>
    <row r="256" spans="1:14" ht="25.5" x14ac:dyDescent="0.25">
      <c r="A256" s="8" t="s">
        <v>842</v>
      </c>
      <c r="B256" s="13"/>
      <c r="C256" s="13" t="s">
        <v>595</v>
      </c>
      <c r="D256" s="8">
        <v>273</v>
      </c>
      <c r="E256" s="13" t="s">
        <v>1186</v>
      </c>
      <c r="F256" s="8" t="s">
        <v>72</v>
      </c>
      <c r="G256" s="13"/>
      <c r="H256" s="8"/>
      <c r="I256" s="13" t="s">
        <v>75</v>
      </c>
      <c r="J256" s="14">
        <v>46154</v>
      </c>
      <c r="K256" s="14">
        <v>46175</v>
      </c>
      <c r="L256" s="15" t="s">
        <v>21</v>
      </c>
      <c r="M256" s="13"/>
      <c r="N256" s="16" t="s">
        <v>1187</v>
      </c>
    </row>
    <row r="257" spans="1:14" ht="25.5" x14ac:dyDescent="0.25">
      <c r="A257" s="8" t="s">
        <v>842</v>
      </c>
      <c r="B257" s="13"/>
      <c r="C257" s="13" t="s">
        <v>595</v>
      </c>
      <c r="D257" s="8">
        <v>275</v>
      </c>
      <c r="E257" s="13" t="s">
        <v>1188</v>
      </c>
      <c r="F257" s="8" t="s">
        <v>72</v>
      </c>
      <c r="G257" s="13"/>
      <c r="H257" s="8"/>
      <c r="I257" s="13" t="s">
        <v>75</v>
      </c>
      <c r="J257" s="14">
        <v>46154</v>
      </c>
      <c r="K257" s="14">
        <v>46154</v>
      </c>
      <c r="L257" s="15" t="s">
        <v>21</v>
      </c>
      <c r="M257" s="13"/>
      <c r="N257" s="16" t="s">
        <v>1189</v>
      </c>
    </row>
    <row r="258" spans="1:14" ht="25.5" x14ac:dyDescent="0.25">
      <c r="A258" s="8" t="s">
        <v>842</v>
      </c>
      <c r="B258" s="13"/>
      <c r="C258" s="13" t="s">
        <v>595</v>
      </c>
      <c r="D258" s="8">
        <v>277</v>
      </c>
      <c r="E258" s="13" t="s">
        <v>1190</v>
      </c>
      <c r="F258" s="8" t="s">
        <v>72</v>
      </c>
      <c r="G258" s="13"/>
      <c r="H258" s="8"/>
      <c r="I258" s="13" t="s">
        <v>75</v>
      </c>
      <c r="J258" s="14">
        <v>46154</v>
      </c>
      <c r="K258" s="14">
        <v>46154</v>
      </c>
      <c r="L258" s="15" t="s">
        <v>21</v>
      </c>
      <c r="M258" s="13"/>
      <c r="N258" s="16" t="s">
        <v>1191</v>
      </c>
    </row>
    <row r="259" spans="1:14" ht="25.5" x14ac:dyDescent="0.25">
      <c r="A259" s="8" t="s">
        <v>842</v>
      </c>
      <c r="B259" s="13"/>
      <c r="C259" s="13" t="s">
        <v>595</v>
      </c>
      <c r="D259" s="8">
        <v>278</v>
      </c>
      <c r="E259" s="13" t="s">
        <v>1192</v>
      </c>
      <c r="F259" s="8" t="s">
        <v>72</v>
      </c>
      <c r="G259" s="13"/>
      <c r="H259" s="8"/>
      <c r="I259" s="13" t="s">
        <v>75</v>
      </c>
      <c r="J259" s="14">
        <v>46154</v>
      </c>
      <c r="K259" s="14">
        <v>46154</v>
      </c>
      <c r="L259" s="15" t="s">
        <v>21</v>
      </c>
      <c r="M259" s="13"/>
      <c r="N259" s="16" t="s">
        <v>1193</v>
      </c>
    </row>
    <row r="260" spans="1:14" ht="25.5" x14ac:dyDescent="0.25">
      <c r="A260" s="8" t="s">
        <v>842</v>
      </c>
      <c r="B260" s="13"/>
      <c r="C260" s="13" t="s">
        <v>595</v>
      </c>
      <c r="D260" s="8">
        <v>282</v>
      </c>
      <c r="E260" s="13" t="s">
        <v>1194</v>
      </c>
      <c r="F260" s="8" t="s">
        <v>72</v>
      </c>
      <c r="G260" s="13"/>
      <c r="H260" s="8"/>
      <c r="I260" s="13" t="s">
        <v>75</v>
      </c>
      <c r="J260" s="14">
        <v>46154</v>
      </c>
      <c r="K260" s="14">
        <v>46154</v>
      </c>
      <c r="L260" s="15" t="s">
        <v>21</v>
      </c>
      <c r="M260" s="13"/>
      <c r="N260" s="16" t="s">
        <v>1195</v>
      </c>
    </row>
    <row r="261" spans="1:14" ht="25.5" x14ac:dyDescent="0.25">
      <c r="A261" s="8" t="s">
        <v>842</v>
      </c>
      <c r="B261" s="13"/>
      <c r="C261" s="13" t="s">
        <v>595</v>
      </c>
      <c r="D261" s="8">
        <v>284</v>
      </c>
      <c r="E261" s="13" t="s">
        <v>1196</v>
      </c>
      <c r="F261" s="8" t="s">
        <v>72</v>
      </c>
      <c r="G261" s="13"/>
      <c r="H261" s="8"/>
      <c r="I261" s="13" t="s">
        <v>75</v>
      </c>
      <c r="J261" s="14">
        <v>46154</v>
      </c>
      <c r="K261" s="14">
        <v>46161</v>
      </c>
      <c r="L261" s="15" t="s">
        <v>21</v>
      </c>
      <c r="M261" s="13"/>
      <c r="N261" s="16" t="s">
        <v>1197</v>
      </c>
    </row>
    <row r="262" spans="1:14" ht="25.5" x14ac:dyDescent="0.25">
      <c r="A262" s="8" t="s">
        <v>842</v>
      </c>
      <c r="B262" s="13"/>
      <c r="C262" s="13" t="s">
        <v>595</v>
      </c>
      <c r="D262" s="8">
        <v>286</v>
      </c>
      <c r="E262" s="13" t="s">
        <v>1198</v>
      </c>
      <c r="F262" s="8" t="s">
        <v>72</v>
      </c>
      <c r="G262" s="13"/>
      <c r="H262" s="8"/>
      <c r="I262" s="13" t="s">
        <v>75</v>
      </c>
      <c r="J262" s="14">
        <v>46154</v>
      </c>
      <c r="K262" s="14">
        <v>46161</v>
      </c>
      <c r="L262" s="15" t="s">
        <v>21</v>
      </c>
      <c r="M262" s="13"/>
      <c r="N262" s="16" t="s">
        <v>1199</v>
      </c>
    </row>
    <row r="263" spans="1:14" ht="25.5" x14ac:dyDescent="0.25">
      <c r="A263" s="8" t="s">
        <v>842</v>
      </c>
      <c r="B263" s="13"/>
      <c r="C263" s="13" t="s">
        <v>595</v>
      </c>
      <c r="D263" s="8">
        <v>287</v>
      </c>
      <c r="E263" s="13" t="s">
        <v>1200</v>
      </c>
      <c r="F263" s="8" t="s">
        <v>72</v>
      </c>
      <c r="G263" s="13"/>
      <c r="H263" s="8"/>
      <c r="I263" s="13" t="s">
        <v>75</v>
      </c>
      <c r="J263" s="14">
        <v>46154</v>
      </c>
      <c r="K263" s="14">
        <v>46161</v>
      </c>
      <c r="L263" s="15" t="s">
        <v>21</v>
      </c>
      <c r="M263" s="13"/>
      <c r="N263" s="16" t="s">
        <v>1201</v>
      </c>
    </row>
    <row r="264" spans="1:14" ht="25.5" x14ac:dyDescent="0.25">
      <c r="A264" s="8" t="s">
        <v>842</v>
      </c>
      <c r="B264" s="13"/>
      <c r="C264" s="13" t="s">
        <v>595</v>
      </c>
      <c r="D264" s="8">
        <v>289</v>
      </c>
      <c r="E264" s="13" t="s">
        <v>1202</v>
      </c>
      <c r="F264" s="8" t="s">
        <v>72</v>
      </c>
      <c r="G264" s="13"/>
      <c r="H264" s="8"/>
      <c r="I264" s="13" t="s">
        <v>75</v>
      </c>
      <c r="J264" s="14">
        <v>46154</v>
      </c>
      <c r="K264" s="14">
        <v>46161</v>
      </c>
      <c r="L264" s="15" t="s">
        <v>21</v>
      </c>
      <c r="M264" s="13"/>
      <c r="N264" s="16" t="s">
        <v>1203</v>
      </c>
    </row>
    <row r="265" spans="1:14" ht="25.5" x14ac:dyDescent="0.25">
      <c r="A265" s="8" t="s">
        <v>50</v>
      </c>
      <c r="B265" s="13" t="s">
        <v>46</v>
      </c>
      <c r="C265" s="13" t="s">
        <v>70</v>
      </c>
      <c r="D265" s="8">
        <v>294</v>
      </c>
      <c r="E265" s="13" t="s">
        <v>244</v>
      </c>
      <c r="F265" s="8" t="s">
        <v>72</v>
      </c>
      <c r="G265" s="13"/>
      <c r="H265" s="8" t="s">
        <v>93</v>
      </c>
      <c r="I265" s="13" t="s">
        <v>75</v>
      </c>
      <c r="J265" s="14">
        <v>46154</v>
      </c>
      <c r="K265" s="14">
        <v>46174</v>
      </c>
      <c r="L265" s="15" t="s">
        <v>21</v>
      </c>
      <c r="M265" s="13"/>
      <c r="N265" s="16" t="s">
        <v>245</v>
      </c>
    </row>
    <row r="266" spans="1:14" ht="24" x14ac:dyDescent="0.25">
      <c r="A266" s="8" t="s">
        <v>842</v>
      </c>
      <c r="B266" s="13"/>
      <c r="C266" s="13" t="s">
        <v>595</v>
      </c>
      <c r="D266" s="8">
        <v>295</v>
      </c>
      <c r="E266" s="13" t="s">
        <v>1204</v>
      </c>
      <c r="F266" s="8" t="s">
        <v>72</v>
      </c>
      <c r="G266" s="13"/>
      <c r="H266" s="8"/>
      <c r="I266" s="13" t="s">
        <v>75</v>
      </c>
      <c r="J266" s="14">
        <v>46155</v>
      </c>
      <c r="K266" s="14">
        <v>46174</v>
      </c>
      <c r="L266" s="15" t="s">
        <v>21</v>
      </c>
      <c r="M266" s="13"/>
      <c r="N266" s="16" t="s">
        <v>1205</v>
      </c>
    </row>
    <row r="267" spans="1:14" ht="24" x14ac:dyDescent="0.25">
      <c r="A267" s="8" t="s">
        <v>50</v>
      </c>
      <c r="B267" s="13" t="s">
        <v>46</v>
      </c>
      <c r="C267" s="13" t="s">
        <v>70</v>
      </c>
      <c r="D267" s="8">
        <v>296</v>
      </c>
      <c r="E267" s="13" t="s">
        <v>246</v>
      </c>
      <c r="F267" s="8" t="s">
        <v>92</v>
      </c>
      <c r="G267" s="13"/>
      <c r="H267" s="8" t="s">
        <v>87</v>
      </c>
      <c r="I267" s="13" t="s">
        <v>75</v>
      </c>
      <c r="J267" s="14">
        <v>46155</v>
      </c>
      <c r="K267" s="14">
        <v>46161</v>
      </c>
      <c r="L267" s="15" t="s">
        <v>21</v>
      </c>
      <c r="M267" s="13"/>
      <c r="N267" s="16" t="s">
        <v>247</v>
      </c>
    </row>
    <row r="268" spans="1:14" ht="24" x14ac:dyDescent="0.25">
      <c r="A268" s="8" t="s">
        <v>842</v>
      </c>
      <c r="B268" s="13"/>
      <c r="C268" s="13" t="s">
        <v>595</v>
      </c>
      <c r="D268" s="8">
        <v>297</v>
      </c>
      <c r="E268" s="13" t="s">
        <v>1206</v>
      </c>
      <c r="F268" s="8" t="s">
        <v>92</v>
      </c>
      <c r="G268" s="13"/>
      <c r="H268" s="8"/>
      <c r="I268" s="13" t="s">
        <v>75</v>
      </c>
      <c r="J268" s="14">
        <v>46155</v>
      </c>
      <c r="K268" s="14">
        <v>46161</v>
      </c>
      <c r="L268" s="15" t="s">
        <v>21</v>
      </c>
      <c r="M268" s="13"/>
      <c r="N268" s="16" t="s">
        <v>1207</v>
      </c>
    </row>
    <row r="269" spans="1:14" ht="24" x14ac:dyDescent="0.25">
      <c r="A269" s="8" t="s">
        <v>50</v>
      </c>
      <c r="B269" s="13" t="s">
        <v>46</v>
      </c>
      <c r="C269" s="13" t="s">
        <v>70</v>
      </c>
      <c r="D269" s="8">
        <v>298</v>
      </c>
      <c r="E269" s="13" t="s">
        <v>248</v>
      </c>
      <c r="F269" s="8" t="s">
        <v>92</v>
      </c>
      <c r="G269" s="13"/>
      <c r="H269" s="8" t="s">
        <v>87</v>
      </c>
      <c r="I269" s="13" t="s">
        <v>75</v>
      </c>
      <c r="J269" s="14">
        <v>46156</v>
      </c>
      <c r="K269" s="14">
        <v>46161</v>
      </c>
      <c r="L269" s="15" t="s">
        <v>21</v>
      </c>
      <c r="M269" s="13"/>
      <c r="N269" s="16" t="s">
        <v>249</v>
      </c>
    </row>
    <row r="270" spans="1:14" ht="24" x14ac:dyDescent="0.25">
      <c r="A270" s="8" t="s">
        <v>842</v>
      </c>
      <c r="B270" s="13"/>
      <c r="C270" s="13" t="s">
        <v>595</v>
      </c>
      <c r="D270" s="8">
        <v>299</v>
      </c>
      <c r="E270" s="13" t="s">
        <v>1208</v>
      </c>
      <c r="F270" s="8" t="s">
        <v>92</v>
      </c>
      <c r="G270" s="13"/>
      <c r="H270" s="8"/>
      <c r="I270" s="13" t="s">
        <v>75</v>
      </c>
      <c r="J270" s="14">
        <v>46157</v>
      </c>
      <c r="K270" s="14">
        <v>46157</v>
      </c>
      <c r="L270" s="15" t="s">
        <v>21</v>
      </c>
      <c r="M270" s="13"/>
      <c r="N270" s="16" t="s">
        <v>1209</v>
      </c>
    </row>
    <row r="271" spans="1:14" ht="24" x14ac:dyDescent="0.25">
      <c r="A271" s="8" t="s">
        <v>842</v>
      </c>
      <c r="B271" s="13"/>
      <c r="C271" s="13" t="s">
        <v>595</v>
      </c>
      <c r="D271" s="8">
        <v>300</v>
      </c>
      <c r="E271" s="13" t="s">
        <v>1210</v>
      </c>
      <c r="F271" s="8" t="s">
        <v>92</v>
      </c>
      <c r="G271" s="13"/>
      <c r="H271" s="8"/>
      <c r="I271" s="13" t="s">
        <v>75</v>
      </c>
      <c r="J271" s="14">
        <v>46157</v>
      </c>
      <c r="K271" s="14">
        <v>46157</v>
      </c>
      <c r="L271" s="15" t="s">
        <v>21</v>
      </c>
      <c r="M271" s="13"/>
      <c r="N271" s="16" t="s">
        <v>1211</v>
      </c>
    </row>
    <row r="272" spans="1:14" ht="24" x14ac:dyDescent="0.25">
      <c r="A272" s="8" t="s">
        <v>842</v>
      </c>
      <c r="B272" s="13"/>
      <c r="C272" s="13" t="s">
        <v>595</v>
      </c>
      <c r="D272" s="8">
        <v>301</v>
      </c>
      <c r="E272" s="13" t="s">
        <v>1212</v>
      </c>
      <c r="F272" s="8" t="s">
        <v>92</v>
      </c>
      <c r="G272" s="13"/>
      <c r="H272" s="8"/>
      <c r="I272" s="13" t="s">
        <v>75</v>
      </c>
      <c r="J272" s="14">
        <v>46157</v>
      </c>
      <c r="K272" s="14">
        <v>46157</v>
      </c>
      <c r="L272" s="15" t="s">
        <v>21</v>
      </c>
      <c r="M272" s="13"/>
      <c r="N272" s="16" t="s">
        <v>1213</v>
      </c>
    </row>
    <row r="273" spans="1:14" ht="25.5" x14ac:dyDescent="0.25">
      <c r="A273" s="8" t="s">
        <v>50</v>
      </c>
      <c r="B273" s="13" t="s">
        <v>46</v>
      </c>
      <c r="C273" s="13" t="s">
        <v>70</v>
      </c>
      <c r="D273" s="8">
        <v>302</v>
      </c>
      <c r="E273" s="13" t="s">
        <v>250</v>
      </c>
      <c r="F273" s="8" t="s">
        <v>92</v>
      </c>
      <c r="G273" s="13"/>
      <c r="H273" s="8" t="s">
        <v>87</v>
      </c>
      <c r="I273" s="13" t="s">
        <v>75</v>
      </c>
      <c r="J273" s="14">
        <v>46157</v>
      </c>
      <c r="K273" s="14">
        <v>46161</v>
      </c>
      <c r="L273" s="15" t="s">
        <v>21</v>
      </c>
      <c r="M273" s="13"/>
      <c r="N273" s="16" t="s">
        <v>251</v>
      </c>
    </row>
    <row r="274" spans="1:14" ht="24" x14ac:dyDescent="0.25">
      <c r="A274" s="8" t="s">
        <v>50</v>
      </c>
      <c r="B274" s="13" t="s">
        <v>46</v>
      </c>
      <c r="C274" s="13" t="s">
        <v>70</v>
      </c>
      <c r="D274" s="8">
        <v>303</v>
      </c>
      <c r="E274" s="13" t="s">
        <v>252</v>
      </c>
      <c r="F274" s="8" t="s">
        <v>253</v>
      </c>
      <c r="G274" s="13"/>
      <c r="H274" s="8" t="s">
        <v>74</v>
      </c>
      <c r="I274" s="13" t="s">
        <v>75</v>
      </c>
      <c r="J274" s="14">
        <v>46157</v>
      </c>
      <c r="K274" s="14">
        <v>46169</v>
      </c>
      <c r="L274" s="15" t="s">
        <v>21</v>
      </c>
      <c r="M274" s="13" t="s">
        <v>254</v>
      </c>
      <c r="N274" s="16" t="s">
        <v>255</v>
      </c>
    </row>
    <row r="275" spans="1:14" ht="24" x14ac:dyDescent="0.25">
      <c r="A275" s="8" t="s">
        <v>50</v>
      </c>
      <c r="B275" s="13" t="s">
        <v>46</v>
      </c>
      <c r="C275" s="13" t="s">
        <v>70</v>
      </c>
      <c r="D275" s="8">
        <v>304</v>
      </c>
      <c r="E275" s="13" t="s">
        <v>256</v>
      </c>
      <c r="F275" s="8" t="s">
        <v>253</v>
      </c>
      <c r="G275" s="13" t="s">
        <v>73</v>
      </c>
      <c r="H275" s="8" t="s">
        <v>74</v>
      </c>
      <c r="I275" s="13" t="s">
        <v>75</v>
      </c>
      <c r="J275" s="14">
        <v>46157</v>
      </c>
      <c r="K275" s="14">
        <v>46170</v>
      </c>
      <c r="L275" s="15" t="s">
        <v>21</v>
      </c>
      <c r="M275" s="13" t="s">
        <v>254</v>
      </c>
      <c r="N275" s="16" t="s">
        <v>257</v>
      </c>
    </row>
    <row r="276" spans="1:14" ht="24" x14ac:dyDescent="0.25">
      <c r="A276" s="8" t="s">
        <v>50</v>
      </c>
      <c r="B276" s="13" t="s">
        <v>46</v>
      </c>
      <c r="C276" s="13" t="s">
        <v>70</v>
      </c>
      <c r="D276" s="8">
        <v>305</v>
      </c>
      <c r="E276" s="13" t="s">
        <v>258</v>
      </c>
      <c r="F276" s="8" t="s">
        <v>253</v>
      </c>
      <c r="G276" s="13" t="s">
        <v>73</v>
      </c>
      <c r="H276" s="8" t="s">
        <v>74</v>
      </c>
      <c r="I276" s="13" t="s">
        <v>75</v>
      </c>
      <c r="J276" s="14">
        <v>46157</v>
      </c>
      <c r="K276" s="14">
        <v>46177</v>
      </c>
      <c r="L276" s="15" t="s">
        <v>21</v>
      </c>
      <c r="M276" s="13" t="s">
        <v>254</v>
      </c>
      <c r="N276" s="16" t="s">
        <v>259</v>
      </c>
    </row>
    <row r="277" spans="1:14" ht="24" x14ac:dyDescent="0.25">
      <c r="A277" s="8" t="s">
        <v>50</v>
      </c>
      <c r="B277" s="13" t="s">
        <v>46</v>
      </c>
      <c r="C277" s="13" t="s">
        <v>70</v>
      </c>
      <c r="D277" s="8">
        <v>306</v>
      </c>
      <c r="E277" s="13" t="s">
        <v>260</v>
      </c>
      <c r="F277" s="8" t="s">
        <v>253</v>
      </c>
      <c r="G277" s="13" t="s">
        <v>79</v>
      </c>
      <c r="H277" s="8" t="s">
        <v>74</v>
      </c>
      <c r="I277" s="13" t="s">
        <v>75</v>
      </c>
      <c r="J277" s="14">
        <v>46157</v>
      </c>
      <c r="K277" s="14">
        <v>46174</v>
      </c>
      <c r="L277" s="15" t="s">
        <v>21</v>
      </c>
      <c r="M277" s="13" t="s">
        <v>254</v>
      </c>
      <c r="N277" s="16" t="s">
        <v>261</v>
      </c>
    </row>
    <row r="278" spans="1:14" ht="24" x14ac:dyDescent="0.25">
      <c r="A278" s="8" t="s">
        <v>50</v>
      </c>
      <c r="B278" s="13" t="s">
        <v>46</v>
      </c>
      <c r="C278" s="13" t="s">
        <v>70</v>
      </c>
      <c r="D278" s="8">
        <v>307</v>
      </c>
      <c r="E278" s="13" t="s">
        <v>262</v>
      </c>
      <c r="F278" s="8" t="s">
        <v>253</v>
      </c>
      <c r="G278" s="13" t="s">
        <v>86</v>
      </c>
      <c r="H278" s="8" t="s">
        <v>74</v>
      </c>
      <c r="I278" s="13" t="s">
        <v>75</v>
      </c>
      <c r="J278" s="14">
        <v>46157</v>
      </c>
      <c r="K278" s="14">
        <v>46178</v>
      </c>
      <c r="L278" s="15" t="s">
        <v>21</v>
      </c>
      <c r="M278" s="13" t="s">
        <v>254</v>
      </c>
      <c r="N278" s="16" t="s">
        <v>263</v>
      </c>
    </row>
    <row r="279" spans="1:14" ht="24" x14ac:dyDescent="0.25">
      <c r="A279" s="8" t="s">
        <v>50</v>
      </c>
      <c r="B279" s="13" t="s">
        <v>46</v>
      </c>
      <c r="C279" s="13" t="s">
        <v>70</v>
      </c>
      <c r="D279" s="8">
        <v>308</v>
      </c>
      <c r="E279" s="13" t="s">
        <v>264</v>
      </c>
      <c r="F279" s="8" t="s">
        <v>92</v>
      </c>
      <c r="G279" s="13"/>
      <c r="H279" s="8" t="s">
        <v>74</v>
      </c>
      <c r="I279" s="13" t="s">
        <v>75</v>
      </c>
      <c r="J279" s="14">
        <v>46157</v>
      </c>
      <c r="K279" s="14">
        <v>46161</v>
      </c>
      <c r="L279" s="15" t="s">
        <v>21</v>
      </c>
      <c r="M279" s="13"/>
      <c r="N279" s="16" t="s">
        <v>265</v>
      </c>
    </row>
    <row r="280" spans="1:14" ht="24" x14ac:dyDescent="0.25">
      <c r="A280" s="8" t="s">
        <v>50</v>
      </c>
      <c r="B280" s="13" t="s">
        <v>46</v>
      </c>
      <c r="C280" s="13" t="s">
        <v>70</v>
      </c>
      <c r="D280" s="8">
        <v>309</v>
      </c>
      <c r="E280" s="13" t="s">
        <v>266</v>
      </c>
      <c r="F280" s="8" t="s">
        <v>253</v>
      </c>
      <c r="G280" s="13" t="s">
        <v>73</v>
      </c>
      <c r="H280" s="8" t="s">
        <v>74</v>
      </c>
      <c r="I280" s="13" t="s">
        <v>75</v>
      </c>
      <c r="J280" s="14">
        <v>46157</v>
      </c>
      <c r="K280" s="14">
        <v>46178</v>
      </c>
      <c r="L280" s="17" t="s">
        <v>23</v>
      </c>
      <c r="M280" s="13" t="s">
        <v>267</v>
      </c>
      <c r="N280" s="16" t="s">
        <v>268</v>
      </c>
    </row>
    <row r="281" spans="1:14" ht="24" x14ac:dyDescent="0.25">
      <c r="A281" s="8" t="s">
        <v>50</v>
      </c>
      <c r="B281" s="13" t="s">
        <v>46</v>
      </c>
      <c r="C281" s="13" t="s">
        <v>70</v>
      </c>
      <c r="D281" s="8">
        <v>310</v>
      </c>
      <c r="E281" s="13" t="s">
        <v>269</v>
      </c>
      <c r="F281" s="8" t="s">
        <v>253</v>
      </c>
      <c r="G281" s="13" t="s">
        <v>73</v>
      </c>
      <c r="H281" s="8" t="s">
        <v>74</v>
      </c>
      <c r="I281" s="13" t="s">
        <v>75</v>
      </c>
      <c r="J281" s="14">
        <v>46157</v>
      </c>
      <c r="K281" s="14">
        <v>46170</v>
      </c>
      <c r="L281" s="15" t="s">
        <v>21</v>
      </c>
      <c r="M281" s="13" t="s">
        <v>254</v>
      </c>
      <c r="N281" s="16" t="s">
        <v>270</v>
      </c>
    </row>
    <row r="282" spans="1:14" ht="24" x14ac:dyDescent="0.25">
      <c r="A282" s="8" t="s">
        <v>50</v>
      </c>
      <c r="B282" s="13" t="s">
        <v>46</v>
      </c>
      <c r="C282" s="13" t="s">
        <v>70</v>
      </c>
      <c r="D282" s="8">
        <v>311</v>
      </c>
      <c r="E282" s="13" t="s">
        <v>271</v>
      </c>
      <c r="F282" s="8" t="s">
        <v>253</v>
      </c>
      <c r="G282" s="13" t="s">
        <v>73</v>
      </c>
      <c r="H282" s="8" t="s">
        <v>74</v>
      </c>
      <c r="I282" s="13" t="s">
        <v>75</v>
      </c>
      <c r="J282" s="14">
        <v>46157</v>
      </c>
      <c r="K282" s="14">
        <v>46170</v>
      </c>
      <c r="L282" s="15" t="s">
        <v>21</v>
      </c>
      <c r="M282" s="13" t="s">
        <v>254</v>
      </c>
      <c r="N282" s="16" t="s">
        <v>272</v>
      </c>
    </row>
    <row r="283" spans="1:14" ht="24" x14ac:dyDescent="0.25">
      <c r="A283" s="8" t="s">
        <v>50</v>
      </c>
      <c r="B283" s="13" t="s">
        <v>46</v>
      </c>
      <c r="C283" s="13" t="s">
        <v>70</v>
      </c>
      <c r="D283" s="8">
        <v>312</v>
      </c>
      <c r="E283" s="13" t="s">
        <v>273</v>
      </c>
      <c r="F283" s="8" t="s">
        <v>253</v>
      </c>
      <c r="G283" s="13" t="s">
        <v>73</v>
      </c>
      <c r="H283" s="8" t="s">
        <v>74</v>
      </c>
      <c r="I283" s="13" t="s">
        <v>75</v>
      </c>
      <c r="J283" s="14">
        <v>46157</v>
      </c>
      <c r="K283" s="14">
        <v>46178</v>
      </c>
      <c r="L283" s="17" t="s">
        <v>23</v>
      </c>
      <c r="M283" s="13" t="s">
        <v>267</v>
      </c>
      <c r="N283" s="16" t="s">
        <v>274</v>
      </c>
    </row>
    <row r="284" spans="1:14" ht="24" x14ac:dyDescent="0.25">
      <c r="A284" s="8" t="s">
        <v>50</v>
      </c>
      <c r="B284" s="13" t="s">
        <v>46</v>
      </c>
      <c r="C284" s="13" t="s">
        <v>70</v>
      </c>
      <c r="D284" s="8">
        <v>313</v>
      </c>
      <c r="E284" s="13" t="s">
        <v>275</v>
      </c>
      <c r="F284" s="8" t="s">
        <v>92</v>
      </c>
      <c r="G284" s="13"/>
      <c r="H284" s="8" t="s">
        <v>112</v>
      </c>
      <c r="I284" s="13" t="s">
        <v>75</v>
      </c>
      <c r="J284" s="14">
        <v>46157</v>
      </c>
      <c r="K284" s="14">
        <v>46161</v>
      </c>
      <c r="L284" s="15" t="s">
        <v>21</v>
      </c>
      <c r="M284" s="13"/>
      <c r="N284" s="16" t="s">
        <v>276</v>
      </c>
    </row>
    <row r="285" spans="1:14" ht="24" x14ac:dyDescent="0.25">
      <c r="A285" s="8" t="s">
        <v>50</v>
      </c>
      <c r="B285" s="13" t="s">
        <v>46</v>
      </c>
      <c r="C285" s="13" t="s">
        <v>70</v>
      </c>
      <c r="D285" s="8">
        <v>314</v>
      </c>
      <c r="E285" s="13" t="s">
        <v>277</v>
      </c>
      <c r="F285" s="8" t="s">
        <v>92</v>
      </c>
      <c r="G285" s="13"/>
      <c r="H285" s="8" t="s">
        <v>87</v>
      </c>
      <c r="I285" s="13" t="s">
        <v>75</v>
      </c>
      <c r="J285" s="14">
        <v>46157</v>
      </c>
      <c r="K285" s="14">
        <v>46162</v>
      </c>
      <c r="L285" s="15" t="s">
        <v>21</v>
      </c>
      <c r="M285" s="13" t="s">
        <v>254</v>
      </c>
      <c r="N285" s="16" t="s">
        <v>278</v>
      </c>
    </row>
    <row r="286" spans="1:14" ht="24" x14ac:dyDescent="0.25">
      <c r="A286" s="8" t="s">
        <v>842</v>
      </c>
      <c r="B286" s="13"/>
      <c r="C286" s="13" t="s">
        <v>595</v>
      </c>
      <c r="D286" s="8">
        <v>315</v>
      </c>
      <c r="E286" s="13" t="s">
        <v>1214</v>
      </c>
      <c r="F286" s="8" t="s">
        <v>92</v>
      </c>
      <c r="G286" s="13"/>
      <c r="H286" s="8"/>
      <c r="I286" s="13" t="s">
        <v>75</v>
      </c>
      <c r="J286" s="14">
        <v>46160</v>
      </c>
      <c r="K286" s="14">
        <v>46163</v>
      </c>
      <c r="L286" s="15" t="s">
        <v>21</v>
      </c>
      <c r="M286" s="13"/>
      <c r="N286" s="16" t="s">
        <v>1215</v>
      </c>
    </row>
    <row r="287" spans="1:14" ht="24" x14ac:dyDescent="0.25">
      <c r="A287" s="8" t="s">
        <v>842</v>
      </c>
      <c r="B287" s="13"/>
      <c r="C287" s="13" t="s">
        <v>595</v>
      </c>
      <c r="D287" s="8">
        <v>316</v>
      </c>
      <c r="E287" s="13" t="s">
        <v>1216</v>
      </c>
      <c r="F287" s="8" t="s">
        <v>92</v>
      </c>
      <c r="G287" s="13"/>
      <c r="H287" s="8"/>
      <c r="I287" s="13" t="s">
        <v>75</v>
      </c>
      <c r="J287" s="14">
        <v>46160</v>
      </c>
      <c r="K287" s="14">
        <v>46163</v>
      </c>
      <c r="L287" s="17" t="s">
        <v>23</v>
      </c>
      <c r="M287" s="13" t="s">
        <v>844</v>
      </c>
      <c r="N287" s="16" t="s">
        <v>1217</v>
      </c>
    </row>
    <row r="288" spans="1:14" ht="24" x14ac:dyDescent="0.25">
      <c r="A288" s="8" t="s">
        <v>842</v>
      </c>
      <c r="B288" s="13"/>
      <c r="C288" s="13" t="s">
        <v>595</v>
      </c>
      <c r="D288" s="8">
        <v>317</v>
      </c>
      <c r="E288" s="13" t="s">
        <v>1218</v>
      </c>
      <c r="F288" s="8" t="s">
        <v>92</v>
      </c>
      <c r="G288" s="13"/>
      <c r="H288" s="8"/>
      <c r="I288" s="13" t="s">
        <v>75</v>
      </c>
      <c r="J288" s="14">
        <v>46160</v>
      </c>
      <c r="K288" s="14">
        <v>46174</v>
      </c>
      <c r="L288" s="15" t="s">
        <v>21</v>
      </c>
      <c r="M288" s="13"/>
      <c r="N288" s="16" t="s">
        <v>1219</v>
      </c>
    </row>
    <row r="289" spans="1:14" ht="25.5" x14ac:dyDescent="0.25">
      <c r="A289" s="8" t="s">
        <v>842</v>
      </c>
      <c r="B289" s="13"/>
      <c r="C289" s="13" t="s">
        <v>142</v>
      </c>
      <c r="D289" s="8">
        <v>318</v>
      </c>
      <c r="E289" s="13" t="s">
        <v>1220</v>
      </c>
      <c r="F289" s="8" t="s">
        <v>92</v>
      </c>
      <c r="G289" s="13"/>
      <c r="H289" s="8" t="s">
        <v>74</v>
      </c>
      <c r="I289" s="13" t="s">
        <v>75</v>
      </c>
      <c r="J289" s="14">
        <v>46160</v>
      </c>
      <c r="K289" s="14">
        <v>46169</v>
      </c>
      <c r="L289" s="15" t="s">
        <v>21</v>
      </c>
      <c r="M289" s="13"/>
      <c r="N289" s="16" t="s">
        <v>1221</v>
      </c>
    </row>
    <row r="290" spans="1:14" ht="24" x14ac:dyDescent="0.25">
      <c r="A290" s="8" t="s">
        <v>842</v>
      </c>
      <c r="B290" s="13"/>
      <c r="C290" s="13" t="s">
        <v>595</v>
      </c>
      <c r="D290" s="8">
        <v>319</v>
      </c>
      <c r="E290" s="13" t="s">
        <v>1222</v>
      </c>
      <c r="F290" s="8" t="s">
        <v>92</v>
      </c>
      <c r="G290" s="13"/>
      <c r="H290" s="8"/>
      <c r="I290" s="13" t="s">
        <v>75</v>
      </c>
      <c r="J290" s="14">
        <v>46160</v>
      </c>
      <c r="K290" s="14">
        <v>46174</v>
      </c>
      <c r="L290" s="15" t="s">
        <v>21</v>
      </c>
      <c r="M290" s="13"/>
      <c r="N290" s="16" t="s">
        <v>1223</v>
      </c>
    </row>
    <row r="291" spans="1:14" ht="24" x14ac:dyDescent="0.25">
      <c r="A291" s="8" t="s">
        <v>842</v>
      </c>
      <c r="B291" s="13"/>
      <c r="C291" s="13" t="s">
        <v>142</v>
      </c>
      <c r="D291" s="8">
        <v>320</v>
      </c>
      <c r="E291" s="13" t="s">
        <v>1224</v>
      </c>
      <c r="F291" s="8" t="s">
        <v>92</v>
      </c>
      <c r="G291" s="13"/>
      <c r="H291" s="8"/>
      <c r="I291" s="13" t="s">
        <v>75</v>
      </c>
      <c r="J291" s="14">
        <v>46160</v>
      </c>
      <c r="K291" s="14">
        <v>46163</v>
      </c>
      <c r="L291" s="17" t="s">
        <v>23</v>
      </c>
      <c r="M291" s="13" t="s">
        <v>267</v>
      </c>
      <c r="N291" s="16" t="s">
        <v>1225</v>
      </c>
    </row>
    <row r="292" spans="1:14" ht="24" x14ac:dyDescent="0.25">
      <c r="A292" s="8" t="s">
        <v>842</v>
      </c>
      <c r="B292" s="13"/>
      <c r="C292" s="13" t="s">
        <v>142</v>
      </c>
      <c r="D292" s="8">
        <v>321</v>
      </c>
      <c r="E292" s="13" t="s">
        <v>1226</v>
      </c>
      <c r="F292" s="8" t="s">
        <v>92</v>
      </c>
      <c r="G292" s="13"/>
      <c r="H292" s="8"/>
      <c r="I292" s="13" t="s">
        <v>75</v>
      </c>
      <c r="J292" s="14">
        <v>46160</v>
      </c>
      <c r="K292" s="14">
        <v>46163</v>
      </c>
      <c r="L292" s="17" t="s">
        <v>23</v>
      </c>
      <c r="M292" s="13" t="s">
        <v>267</v>
      </c>
      <c r="N292" s="16" t="s">
        <v>1227</v>
      </c>
    </row>
    <row r="293" spans="1:14" ht="25.5" x14ac:dyDescent="0.25">
      <c r="A293" s="8" t="s">
        <v>842</v>
      </c>
      <c r="B293" s="13"/>
      <c r="C293" s="13" t="s">
        <v>142</v>
      </c>
      <c r="D293" s="8">
        <v>322</v>
      </c>
      <c r="E293" s="13" t="s">
        <v>1228</v>
      </c>
      <c r="F293" s="8" t="s">
        <v>111</v>
      </c>
      <c r="G293" s="13"/>
      <c r="H293" s="8"/>
      <c r="I293" s="13" t="s">
        <v>75</v>
      </c>
      <c r="J293" s="14">
        <v>46160</v>
      </c>
      <c r="K293" s="14">
        <v>46174</v>
      </c>
      <c r="L293" s="15" t="s">
        <v>21</v>
      </c>
      <c r="M293" s="13"/>
      <c r="N293" s="16" t="s">
        <v>1229</v>
      </c>
    </row>
    <row r="294" spans="1:14" ht="24" x14ac:dyDescent="0.25">
      <c r="A294" s="8" t="s">
        <v>842</v>
      </c>
      <c r="B294" s="13"/>
      <c r="C294" s="13" t="s">
        <v>595</v>
      </c>
      <c r="D294" s="8">
        <v>323</v>
      </c>
      <c r="E294" s="13" t="s">
        <v>1230</v>
      </c>
      <c r="F294" s="8" t="s">
        <v>92</v>
      </c>
      <c r="G294" s="13"/>
      <c r="H294" s="8"/>
      <c r="I294" s="13" t="s">
        <v>75</v>
      </c>
      <c r="J294" s="14">
        <v>46160</v>
      </c>
      <c r="K294" s="14">
        <v>46175</v>
      </c>
      <c r="L294" s="15" t="s">
        <v>21</v>
      </c>
      <c r="M294" s="13"/>
      <c r="N294" s="16" t="s">
        <v>1231</v>
      </c>
    </row>
    <row r="295" spans="1:14" ht="24" x14ac:dyDescent="0.25">
      <c r="A295" s="8" t="s">
        <v>842</v>
      </c>
      <c r="B295" s="13"/>
      <c r="C295" s="13" t="s">
        <v>142</v>
      </c>
      <c r="D295" s="8">
        <v>324</v>
      </c>
      <c r="E295" s="13" t="s">
        <v>1232</v>
      </c>
      <c r="F295" s="8" t="s">
        <v>111</v>
      </c>
      <c r="G295" s="13"/>
      <c r="H295" s="8"/>
      <c r="I295" s="13" t="s">
        <v>75</v>
      </c>
      <c r="J295" s="14">
        <v>46160</v>
      </c>
      <c r="K295" s="14">
        <v>46175</v>
      </c>
      <c r="L295" s="15" t="s">
        <v>21</v>
      </c>
      <c r="M295" s="13"/>
      <c r="N295" s="16" t="s">
        <v>1233</v>
      </c>
    </row>
    <row r="296" spans="1:14" ht="24" x14ac:dyDescent="0.25">
      <c r="A296" s="8" t="s">
        <v>842</v>
      </c>
      <c r="B296" s="13"/>
      <c r="C296" s="13" t="s">
        <v>595</v>
      </c>
      <c r="D296" s="8">
        <v>325</v>
      </c>
      <c r="E296" s="13" t="s">
        <v>1234</v>
      </c>
      <c r="F296" s="8" t="s">
        <v>92</v>
      </c>
      <c r="G296" s="13"/>
      <c r="H296" s="8"/>
      <c r="I296" s="13" t="s">
        <v>75</v>
      </c>
      <c r="J296" s="14">
        <v>46160</v>
      </c>
      <c r="K296" s="14">
        <v>46174</v>
      </c>
      <c r="L296" s="15" t="s">
        <v>21</v>
      </c>
      <c r="M296" s="13"/>
      <c r="N296" s="16" t="s">
        <v>1235</v>
      </c>
    </row>
    <row r="297" spans="1:14" ht="24" x14ac:dyDescent="0.25">
      <c r="A297" s="8" t="s">
        <v>842</v>
      </c>
      <c r="B297" s="13"/>
      <c r="C297" s="13" t="s">
        <v>595</v>
      </c>
      <c r="D297" s="8">
        <v>326</v>
      </c>
      <c r="E297" s="13" t="s">
        <v>1236</v>
      </c>
      <c r="F297" s="8" t="s">
        <v>92</v>
      </c>
      <c r="G297" s="13"/>
      <c r="H297" s="8"/>
      <c r="I297" s="13" t="s">
        <v>75</v>
      </c>
      <c r="J297" s="14">
        <v>46160</v>
      </c>
      <c r="K297" s="14">
        <v>46174</v>
      </c>
      <c r="L297" s="15" t="s">
        <v>21</v>
      </c>
      <c r="M297" s="13"/>
      <c r="N297" s="16" t="s">
        <v>1237</v>
      </c>
    </row>
    <row r="298" spans="1:14" ht="24" x14ac:dyDescent="0.25">
      <c r="A298" s="8" t="s">
        <v>842</v>
      </c>
      <c r="B298" s="13"/>
      <c r="C298" s="13" t="s">
        <v>142</v>
      </c>
      <c r="D298" s="8">
        <v>327</v>
      </c>
      <c r="E298" s="13" t="s">
        <v>1238</v>
      </c>
      <c r="F298" s="8" t="s">
        <v>92</v>
      </c>
      <c r="G298" s="13" t="s">
        <v>191</v>
      </c>
      <c r="H298" s="8"/>
      <c r="I298" s="13" t="s">
        <v>75</v>
      </c>
      <c r="J298" s="14">
        <v>46160</v>
      </c>
      <c r="K298" s="14">
        <v>46163</v>
      </c>
      <c r="L298" s="15" t="s">
        <v>21</v>
      </c>
      <c r="M298" s="13"/>
      <c r="N298" s="16" t="s">
        <v>1239</v>
      </c>
    </row>
    <row r="299" spans="1:14" ht="24" x14ac:dyDescent="0.25">
      <c r="A299" s="8" t="s">
        <v>842</v>
      </c>
      <c r="B299" s="13"/>
      <c r="C299" s="13" t="s">
        <v>595</v>
      </c>
      <c r="D299" s="8">
        <v>328</v>
      </c>
      <c r="E299" s="13" t="s">
        <v>1240</v>
      </c>
      <c r="F299" s="8" t="s">
        <v>92</v>
      </c>
      <c r="G299" s="13"/>
      <c r="H299" s="8"/>
      <c r="I299" s="13" t="s">
        <v>75</v>
      </c>
      <c r="J299" s="14">
        <v>46160</v>
      </c>
      <c r="K299" s="14">
        <v>46163</v>
      </c>
      <c r="L299" s="15" t="s">
        <v>21</v>
      </c>
      <c r="M299" s="13"/>
      <c r="N299" s="16" t="s">
        <v>1241</v>
      </c>
    </row>
    <row r="300" spans="1:14" ht="24" x14ac:dyDescent="0.25">
      <c r="A300" s="8" t="s">
        <v>842</v>
      </c>
      <c r="B300" s="13"/>
      <c r="C300" s="13" t="s">
        <v>595</v>
      </c>
      <c r="D300" s="8">
        <v>329</v>
      </c>
      <c r="E300" s="13" t="s">
        <v>1242</v>
      </c>
      <c r="F300" s="8" t="s">
        <v>92</v>
      </c>
      <c r="G300" s="13"/>
      <c r="H300" s="8"/>
      <c r="I300" s="13" t="s">
        <v>75</v>
      </c>
      <c r="J300" s="14">
        <v>46160</v>
      </c>
      <c r="K300" s="14">
        <v>46163</v>
      </c>
      <c r="L300" s="17" t="s">
        <v>23</v>
      </c>
      <c r="M300" s="13" t="s">
        <v>844</v>
      </c>
      <c r="N300" s="16" t="s">
        <v>1243</v>
      </c>
    </row>
    <row r="301" spans="1:14" ht="24" x14ac:dyDescent="0.25">
      <c r="A301" s="8" t="s">
        <v>842</v>
      </c>
      <c r="B301" s="13"/>
      <c r="C301" s="13" t="s">
        <v>595</v>
      </c>
      <c r="D301" s="8">
        <v>330</v>
      </c>
      <c r="E301" s="13" t="s">
        <v>1244</v>
      </c>
      <c r="F301" s="8" t="s">
        <v>92</v>
      </c>
      <c r="G301" s="13"/>
      <c r="H301" s="8"/>
      <c r="I301" s="13" t="s">
        <v>75</v>
      </c>
      <c r="J301" s="14">
        <v>46160</v>
      </c>
      <c r="K301" s="14">
        <v>46174</v>
      </c>
      <c r="L301" s="15" t="s">
        <v>21</v>
      </c>
      <c r="M301" s="13"/>
      <c r="N301" s="16" t="s">
        <v>1245</v>
      </c>
    </row>
    <row r="302" spans="1:14" ht="24" x14ac:dyDescent="0.25">
      <c r="A302" s="8" t="s">
        <v>842</v>
      </c>
      <c r="B302" s="13"/>
      <c r="C302" s="13" t="s">
        <v>595</v>
      </c>
      <c r="D302" s="8">
        <v>331</v>
      </c>
      <c r="E302" s="13" t="s">
        <v>1246</v>
      </c>
      <c r="F302" s="8" t="s">
        <v>72</v>
      </c>
      <c r="G302" s="13"/>
      <c r="H302" s="8"/>
      <c r="I302" s="13" t="s">
        <v>75</v>
      </c>
      <c r="J302" s="14">
        <v>46160</v>
      </c>
      <c r="K302" s="14">
        <v>46161</v>
      </c>
      <c r="L302" s="15" t="s">
        <v>21</v>
      </c>
      <c r="M302" s="13"/>
      <c r="N302" s="16" t="s">
        <v>1247</v>
      </c>
    </row>
    <row r="303" spans="1:14" ht="25.5" x14ac:dyDescent="0.25">
      <c r="A303" s="8" t="s">
        <v>842</v>
      </c>
      <c r="B303" s="13"/>
      <c r="C303" s="13" t="s">
        <v>142</v>
      </c>
      <c r="D303" s="8">
        <v>340</v>
      </c>
      <c r="E303" s="13" t="s">
        <v>1248</v>
      </c>
      <c r="F303" s="8" t="s">
        <v>111</v>
      </c>
      <c r="G303" s="13" t="s">
        <v>191</v>
      </c>
      <c r="H303" s="8" t="s">
        <v>112</v>
      </c>
      <c r="I303" s="13" t="s">
        <v>75</v>
      </c>
      <c r="J303" s="14">
        <v>46163</v>
      </c>
      <c r="K303" s="14">
        <v>46174</v>
      </c>
      <c r="L303" s="15" t="s">
        <v>21</v>
      </c>
      <c r="M303" s="13"/>
      <c r="N303" s="16" t="s">
        <v>1249</v>
      </c>
    </row>
    <row r="304" spans="1:14" ht="24" x14ac:dyDescent="0.25">
      <c r="A304" s="8" t="s">
        <v>842</v>
      </c>
      <c r="B304" s="13"/>
      <c r="C304" s="13" t="s">
        <v>595</v>
      </c>
      <c r="D304" s="8">
        <v>343</v>
      </c>
      <c r="E304" s="13" t="s">
        <v>1250</v>
      </c>
      <c r="F304" s="8" t="s">
        <v>92</v>
      </c>
      <c r="G304" s="13"/>
      <c r="H304" s="8"/>
      <c r="I304" s="13" t="s">
        <v>75</v>
      </c>
      <c r="J304" s="14">
        <v>46168</v>
      </c>
      <c r="K304" s="14">
        <v>46169</v>
      </c>
      <c r="L304" s="15" t="s">
        <v>21</v>
      </c>
      <c r="M304" s="13"/>
      <c r="N304" s="16" t="s">
        <v>1251</v>
      </c>
    </row>
    <row r="305" spans="1:14" ht="24" x14ac:dyDescent="0.25">
      <c r="A305" s="8" t="s">
        <v>842</v>
      </c>
      <c r="B305" s="13"/>
      <c r="C305" s="13" t="s">
        <v>595</v>
      </c>
      <c r="D305" s="8">
        <v>344</v>
      </c>
      <c r="E305" s="13" t="s">
        <v>1252</v>
      </c>
      <c r="F305" s="8" t="s">
        <v>92</v>
      </c>
      <c r="G305" s="13"/>
      <c r="H305" s="8"/>
      <c r="I305" s="13" t="s">
        <v>75</v>
      </c>
      <c r="J305" s="14">
        <v>46168</v>
      </c>
      <c r="K305" s="14">
        <v>46169</v>
      </c>
      <c r="L305" s="15" t="s">
        <v>21</v>
      </c>
      <c r="M305" s="13"/>
      <c r="N305" s="16" t="s">
        <v>1253</v>
      </c>
    </row>
    <row r="306" spans="1:14" ht="25.5" x14ac:dyDescent="0.25">
      <c r="A306" s="8" t="s">
        <v>842</v>
      </c>
      <c r="B306" s="13"/>
      <c r="C306" s="13" t="s">
        <v>595</v>
      </c>
      <c r="D306" s="8">
        <v>367</v>
      </c>
      <c r="E306" s="13" t="s">
        <v>1254</v>
      </c>
      <c r="F306" s="8" t="s">
        <v>72</v>
      </c>
      <c r="G306" s="13"/>
      <c r="H306" s="8"/>
      <c r="I306" s="13" t="s">
        <v>75</v>
      </c>
      <c r="J306" s="14">
        <v>46181</v>
      </c>
      <c r="K306" s="14">
        <v>46194</v>
      </c>
      <c r="L306" s="15" t="s">
        <v>21</v>
      </c>
      <c r="M306" s="13"/>
      <c r="N306" s="16" t="s">
        <v>1255</v>
      </c>
    </row>
    <row r="307" spans="1:14" ht="24" x14ac:dyDescent="0.25">
      <c r="A307" s="8" t="s">
        <v>16</v>
      </c>
      <c r="B307" s="13" t="s">
        <v>52</v>
      </c>
      <c r="C307" s="13" t="s">
        <v>279</v>
      </c>
      <c r="D307" s="8">
        <v>368</v>
      </c>
      <c r="E307" s="13" t="s">
        <v>280</v>
      </c>
      <c r="F307" s="8" t="s">
        <v>72</v>
      </c>
      <c r="G307" s="13"/>
      <c r="H307" s="8"/>
      <c r="I307" s="13" t="s">
        <v>75</v>
      </c>
      <c r="J307" s="14">
        <v>46185</v>
      </c>
      <c r="K307" s="14">
        <v>46194</v>
      </c>
      <c r="L307" s="15" t="s">
        <v>21</v>
      </c>
      <c r="M307" s="13"/>
      <c r="N307" s="16" t="s">
        <v>281</v>
      </c>
    </row>
    <row r="308" spans="1:14" ht="24" x14ac:dyDescent="0.25">
      <c r="A308" s="8" t="s">
        <v>16</v>
      </c>
      <c r="B308" s="13" t="s">
        <v>52</v>
      </c>
      <c r="C308" s="13" t="s">
        <v>335</v>
      </c>
      <c r="D308" s="8">
        <v>369</v>
      </c>
      <c r="E308" s="13" t="s">
        <v>336</v>
      </c>
      <c r="F308" s="8" t="s">
        <v>72</v>
      </c>
      <c r="G308" s="13"/>
      <c r="H308" s="8"/>
      <c r="I308" s="13" t="s">
        <v>75</v>
      </c>
      <c r="J308" s="14">
        <v>46185</v>
      </c>
      <c r="K308" s="14">
        <v>46194</v>
      </c>
      <c r="L308" s="15" t="s">
        <v>21</v>
      </c>
      <c r="M308" s="13"/>
      <c r="N308" s="16" t="s">
        <v>337</v>
      </c>
    </row>
    <row r="309" spans="1:14" ht="24" x14ac:dyDescent="0.25">
      <c r="A309" s="8" t="s">
        <v>16</v>
      </c>
      <c r="B309" s="13" t="s">
        <v>52</v>
      </c>
      <c r="C309" s="13" t="s">
        <v>412</v>
      </c>
      <c r="D309" s="8">
        <v>370</v>
      </c>
      <c r="E309" s="13" t="s">
        <v>413</v>
      </c>
      <c r="F309" s="8" t="s">
        <v>72</v>
      </c>
      <c r="G309" s="13" t="s">
        <v>414</v>
      </c>
      <c r="H309" s="8"/>
      <c r="I309" s="13" t="s">
        <v>75</v>
      </c>
      <c r="J309" s="14">
        <v>46185</v>
      </c>
      <c r="K309" s="14">
        <v>46194</v>
      </c>
      <c r="L309" s="15" t="s">
        <v>21</v>
      </c>
      <c r="M309" s="13"/>
      <c r="N309" s="16" t="s">
        <v>415</v>
      </c>
    </row>
    <row r="310" spans="1:14" ht="24" x14ac:dyDescent="0.25">
      <c r="A310" s="8" t="s">
        <v>16</v>
      </c>
      <c r="B310" s="13" t="s">
        <v>52</v>
      </c>
      <c r="C310" s="13" t="s">
        <v>279</v>
      </c>
      <c r="D310" s="8">
        <v>371</v>
      </c>
      <c r="E310" s="13" t="s">
        <v>282</v>
      </c>
      <c r="F310" s="8" t="s">
        <v>92</v>
      </c>
      <c r="G310" s="13"/>
      <c r="H310" s="8"/>
      <c r="I310" s="13" t="s">
        <v>75</v>
      </c>
      <c r="J310" s="14">
        <v>46185</v>
      </c>
      <c r="K310" s="14">
        <v>46185</v>
      </c>
      <c r="L310" s="15" t="s">
        <v>21</v>
      </c>
      <c r="M310" s="13"/>
      <c r="N310" s="16" t="s">
        <v>283</v>
      </c>
    </row>
    <row r="311" spans="1:14" ht="24" x14ac:dyDescent="0.25">
      <c r="A311" s="8" t="s">
        <v>16</v>
      </c>
      <c r="B311" s="13" t="s">
        <v>52</v>
      </c>
      <c r="C311" s="13" t="s">
        <v>279</v>
      </c>
      <c r="D311" s="8">
        <v>372</v>
      </c>
      <c r="E311" s="13" t="s">
        <v>282</v>
      </c>
      <c r="F311" s="8" t="s">
        <v>92</v>
      </c>
      <c r="G311" s="13"/>
      <c r="H311" s="8"/>
      <c r="I311" s="13" t="s">
        <v>75</v>
      </c>
      <c r="J311" s="14">
        <v>46185</v>
      </c>
      <c r="K311" s="14">
        <v>46185</v>
      </c>
      <c r="L311" s="15" t="s">
        <v>21</v>
      </c>
      <c r="M311" s="13"/>
      <c r="N311" s="16" t="s">
        <v>284</v>
      </c>
    </row>
    <row r="312" spans="1:14" ht="24" x14ac:dyDescent="0.25">
      <c r="A312" s="8" t="s">
        <v>16</v>
      </c>
      <c r="B312" s="13" t="s">
        <v>52</v>
      </c>
      <c r="C312" s="13" t="s">
        <v>279</v>
      </c>
      <c r="D312" s="8">
        <v>373</v>
      </c>
      <c r="E312" s="13" t="s">
        <v>285</v>
      </c>
      <c r="F312" s="8" t="s">
        <v>92</v>
      </c>
      <c r="G312" s="13"/>
      <c r="H312" s="8"/>
      <c r="I312" s="13" t="s">
        <v>75</v>
      </c>
      <c r="J312" s="14">
        <v>46185</v>
      </c>
      <c r="K312" s="14">
        <v>46185</v>
      </c>
      <c r="L312" s="15" t="s">
        <v>21</v>
      </c>
      <c r="M312" s="13"/>
      <c r="N312" s="16" t="s">
        <v>286</v>
      </c>
    </row>
    <row r="313" spans="1:14" ht="24" x14ac:dyDescent="0.25">
      <c r="A313" s="8" t="s">
        <v>16</v>
      </c>
      <c r="B313" s="13" t="s">
        <v>52</v>
      </c>
      <c r="C313" s="13" t="s">
        <v>279</v>
      </c>
      <c r="D313" s="8">
        <v>374</v>
      </c>
      <c r="E313" s="13" t="s">
        <v>285</v>
      </c>
      <c r="F313" s="8" t="s">
        <v>92</v>
      </c>
      <c r="G313" s="13"/>
      <c r="H313" s="8"/>
      <c r="I313" s="13" t="s">
        <v>75</v>
      </c>
      <c r="J313" s="14">
        <v>46185</v>
      </c>
      <c r="K313" s="14">
        <v>46185</v>
      </c>
      <c r="L313" s="15" t="s">
        <v>21</v>
      </c>
      <c r="M313" s="13"/>
      <c r="N313" s="16" t="s">
        <v>287</v>
      </c>
    </row>
    <row r="314" spans="1:14" ht="24" x14ac:dyDescent="0.25">
      <c r="A314" s="8" t="s">
        <v>16</v>
      </c>
      <c r="B314" s="13" t="s">
        <v>52</v>
      </c>
      <c r="C314" s="13" t="s">
        <v>279</v>
      </c>
      <c r="D314" s="8">
        <v>375</v>
      </c>
      <c r="E314" s="13" t="s">
        <v>285</v>
      </c>
      <c r="F314" s="8" t="s">
        <v>92</v>
      </c>
      <c r="G314" s="13"/>
      <c r="H314" s="8"/>
      <c r="I314" s="13" t="s">
        <v>75</v>
      </c>
      <c r="J314" s="14">
        <v>46185</v>
      </c>
      <c r="K314" s="14">
        <v>46185</v>
      </c>
      <c r="L314" s="15" t="s">
        <v>21</v>
      </c>
      <c r="M314" s="13"/>
      <c r="N314" s="16" t="s">
        <v>288</v>
      </c>
    </row>
    <row r="315" spans="1:14" ht="25.5" x14ac:dyDescent="0.25">
      <c r="A315" s="8" t="s">
        <v>16</v>
      </c>
      <c r="B315" s="13" t="s">
        <v>52</v>
      </c>
      <c r="C315" s="13" t="s">
        <v>279</v>
      </c>
      <c r="D315" s="8">
        <v>376</v>
      </c>
      <c r="E315" s="13" t="s">
        <v>289</v>
      </c>
      <c r="F315" s="8" t="s">
        <v>92</v>
      </c>
      <c r="G315" s="13"/>
      <c r="H315" s="8"/>
      <c r="I315" s="13" t="s">
        <v>290</v>
      </c>
      <c r="J315" s="14">
        <v>46185</v>
      </c>
      <c r="K315" s="14">
        <v>46185</v>
      </c>
      <c r="L315" s="15" t="s">
        <v>21</v>
      </c>
      <c r="M315" s="13"/>
      <c r="N315" s="16" t="s">
        <v>291</v>
      </c>
    </row>
    <row r="316" spans="1:14" ht="24" x14ac:dyDescent="0.25">
      <c r="A316" s="8" t="s">
        <v>16</v>
      </c>
      <c r="B316" s="13" t="s">
        <v>52</v>
      </c>
      <c r="C316" s="13" t="s">
        <v>279</v>
      </c>
      <c r="D316" s="8">
        <v>377</v>
      </c>
      <c r="E316" s="13" t="s">
        <v>292</v>
      </c>
      <c r="F316" s="8" t="s">
        <v>92</v>
      </c>
      <c r="G316" s="13"/>
      <c r="H316" s="8"/>
      <c r="I316" s="13" t="s">
        <v>75</v>
      </c>
      <c r="J316" s="14">
        <v>46185</v>
      </c>
      <c r="K316" s="14">
        <v>46185</v>
      </c>
      <c r="L316" s="15" t="s">
        <v>21</v>
      </c>
      <c r="M316" s="13"/>
      <c r="N316" s="16" t="s">
        <v>293</v>
      </c>
    </row>
    <row r="317" spans="1:14" ht="24" x14ac:dyDescent="0.25">
      <c r="A317" s="8" t="s">
        <v>16</v>
      </c>
      <c r="B317" s="13" t="s">
        <v>52</v>
      </c>
      <c r="C317" s="13" t="s">
        <v>279</v>
      </c>
      <c r="D317" s="8">
        <v>378</v>
      </c>
      <c r="E317" s="13" t="s">
        <v>294</v>
      </c>
      <c r="F317" s="8" t="s">
        <v>92</v>
      </c>
      <c r="G317" s="13"/>
      <c r="H317" s="8"/>
      <c r="I317" s="13" t="s">
        <v>75</v>
      </c>
      <c r="J317" s="14">
        <v>46185</v>
      </c>
      <c r="K317" s="14">
        <v>46185</v>
      </c>
      <c r="L317" s="15" t="s">
        <v>21</v>
      </c>
      <c r="M317" s="13"/>
      <c r="N317" s="16" t="s">
        <v>295</v>
      </c>
    </row>
    <row r="318" spans="1:14" ht="24" x14ac:dyDescent="0.25">
      <c r="A318" s="8" t="s">
        <v>16</v>
      </c>
      <c r="B318" s="13" t="s">
        <v>52</v>
      </c>
      <c r="C318" s="13" t="s">
        <v>279</v>
      </c>
      <c r="D318" s="8">
        <v>379</v>
      </c>
      <c r="E318" s="13" t="s">
        <v>296</v>
      </c>
      <c r="F318" s="8" t="s">
        <v>92</v>
      </c>
      <c r="G318" s="13"/>
      <c r="H318" s="8"/>
      <c r="I318" s="13" t="s">
        <v>75</v>
      </c>
      <c r="J318" s="14">
        <v>46185</v>
      </c>
      <c r="K318" s="14">
        <v>46185</v>
      </c>
      <c r="L318" s="15" t="s">
        <v>21</v>
      </c>
      <c r="M318" s="13"/>
      <c r="N318" s="16" t="s">
        <v>297</v>
      </c>
    </row>
    <row r="319" spans="1:14" ht="24" x14ac:dyDescent="0.25">
      <c r="A319" s="8" t="s">
        <v>16</v>
      </c>
      <c r="B319" s="13" t="s">
        <v>52</v>
      </c>
      <c r="C319" s="13" t="s">
        <v>279</v>
      </c>
      <c r="D319" s="8">
        <v>380</v>
      </c>
      <c r="E319" s="13" t="s">
        <v>298</v>
      </c>
      <c r="F319" s="8" t="s">
        <v>92</v>
      </c>
      <c r="G319" s="13"/>
      <c r="H319" s="8"/>
      <c r="I319" s="13" t="s">
        <v>75</v>
      </c>
      <c r="J319" s="14">
        <v>46185</v>
      </c>
      <c r="K319" s="14">
        <v>46185</v>
      </c>
      <c r="L319" s="15" t="s">
        <v>21</v>
      </c>
      <c r="M319" s="13"/>
      <c r="N319" s="16" t="s">
        <v>299</v>
      </c>
    </row>
    <row r="320" spans="1:14" ht="24" x14ac:dyDescent="0.25">
      <c r="A320" s="8" t="s">
        <v>16</v>
      </c>
      <c r="B320" s="13" t="s">
        <v>52</v>
      </c>
      <c r="C320" s="13" t="s">
        <v>279</v>
      </c>
      <c r="D320" s="8">
        <v>381</v>
      </c>
      <c r="E320" s="13" t="s">
        <v>300</v>
      </c>
      <c r="F320" s="8" t="s">
        <v>92</v>
      </c>
      <c r="G320" s="13"/>
      <c r="H320" s="8"/>
      <c r="I320" s="13" t="s">
        <v>75</v>
      </c>
      <c r="J320" s="14">
        <v>46185</v>
      </c>
      <c r="K320" s="14">
        <v>46186</v>
      </c>
      <c r="L320" s="15" t="s">
        <v>21</v>
      </c>
      <c r="M320" s="13"/>
      <c r="N320" s="16" t="s">
        <v>301</v>
      </c>
    </row>
    <row r="321" spans="1:14" ht="24" x14ac:dyDescent="0.25">
      <c r="A321" s="8" t="s">
        <v>16</v>
      </c>
      <c r="B321" s="13" t="s">
        <v>52</v>
      </c>
      <c r="C321" s="13" t="s">
        <v>335</v>
      </c>
      <c r="D321" s="8">
        <v>382</v>
      </c>
      <c r="E321" s="13" t="s">
        <v>338</v>
      </c>
      <c r="F321" s="8" t="s">
        <v>92</v>
      </c>
      <c r="G321" s="13"/>
      <c r="H321" s="8"/>
      <c r="I321" s="13" t="s">
        <v>75</v>
      </c>
      <c r="J321" s="14">
        <v>46185</v>
      </c>
      <c r="K321" s="14">
        <v>46193</v>
      </c>
      <c r="L321" s="15" t="s">
        <v>21</v>
      </c>
      <c r="M321" s="13"/>
      <c r="N321" s="16" t="s">
        <v>339</v>
      </c>
    </row>
    <row r="322" spans="1:14" ht="24" x14ac:dyDescent="0.25">
      <c r="A322" s="8" t="s">
        <v>16</v>
      </c>
      <c r="B322" s="13" t="s">
        <v>52</v>
      </c>
      <c r="C322" s="13" t="s">
        <v>279</v>
      </c>
      <c r="D322" s="8">
        <v>383</v>
      </c>
      <c r="E322" s="13" t="s">
        <v>302</v>
      </c>
      <c r="F322" s="8" t="s">
        <v>92</v>
      </c>
      <c r="G322" s="13"/>
      <c r="H322" s="8"/>
      <c r="I322" s="13" t="s">
        <v>75</v>
      </c>
      <c r="J322" s="14">
        <v>46185</v>
      </c>
      <c r="K322" s="14">
        <v>46186</v>
      </c>
      <c r="L322" s="15" t="s">
        <v>21</v>
      </c>
      <c r="M322" s="13"/>
      <c r="N322" s="16" t="s">
        <v>303</v>
      </c>
    </row>
    <row r="323" spans="1:14" ht="24" x14ac:dyDescent="0.25">
      <c r="A323" s="8" t="s">
        <v>16</v>
      </c>
      <c r="B323" s="13" t="s">
        <v>52</v>
      </c>
      <c r="C323" s="13" t="s">
        <v>279</v>
      </c>
      <c r="D323" s="8">
        <v>384</v>
      </c>
      <c r="E323" s="13" t="s">
        <v>304</v>
      </c>
      <c r="F323" s="8" t="s">
        <v>92</v>
      </c>
      <c r="G323" s="13"/>
      <c r="H323" s="8"/>
      <c r="I323" s="13" t="s">
        <v>75</v>
      </c>
      <c r="J323" s="14">
        <v>46185</v>
      </c>
      <c r="K323" s="14">
        <v>46185</v>
      </c>
      <c r="L323" s="15" t="s">
        <v>21</v>
      </c>
      <c r="M323" s="13"/>
      <c r="N323" s="16" t="s">
        <v>305</v>
      </c>
    </row>
    <row r="324" spans="1:14" ht="24" x14ac:dyDescent="0.25">
      <c r="A324" s="8" t="s">
        <v>16</v>
      </c>
      <c r="B324" s="13" t="s">
        <v>52</v>
      </c>
      <c r="C324" s="13" t="s">
        <v>279</v>
      </c>
      <c r="D324" s="8">
        <v>385</v>
      </c>
      <c r="E324" s="13" t="s">
        <v>306</v>
      </c>
      <c r="F324" s="8" t="s">
        <v>92</v>
      </c>
      <c r="G324" s="13"/>
      <c r="H324" s="8"/>
      <c r="I324" s="13" t="s">
        <v>75</v>
      </c>
      <c r="J324" s="14">
        <v>46185</v>
      </c>
      <c r="K324" s="14">
        <v>46191</v>
      </c>
      <c r="L324" s="15" t="s">
        <v>21</v>
      </c>
      <c r="M324" s="13"/>
      <c r="N324" s="16" t="s">
        <v>307</v>
      </c>
    </row>
    <row r="325" spans="1:14" ht="24" x14ac:dyDescent="0.25">
      <c r="A325" s="8" t="s">
        <v>16</v>
      </c>
      <c r="B325" s="13" t="s">
        <v>52</v>
      </c>
      <c r="C325" s="13" t="s">
        <v>279</v>
      </c>
      <c r="D325" s="8">
        <v>386</v>
      </c>
      <c r="E325" s="13" t="s">
        <v>308</v>
      </c>
      <c r="F325" s="8" t="s">
        <v>92</v>
      </c>
      <c r="G325" s="13"/>
      <c r="H325" s="8"/>
      <c r="I325" s="13" t="s">
        <v>75</v>
      </c>
      <c r="J325" s="14">
        <v>46185</v>
      </c>
      <c r="K325" s="14">
        <v>46186</v>
      </c>
      <c r="L325" s="15" t="s">
        <v>21</v>
      </c>
      <c r="M325" s="13"/>
      <c r="N325" s="16" t="s">
        <v>309</v>
      </c>
    </row>
    <row r="326" spans="1:14" ht="24" x14ac:dyDescent="0.25">
      <c r="A326" s="8" t="s">
        <v>16</v>
      </c>
      <c r="B326" s="13" t="s">
        <v>52</v>
      </c>
      <c r="C326" s="13" t="s">
        <v>279</v>
      </c>
      <c r="D326" s="8">
        <v>387</v>
      </c>
      <c r="E326" s="13" t="s">
        <v>310</v>
      </c>
      <c r="F326" s="8" t="s">
        <v>92</v>
      </c>
      <c r="G326" s="13"/>
      <c r="H326" s="8"/>
      <c r="I326" s="13" t="s">
        <v>75</v>
      </c>
      <c r="J326" s="14">
        <v>46185</v>
      </c>
      <c r="K326" s="14">
        <v>46186</v>
      </c>
      <c r="L326" s="15" t="s">
        <v>21</v>
      </c>
      <c r="M326" s="13"/>
      <c r="N326" s="16" t="s">
        <v>311</v>
      </c>
    </row>
    <row r="327" spans="1:14" ht="24" x14ac:dyDescent="0.25">
      <c r="A327" s="8" t="s">
        <v>16</v>
      </c>
      <c r="B327" s="13" t="s">
        <v>52</v>
      </c>
      <c r="C327" s="13" t="s">
        <v>279</v>
      </c>
      <c r="D327" s="8">
        <v>388</v>
      </c>
      <c r="E327" s="13" t="s">
        <v>312</v>
      </c>
      <c r="F327" s="8" t="s">
        <v>72</v>
      </c>
      <c r="G327" s="13"/>
      <c r="H327" s="8"/>
      <c r="I327" s="13" t="s">
        <v>290</v>
      </c>
      <c r="J327" s="14">
        <v>46185</v>
      </c>
      <c r="K327" s="14">
        <v>46186</v>
      </c>
      <c r="L327" s="15" t="s">
        <v>21</v>
      </c>
      <c r="M327" s="13"/>
      <c r="N327" s="16" t="s">
        <v>313</v>
      </c>
    </row>
    <row r="328" spans="1:14" ht="24" x14ac:dyDescent="0.25">
      <c r="A328" s="8" t="s">
        <v>16</v>
      </c>
      <c r="B328" s="13" t="s">
        <v>52</v>
      </c>
      <c r="C328" s="13" t="s">
        <v>335</v>
      </c>
      <c r="D328" s="8">
        <v>389</v>
      </c>
      <c r="E328" s="13" t="s">
        <v>340</v>
      </c>
      <c r="F328" s="8" t="s">
        <v>92</v>
      </c>
      <c r="G328" s="13"/>
      <c r="H328" s="8"/>
      <c r="I328" s="13" t="s">
        <v>75</v>
      </c>
      <c r="J328" s="14">
        <v>46186</v>
      </c>
      <c r="K328" s="14">
        <v>46186</v>
      </c>
      <c r="L328" s="15" t="s">
        <v>21</v>
      </c>
      <c r="M328" s="13"/>
      <c r="N328" s="16" t="s">
        <v>341</v>
      </c>
    </row>
    <row r="329" spans="1:14" ht="24" x14ac:dyDescent="0.25">
      <c r="A329" s="8" t="s">
        <v>16</v>
      </c>
      <c r="B329" s="13" t="s">
        <v>52</v>
      </c>
      <c r="C329" s="13" t="s">
        <v>335</v>
      </c>
      <c r="D329" s="8">
        <v>390</v>
      </c>
      <c r="E329" s="13" t="s">
        <v>340</v>
      </c>
      <c r="F329" s="8" t="s">
        <v>92</v>
      </c>
      <c r="G329" s="13"/>
      <c r="H329" s="8"/>
      <c r="I329" s="13" t="s">
        <v>75</v>
      </c>
      <c r="J329" s="14">
        <v>46186</v>
      </c>
      <c r="K329" s="14">
        <v>46187</v>
      </c>
      <c r="L329" s="15" t="s">
        <v>21</v>
      </c>
      <c r="M329" s="13"/>
      <c r="N329" s="16" t="s">
        <v>342</v>
      </c>
    </row>
    <row r="330" spans="1:14" ht="24" x14ac:dyDescent="0.25">
      <c r="A330" s="8" t="s">
        <v>16</v>
      </c>
      <c r="B330" s="13" t="s">
        <v>52</v>
      </c>
      <c r="C330" s="13" t="s">
        <v>595</v>
      </c>
      <c r="D330" s="8">
        <v>391</v>
      </c>
      <c r="E330" s="13" t="s">
        <v>596</v>
      </c>
      <c r="F330" s="8" t="s">
        <v>72</v>
      </c>
      <c r="G330" s="13"/>
      <c r="H330" s="8"/>
      <c r="I330" s="13" t="s">
        <v>290</v>
      </c>
      <c r="J330" s="14">
        <v>46187</v>
      </c>
      <c r="K330" s="14">
        <v>46193</v>
      </c>
      <c r="L330" s="17" t="s">
        <v>23</v>
      </c>
      <c r="M330" s="13" t="s">
        <v>402</v>
      </c>
      <c r="N330" s="16" t="s">
        <v>597</v>
      </c>
    </row>
    <row r="331" spans="1:14" ht="24" x14ac:dyDescent="0.25">
      <c r="A331" s="8" t="s">
        <v>842</v>
      </c>
      <c r="B331" s="13"/>
      <c r="C331" s="13" t="s">
        <v>335</v>
      </c>
      <c r="D331" s="8">
        <v>392</v>
      </c>
      <c r="E331" s="13" t="s">
        <v>1256</v>
      </c>
      <c r="F331" s="8" t="s">
        <v>92</v>
      </c>
      <c r="G331" s="13"/>
      <c r="H331" s="8"/>
      <c r="I331" s="13" t="s">
        <v>75</v>
      </c>
      <c r="J331" s="14">
        <v>46187</v>
      </c>
      <c r="K331" s="14">
        <v>46187</v>
      </c>
      <c r="L331" s="15" t="s">
        <v>21</v>
      </c>
      <c r="M331" s="13"/>
      <c r="N331" s="16" t="s">
        <v>1257</v>
      </c>
    </row>
    <row r="332" spans="1:14" ht="24" x14ac:dyDescent="0.25">
      <c r="A332" s="8" t="s">
        <v>842</v>
      </c>
      <c r="B332" s="13"/>
      <c r="C332" s="13" t="s">
        <v>335</v>
      </c>
      <c r="D332" s="8">
        <v>393</v>
      </c>
      <c r="E332" s="13" t="s">
        <v>1258</v>
      </c>
      <c r="F332" s="8" t="s">
        <v>92</v>
      </c>
      <c r="G332" s="13"/>
      <c r="H332" s="8"/>
      <c r="I332" s="13" t="s">
        <v>75</v>
      </c>
      <c r="J332" s="14">
        <v>46187</v>
      </c>
      <c r="K332" s="14">
        <v>46187</v>
      </c>
      <c r="L332" s="15" t="s">
        <v>21</v>
      </c>
      <c r="M332" s="13"/>
      <c r="N332" s="16" t="s">
        <v>1259</v>
      </c>
    </row>
    <row r="333" spans="1:14" ht="24" x14ac:dyDescent="0.25">
      <c r="A333" s="8" t="s">
        <v>16</v>
      </c>
      <c r="B333" s="13" t="s">
        <v>52</v>
      </c>
      <c r="C333" s="13" t="s">
        <v>595</v>
      </c>
      <c r="D333" s="8">
        <v>394</v>
      </c>
      <c r="E333" s="13" t="s">
        <v>598</v>
      </c>
      <c r="F333" s="8" t="s">
        <v>72</v>
      </c>
      <c r="G333" s="13"/>
      <c r="H333" s="8"/>
      <c r="I333" s="13" t="s">
        <v>290</v>
      </c>
      <c r="J333" s="14">
        <v>46187</v>
      </c>
      <c r="K333" s="14">
        <v>46187</v>
      </c>
      <c r="L333" s="15" t="s">
        <v>21</v>
      </c>
      <c r="M333" s="13"/>
      <c r="N333" s="16" t="s">
        <v>599</v>
      </c>
    </row>
    <row r="334" spans="1:14" ht="24" x14ac:dyDescent="0.25">
      <c r="A334" s="8" t="s">
        <v>16</v>
      </c>
      <c r="B334" s="13" t="s">
        <v>52</v>
      </c>
      <c r="C334" s="13" t="s">
        <v>595</v>
      </c>
      <c r="D334" s="8">
        <v>395</v>
      </c>
      <c r="E334" s="13" t="s">
        <v>600</v>
      </c>
      <c r="F334" s="8" t="s">
        <v>72</v>
      </c>
      <c r="G334" s="13"/>
      <c r="H334" s="8"/>
      <c r="I334" s="13" t="s">
        <v>290</v>
      </c>
      <c r="J334" s="14">
        <v>46187</v>
      </c>
      <c r="K334" s="14">
        <v>46187</v>
      </c>
      <c r="L334" s="15" t="s">
        <v>21</v>
      </c>
      <c r="M334" s="13"/>
      <c r="N334" s="16" t="s">
        <v>601</v>
      </c>
    </row>
    <row r="335" spans="1:14" ht="24" x14ac:dyDescent="0.25">
      <c r="A335" s="8" t="s">
        <v>16</v>
      </c>
      <c r="B335" s="13" t="s">
        <v>52</v>
      </c>
      <c r="C335" s="13" t="s">
        <v>595</v>
      </c>
      <c r="D335" s="8">
        <v>396</v>
      </c>
      <c r="E335" s="13" t="s">
        <v>602</v>
      </c>
      <c r="F335" s="8" t="s">
        <v>72</v>
      </c>
      <c r="G335" s="13"/>
      <c r="H335" s="8"/>
      <c r="I335" s="13" t="s">
        <v>290</v>
      </c>
      <c r="J335" s="14">
        <v>46187</v>
      </c>
      <c r="K335" s="14">
        <v>46187</v>
      </c>
      <c r="L335" s="15" t="s">
        <v>21</v>
      </c>
      <c r="M335" s="13"/>
      <c r="N335" s="16" t="s">
        <v>603</v>
      </c>
    </row>
    <row r="336" spans="1:14" ht="24" x14ac:dyDescent="0.25">
      <c r="A336" s="8" t="s">
        <v>16</v>
      </c>
      <c r="B336" s="13" t="s">
        <v>52</v>
      </c>
      <c r="C336" s="13" t="s">
        <v>595</v>
      </c>
      <c r="D336" s="8">
        <v>397</v>
      </c>
      <c r="E336" s="13" t="s">
        <v>604</v>
      </c>
      <c r="F336" s="8" t="s">
        <v>72</v>
      </c>
      <c r="G336" s="13"/>
      <c r="H336" s="8"/>
      <c r="I336" s="13" t="s">
        <v>290</v>
      </c>
      <c r="J336" s="14">
        <v>46187</v>
      </c>
      <c r="K336" s="14">
        <v>46187</v>
      </c>
      <c r="L336" s="15" t="s">
        <v>21</v>
      </c>
      <c r="M336" s="13"/>
      <c r="N336" s="16" t="s">
        <v>605</v>
      </c>
    </row>
    <row r="337" spans="1:14" ht="24" x14ac:dyDescent="0.25">
      <c r="A337" s="8" t="s">
        <v>16</v>
      </c>
      <c r="B337" s="13" t="s">
        <v>52</v>
      </c>
      <c r="C337" s="13" t="s">
        <v>595</v>
      </c>
      <c r="D337" s="8">
        <v>398</v>
      </c>
      <c r="E337" s="13" t="s">
        <v>606</v>
      </c>
      <c r="F337" s="8" t="s">
        <v>253</v>
      </c>
      <c r="G337" s="13"/>
      <c r="H337" s="8"/>
      <c r="I337" s="13" t="s">
        <v>290</v>
      </c>
      <c r="J337" s="14">
        <v>46187</v>
      </c>
      <c r="K337" s="14">
        <v>46191</v>
      </c>
      <c r="L337" s="15" t="s">
        <v>21</v>
      </c>
      <c r="M337" s="13" t="s">
        <v>254</v>
      </c>
      <c r="N337" s="16" t="s">
        <v>607</v>
      </c>
    </row>
    <row r="338" spans="1:14" ht="24" x14ac:dyDescent="0.25">
      <c r="A338" s="8" t="s">
        <v>16</v>
      </c>
      <c r="B338" s="13" t="s">
        <v>52</v>
      </c>
      <c r="C338" s="13" t="s">
        <v>595</v>
      </c>
      <c r="D338" s="8">
        <v>399</v>
      </c>
      <c r="E338" s="13" t="s">
        <v>608</v>
      </c>
      <c r="F338" s="8" t="s">
        <v>72</v>
      </c>
      <c r="G338" s="13"/>
      <c r="H338" s="8"/>
      <c r="I338" s="13" t="s">
        <v>290</v>
      </c>
      <c r="J338" s="14">
        <v>46187</v>
      </c>
      <c r="K338" s="14">
        <v>46187</v>
      </c>
      <c r="L338" s="15" t="s">
        <v>21</v>
      </c>
      <c r="M338" s="13"/>
      <c r="N338" s="16" t="s">
        <v>609</v>
      </c>
    </row>
    <row r="339" spans="1:14" ht="24" x14ac:dyDescent="0.25">
      <c r="A339" s="8" t="s">
        <v>16</v>
      </c>
      <c r="B339" s="13" t="s">
        <v>52</v>
      </c>
      <c r="C339" s="13" t="s">
        <v>595</v>
      </c>
      <c r="D339" s="8">
        <v>400</v>
      </c>
      <c r="E339" s="13" t="s">
        <v>610</v>
      </c>
      <c r="F339" s="8" t="s">
        <v>72</v>
      </c>
      <c r="G339" s="13"/>
      <c r="H339" s="8"/>
      <c r="I339" s="13" t="s">
        <v>290</v>
      </c>
      <c r="J339" s="14">
        <v>46187</v>
      </c>
      <c r="K339" s="14">
        <v>46187</v>
      </c>
      <c r="L339" s="15" t="s">
        <v>21</v>
      </c>
      <c r="M339" s="13"/>
      <c r="N339" s="16" t="s">
        <v>611</v>
      </c>
    </row>
    <row r="340" spans="1:14" ht="24" x14ac:dyDescent="0.25">
      <c r="A340" s="8" t="s">
        <v>842</v>
      </c>
      <c r="B340" s="13"/>
      <c r="C340" s="13" t="s">
        <v>335</v>
      </c>
      <c r="D340" s="8">
        <v>401</v>
      </c>
      <c r="E340" s="13" t="s">
        <v>1260</v>
      </c>
      <c r="F340" s="8" t="s">
        <v>92</v>
      </c>
      <c r="G340" s="13"/>
      <c r="H340" s="8"/>
      <c r="I340" s="13" t="s">
        <v>75</v>
      </c>
      <c r="J340" s="14">
        <v>46187</v>
      </c>
      <c r="K340" s="14">
        <v>46187</v>
      </c>
      <c r="L340" s="15" t="s">
        <v>21</v>
      </c>
      <c r="M340" s="13"/>
      <c r="N340" s="16" t="s">
        <v>1261</v>
      </c>
    </row>
    <row r="341" spans="1:14" ht="24" x14ac:dyDescent="0.25">
      <c r="A341" s="8" t="s">
        <v>842</v>
      </c>
      <c r="B341" s="13"/>
      <c r="C341" s="13" t="s">
        <v>335</v>
      </c>
      <c r="D341" s="8">
        <v>402</v>
      </c>
      <c r="E341" s="13" t="s">
        <v>1262</v>
      </c>
      <c r="F341" s="8" t="s">
        <v>92</v>
      </c>
      <c r="G341" s="13"/>
      <c r="H341" s="8"/>
      <c r="I341" s="13" t="s">
        <v>75</v>
      </c>
      <c r="J341" s="14">
        <v>46187</v>
      </c>
      <c r="K341" s="14">
        <v>46187</v>
      </c>
      <c r="L341" s="15" t="s">
        <v>21</v>
      </c>
      <c r="M341" s="13"/>
      <c r="N341" s="16" t="s">
        <v>1263</v>
      </c>
    </row>
    <row r="342" spans="1:14" ht="24" x14ac:dyDescent="0.25">
      <c r="A342" s="8" t="s">
        <v>842</v>
      </c>
      <c r="B342" s="13"/>
      <c r="C342" s="13" t="s">
        <v>335</v>
      </c>
      <c r="D342" s="8">
        <v>403</v>
      </c>
      <c r="E342" s="13" t="s">
        <v>1264</v>
      </c>
      <c r="F342" s="8" t="s">
        <v>92</v>
      </c>
      <c r="G342" s="13"/>
      <c r="H342" s="8"/>
      <c r="I342" s="13" t="s">
        <v>75</v>
      </c>
      <c r="J342" s="14">
        <v>46187</v>
      </c>
      <c r="K342" s="14">
        <v>46187</v>
      </c>
      <c r="L342" s="15" t="s">
        <v>21</v>
      </c>
      <c r="M342" s="13"/>
      <c r="N342" s="16" t="s">
        <v>1265</v>
      </c>
    </row>
    <row r="343" spans="1:14" ht="24" x14ac:dyDescent="0.25">
      <c r="A343" s="8" t="s">
        <v>842</v>
      </c>
      <c r="B343" s="13"/>
      <c r="C343" s="13" t="s">
        <v>335</v>
      </c>
      <c r="D343" s="8">
        <v>404</v>
      </c>
      <c r="E343" s="13" t="s">
        <v>1266</v>
      </c>
      <c r="F343" s="8" t="s">
        <v>92</v>
      </c>
      <c r="G343" s="13"/>
      <c r="H343" s="8"/>
      <c r="I343" s="13" t="s">
        <v>75</v>
      </c>
      <c r="J343" s="14">
        <v>46187</v>
      </c>
      <c r="K343" s="14">
        <v>46194</v>
      </c>
      <c r="L343" s="15" t="s">
        <v>21</v>
      </c>
      <c r="M343" s="13" t="s">
        <v>254</v>
      </c>
      <c r="N343" s="16" t="s">
        <v>1267</v>
      </c>
    </row>
    <row r="344" spans="1:14" ht="24" x14ac:dyDescent="0.25">
      <c r="A344" s="8" t="s">
        <v>842</v>
      </c>
      <c r="B344" s="13"/>
      <c r="C344" s="13" t="s">
        <v>335</v>
      </c>
      <c r="D344" s="8">
        <v>405</v>
      </c>
      <c r="E344" s="13" t="s">
        <v>1268</v>
      </c>
      <c r="F344" s="8" t="s">
        <v>92</v>
      </c>
      <c r="G344" s="13"/>
      <c r="H344" s="8"/>
      <c r="I344" s="13" t="s">
        <v>75</v>
      </c>
      <c r="J344" s="14">
        <v>46187</v>
      </c>
      <c r="K344" s="14">
        <v>46187</v>
      </c>
      <c r="L344" s="15" t="s">
        <v>21</v>
      </c>
      <c r="M344" s="13"/>
      <c r="N344" s="16" t="s">
        <v>1269</v>
      </c>
    </row>
    <row r="345" spans="1:14" ht="24" x14ac:dyDescent="0.25">
      <c r="A345" s="8" t="s">
        <v>842</v>
      </c>
      <c r="B345" s="13"/>
      <c r="C345" s="13" t="s">
        <v>335</v>
      </c>
      <c r="D345" s="8">
        <v>406</v>
      </c>
      <c r="E345" s="13" t="s">
        <v>1270</v>
      </c>
      <c r="F345" s="8" t="s">
        <v>92</v>
      </c>
      <c r="G345" s="13"/>
      <c r="H345" s="8"/>
      <c r="I345" s="13" t="s">
        <v>75</v>
      </c>
      <c r="J345" s="14">
        <v>46187</v>
      </c>
      <c r="K345" s="14">
        <v>46187</v>
      </c>
      <c r="L345" s="15" t="s">
        <v>21</v>
      </c>
      <c r="M345" s="13"/>
      <c r="N345" s="16" t="s">
        <v>1271</v>
      </c>
    </row>
    <row r="346" spans="1:14" ht="24" x14ac:dyDescent="0.25">
      <c r="A346" s="8" t="s">
        <v>842</v>
      </c>
      <c r="B346" s="13"/>
      <c r="C346" s="13" t="s">
        <v>335</v>
      </c>
      <c r="D346" s="8">
        <v>407</v>
      </c>
      <c r="E346" s="13" t="s">
        <v>1272</v>
      </c>
      <c r="F346" s="8" t="s">
        <v>92</v>
      </c>
      <c r="G346" s="13"/>
      <c r="H346" s="8"/>
      <c r="I346" s="13" t="s">
        <v>75</v>
      </c>
      <c r="J346" s="14">
        <v>46187</v>
      </c>
      <c r="K346" s="14">
        <v>46187</v>
      </c>
      <c r="L346" s="15" t="s">
        <v>21</v>
      </c>
      <c r="M346" s="13"/>
      <c r="N346" s="16" t="s">
        <v>1273</v>
      </c>
    </row>
    <row r="347" spans="1:14" ht="24" x14ac:dyDescent="0.25">
      <c r="A347" s="8" t="s">
        <v>842</v>
      </c>
      <c r="B347" s="13"/>
      <c r="C347" s="13" t="s">
        <v>335</v>
      </c>
      <c r="D347" s="8">
        <v>408</v>
      </c>
      <c r="E347" s="13" t="s">
        <v>1274</v>
      </c>
      <c r="F347" s="8" t="s">
        <v>92</v>
      </c>
      <c r="G347" s="13"/>
      <c r="H347" s="8"/>
      <c r="I347" s="13" t="s">
        <v>75</v>
      </c>
      <c r="J347" s="14">
        <v>46187</v>
      </c>
      <c r="K347" s="14">
        <v>46193</v>
      </c>
      <c r="L347" s="17" t="s">
        <v>23</v>
      </c>
      <c r="M347" s="13" t="s">
        <v>267</v>
      </c>
      <c r="N347" s="16" t="s">
        <v>1275</v>
      </c>
    </row>
    <row r="348" spans="1:14" ht="24" x14ac:dyDescent="0.25">
      <c r="A348" s="8" t="s">
        <v>842</v>
      </c>
      <c r="B348" s="13"/>
      <c r="C348" s="13" t="s">
        <v>335</v>
      </c>
      <c r="D348" s="8">
        <v>409</v>
      </c>
      <c r="E348" s="13" t="s">
        <v>1276</v>
      </c>
      <c r="F348" s="8" t="s">
        <v>92</v>
      </c>
      <c r="G348" s="13"/>
      <c r="H348" s="8"/>
      <c r="I348" s="13" t="s">
        <v>75</v>
      </c>
      <c r="J348" s="14">
        <v>46187</v>
      </c>
      <c r="K348" s="14">
        <v>46187</v>
      </c>
      <c r="L348" s="15" t="s">
        <v>21</v>
      </c>
      <c r="M348" s="13"/>
      <c r="N348" s="16" t="s">
        <v>1277</v>
      </c>
    </row>
    <row r="349" spans="1:14" ht="24" x14ac:dyDescent="0.25">
      <c r="A349" s="8" t="s">
        <v>842</v>
      </c>
      <c r="B349" s="13"/>
      <c r="C349" s="13" t="s">
        <v>335</v>
      </c>
      <c r="D349" s="8">
        <v>410</v>
      </c>
      <c r="E349" s="13" t="s">
        <v>1278</v>
      </c>
      <c r="F349" s="8" t="s">
        <v>92</v>
      </c>
      <c r="G349" s="13"/>
      <c r="H349" s="8"/>
      <c r="I349" s="13" t="s">
        <v>75</v>
      </c>
      <c r="J349" s="14">
        <v>46187</v>
      </c>
      <c r="K349" s="14">
        <v>46187</v>
      </c>
      <c r="L349" s="15" t="s">
        <v>21</v>
      </c>
      <c r="M349" s="13"/>
      <c r="N349" s="16" t="s">
        <v>1279</v>
      </c>
    </row>
    <row r="350" spans="1:14" ht="24" x14ac:dyDescent="0.25">
      <c r="A350" s="8" t="s">
        <v>842</v>
      </c>
      <c r="B350" s="13"/>
      <c r="C350" s="13" t="s">
        <v>335</v>
      </c>
      <c r="D350" s="8">
        <v>411</v>
      </c>
      <c r="E350" s="13" t="s">
        <v>1280</v>
      </c>
      <c r="F350" s="8" t="s">
        <v>92</v>
      </c>
      <c r="G350" s="13"/>
      <c r="H350" s="8"/>
      <c r="I350" s="13" t="s">
        <v>75</v>
      </c>
      <c r="J350" s="14">
        <v>46187</v>
      </c>
      <c r="K350" s="14">
        <v>46187</v>
      </c>
      <c r="L350" s="15" t="s">
        <v>21</v>
      </c>
      <c r="M350" s="13"/>
      <c r="N350" s="16" t="s">
        <v>1281</v>
      </c>
    </row>
    <row r="351" spans="1:14" ht="24" x14ac:dyDescent="0.25">
      <c r="A351" s="8" t="s">
        <v>16</v>
      </c>
      <c r="B351" s="13" t="s">
        <v>52</v>
      </c>
      <c r="C351" s="13" t="s">
        <v>595</v>
      </c>
      <c r="D351" s="8">
        <v>412</v>
      </c>
      <c r="E351" s="13" t="s">
        <v>612</v>
      </c>
      <c r="F351" s="8" t="s">
        <v>253</v>
      </c>
      <c r="G351" s="13"/>
      <c r="H351" s="8"/>
      <c r="I351" s="13" t="s">
        <v>290</v>
      </c>
      <c r="J351" s="14">
        <v>46187</v>
      </c>
      <c r="K351" s="14">
        <v>46191</v>
      </c>
      <c r="L351" s="15" t="s">
        <v>21</v>
      </c>
      <c r="M351" s="13" t="s">
        <v>254</v>
      </c>
      <c r="N351" s="16" t="s">
        <v>613</v>
      </c>
    </row>
    <row r="352" spans="1:14" ht="24" x14ac:dyDescent="0.25">
      <c r="A352" s="8" t="s">
        <v>842</v>
      </c>
      <c r="B352" s="13"/>
      <c r="C352" s="13" t="s">
        <v>335</v>
      </c>
      <c r="D352" s="8">
        <v>413</v>
      </c>
      <c r="E352" s="13" t="s">
        <v>1282</v>
      </c>
      <c r="F352" s="8" t="s">
        <v>92</v>
      </c>
      <c r="G352" s="13"/>
      <c r="H352" s="8"/>
      <c r="I352" s="13" t="s">
        <v>75</v>
      </c>
      <c r="J352" s="14">
        <v>46187</v>
      </c>
      <c r="K352" s="14">
        <v>46187</v>
      </c>
      <c r="L352" s="15" t="s">
        <v>21</v>
      </c>
      <c r="M352" s="13"/>
      <c r="N352" s="16" t="s">
        <v>1283</v>
      </c>
    </row>
    <row r="353" spans="1:14" ht="24" x14ac:dyDescent="0.25">
      <c r="A353" s="8" t="s">
        <v>842</v>
      </c>
      <c r="B353" s="13"/>
      <c r="C353" s="13" t="s">
        <v>335</v>
      </c>
      <c r="D353" s="8">
        <v>414</v>
      </c>
      <c r="E353" s="13" t="s">
        <v>1284</v>
      </c>
      <c r="F353" s="8" t="s">
        <v>92</v>
      </c>
      <c r="G353" s="13"/>
      <c r="H353" s="8"/>
      <c r="I353" s="13" t="s">
        <v>75</v>
      </c>
      <c r="J353" s="14">
        <v>46187</v>
      </c>
      <c r="K353" s="14">
        <v>46187</v>
      </c>
      <c r="L353" s="15" t="s">
        <v>21</v>
      </c>
      <c r="M353" s="13"/>
      <c r="N353" s="16" t="s">
        <v>1285</v>
      </c>
    </row>
    <row r="354" spans="1:14" ht="24" x14ac:dyDescent="0.25">
      <c r="A354" s="8" t="s">
        <v>842</v>
      </c>
      <c r="B354" s="13"/>
      <c r="C354" s="13" t="s">
        <v>335</v>
      </c>
      <c r="D354" s="8">
        <v>415</v>
      </c>
      <c r="E354" s="13" t="s">
        <v>1286</v>
      </c>
      <c r="F354" s="8" t="s">
        <v>92</v>
      </c>
      <c r="G354" s="13"/>
      <c r="H354" s="8"/>
      <c r="I354" s="13" t="s">
        <v>75</v>
      </c>
      <c r="J354" s="14">
        <v>46187</v>
      </c>
      <c r="K354" s="14">
        <v>46187</v>
      </c>
      <c r="L354" s="15" t="s">
        <v>21</v>
      </c>
      <c r="M354" s="13"/>
      <c r="N354" s="16" t="s">
        <v>1287</v>
      </c>
    </row>
    <row r="355" spans="1:14" ht="24" x14ac:dyDescent="0.25">
      <c r="A355" s="8" t="s">
        <v>842</v>
      </c>
      <c r="B355" s="13"/>
      <c r="C355" s="13" t="s">
        <v>335</v>
      </c>
      <c r="D355" s="8">
        <v>416</v>
      </c>
      <c r="E355" s="13" t="s">
        <v>1288</v>
      </c>
      <c r="F355" s="8" t="s">
        <v>92</v>
      </c>
      <c r="G355" s="13"/>
      <c r="H355" s="8"/>
      <c r="I355" s="13" t="s">
        <v>75</v>
      </c>
      <c r="J355" s="14">
        <v>46187</v>
      </c>
      <c r="K355" s="14">
        <v>46193</v>
      </c>
      <c r="L355" s="17" t="s">
        <v>23</v>
      </c>
      <c r="M355" s="13" t="s">
        <v>267</v>
      </c>
      <c r="N355" s="16" t="s">
        <v>1289</v>
      </c>
    </row>
    <row r="356" spans="1:14" ht="24" x14ac:dyDescent="0.25">
      <c r="A356" s="8" t="s">
        <v>842</v>
      </c>
      <c r="B356" s="13"/>
      <c r="C356" s="13" t="s">
        <v>335</v>
      </c>
      <c r="D356" s="8">
        <v>417</v>
      </c>
      <c r="E356" s="13" t="s">
        <v>1290</v>
      </c>
      <c r="F356" s="8" t="s">
        <v>92</v>
      </c>
      <c r="G356" s="13"/>
      <c r="H356" s="8"/>
      <c r="I356" s="13" t="s">
        <v>75</v>
      </c>
      <c r="J356" s="14">
        <v>46187</v>
      </c>
      <c r="K356" s="14">
        <v>46187</v>
      </c>
      <c r="L356" s="15" t="s">
        <v>21</v>
      </c>
      <c r="M356" s="13"/>
      <c r="N356" s="16" t="s">
        <v>1291</v>
      </c>
    </row>
    <row r="357" spans="1:14" ht="24" x14ac:dyDescent="0.25">
      <c r="A357" s="8" t="s">
        <v>842</v>
      </c>
      <c r="B357" s="13"/>
      <c r="C357" s="13" t="s">
        <v>335</v>
      </c>
      <c r="D357" s="8">
        <v>418</v>
      </c>
      <c r="E357" s="13" t="s">
        <v>1292</v>
      </c>
      <c r="F357" s="8" t="s">
        <v>92</v>
      </c>
      <c r="G357" s="13"/>
      <c r="H357" s="8"/>
      <c r="I357" s="13" t="s">
        <v>75</v>
      </c>
      <c r="J357" s="14">
        <v>46187</v>
      </c>
      <c r="K357" s="14">
        <v>46187</v>
      </c>
      <c r="L357" s="15" t="s">
        <v>21</v>
      </c>
      <c r="M357" s="13"/>
      <c r="N357" s="16" t="s">
        <v>1293</v>
      </c>
    </row>
    <row r="358" spans="1:14" ht="24" x14ac:dyDescent="0.25">
      <c r="A358" s="8" t="s">
        <v>842</v>
      </c>
      <c r="B358" s="13"/>
      <c r="C358" s="13" t="s">
        <v>335</v>
      </c>
      <c r="D358" s="8">
        <v>419</v>
      </c>
      <c r="E358" s="13" t="s">
        <v>1294</v>
      </c>
      <c r="F358" s="8" t="s">
        <v>92</v>
      </c>
      <c r="G358" s="13"/>
      <c r="H358" s="8"/>
      <c r="I358" s="13" t="s">
        <v>75</v>
      </c>
      <c r="J358" s="14">
        <v>46187</v>
      </c>
      <c r="K358" s="14">
        <v>46187</v>
      </c>
      <c r="L358" s="15" t="s">
        <v>21</v>
      </c>
      <c r="M358" s="13"/>
      <c r="N358" s="16" t="s">
        <v>1295</v>
      </c>
    </row>
    <row r="359" spans="1:14" ht="24" x14ac:dyDescent="0.25">
      <c r="A359" s="8" t="s">
        <v>842</v>
      </c>
      <c r="B359" s="13"/>
      <c r="C359" s="13" t="s">
        <v>335</v>
      </c>
      <c r="D359" s="8">
        <v>420</v>
      </c>
      <c r="E359" s="13" t="s">
        <v>1296</v>
      </c>
      <c r="F359" s="8" t="s">
        <v>92</v>
      </c>
      <c r="G359" s="13"/>
      <c r="H359" s="8"/>
      <c r="I359" s="13" t="s">
        <v>75</v>
      </c>
      <c r="J359" s="14">
        <v>46187</v>
      </c>
      <c r="K359" s="14">
        <v>46187</v>
      </c>
      <c r="L359" s="15" t="s">
        <v>21</v>
      </c>
      <c r="M359" s="13"/>
      <c r="N359" s="16" t="s">
        <v>1297</v>
      </c>
    </row>
    <row r="360" spans="1:14" ht="24" x14ac:dyDescent="0.25">
      <c r="A360" s="8" t="s">
        <v>842</v>
      </c>
      <c r="B360" s="13"/>
      <c r="C360" s="13" t="s">
        <v>335</v>
      </c>
      <c r="D360" s="8">
        <v>421</v>
      </c>
      <c r="E360" s="13" t="s">
        <v>1298</v>
      </c>
      <c r="F360" s="8" t="s">
        <v>92</v>
      </c>
      <c r="G360" s="13"/>
      <c r="H360" s="8"/>
      <c r="I360" s="13" t="s">
        <v>75</v>
      </c>
      <c r="J360" s="14">
        <v>46187</v>
      </c>
      <c r="K360" s="14">
        <v>46187</v>
      </c>
      <c r="L360" s="15" t="s">
        <v>21</v>
      </c>
      <c r="M360" s="13"/>
      <c r="N360" s="16" t="s">
        <v>1299</v>
      </c>
    </row>
    <row r="361" spans="1:14" ht="24" x14ac:dyDescent="0.25">
      <c r="A361" s="8" t="s">
        <v>842</v>
      </c>
      <c r="B361" s="13"/>
      <c r="C361" s="13" t="s">
        <v>335</v>
      </c>
      <c r="D361" s="8">
        <v>422</v>
      </c>
      <c r="E361" s="13" t="s">
        <v>1300</v>
      </c>
      <c r="F361" s="8" t="s">
        <v>92</v>
      </c>
      <c r="G361" s="13"/>
      <c r="H361" s="8"/>
      <c r="I361" s="13" t="s">
        <v>75</v>
      </c>
      <c r="J361" s="14">
        <v>46187</v>
      </c>
      <c r="K361" s="14">
        <v>46187</v>
      </c>
      <c r="L361" s="15" t="s">
        <v>21</v>
      </c>
      <c r="M361" s="13"/>
      <c r="N361" s="16" t="s">
        <v>1301</v>
      </c>
    </row>
    <row r="362" spans="1:14" ht="24" x14ac:dyDescent="0.25">
      <c r="A362" s="8" t="s">
        <v>842</v>
      </c>
      <c r="B362" s="13"/>
      <c r="C362" s="13" t="s">
        <v>335</v>
      </c>
      <c r="D362" s="8">
        <v>423</v>
      </c>
      <c r="E362" s="13" t="s">
        <v>1302</v>
      </c>
      <c r="F362" s="8" t="s">
        <v>92</v>
      </c>
      <c r="G362" s="13"/>
      <c r="H362" s="8"/>
      <c r="I362" s="13" t="s">
        <v>75</v>
      </c>
      <c r="J362" s="14">
        <v>46187</v>
      </c>
      <c r="K362" s="14">
        <v>46187</v>
      </c>
      <c r="L362" s="15" t="s">
        <v>21</v>
      </c>
      <c r="M362" s="13"/>
      <c r="N362" s="16" t="s">
        <v>1303</v>
      </c>
    </row>
    <row r="363" spans="1:14" ht="24" x14ac:dyDescent="0.25">
      <c r="A363" s="8" t="s">
        <v>842</v>
      </c>
      <c r="B363" s="13"/>
      <c r="C363" s="13" t="s">
        <v>335</v>
      </c>
      <c r="D363" s="8">
        <v>424</v>
      </c>
      <c r="E363" s="13" t="s">
        <v>1304</v>
      </c>
      <c r="F363" s="8" t="s">
        <v>92</v>
      </c>
      <c r="G363" s="13"/>
      <c r="H363" s="8"/>
      <c r="I363" s="13" t="s">
        <v>75</v>
      </c>
      <c r="J363" s="14">
        <v>46187</v>
      </c>
      <c r="K363" s="14">
        <v>46187</v>
      </c>
      <c r="L363" s="15" t="s">
        <v>21</v>
      </c>
      <c r="M363" s="13"/>
      <c r="N363" s="16" t="s">
        <v>1305</v>
      </c>
    </row>
    <row r="364" spans="1:14" ht="24" x14ac:dyDescent="0.25">
      <c r="A364" s="8" t="s">
        <v>842</v>
      </c>
      <c r="B364" s="13"/>
      <c r="C364" s="13" t="s">
        <v>335</v>
      </c>
      <c r="D364" s="8">
        <v>425</v>
      </c>
      <c r="E364" s="13" t="s">
        <v>1306</v>
      </c>
      <c r="F364" s="8" t="s">
        <v>92</v>
      </c>
      <c r="G364" s="13"/>
      <c r="H364" s="8"/>
      <c r="I364" s="13" t="s">
        <v>75</v>
      </c>
      <c r="J364" s="14">
        <v>46187</v>
      </c>
      <c r="K364" s="14">
        <v>46187</v>
      </c>
      <c r="L364" s="15" t="s">
        <v>21</v>
      </c>
      <c r="M364" s="13"/>
      <c r="N364" s="16" t="s">
        <v>1307</v>
      </c>
    </row>
    <row r="365" spans="1:14" ht="24" x14ac:dyDescent="0.25">
      <c r="A365" s="8" t="s">
        <v>842</v>
      </c>
      <c r="B365" s="13"/>
      <c r="C365" s="13" t="s">
        <v>335</v>
      </c>
      <c r="D365" s="8">
        <v>426</v>
      </c>
      <c r="E365" s="13" t="s">
        <v>1308</v>
      </c>
      <c r="F365" s="8" t="s">
        <v>92</v>
      </c>
      <c r="G365" s="13"/>
      <c r="H365" s="8"/>
      <c r="I365" s="13" t="s">
        <v>75</v>
      </c>
      <c r="J365" s="14">
        <v>46187</v>
      </c>
      <c r="K365" s="14">
        <v>46187</v>
      </c>
      <c r="L365" s="15" t="s">
        <v>21</v>
      </c>
      <c r="M365" s="13"/>
      <c r="N365" s="16" t="s">
        <v>1309</v>
      </c>
    </row>
    <row r="366" spans="1:14" ht="24" x14ac:dyDescent="0.25">
      <c r="A366" s="8" t="s">
        <v>16</v>
      </c>
      <c r="B366" s="13" t="s">
        <v>52</v>
      </c>
      <c r="C366" s="13" t="s">
        <v>595</v>
      </c>
      <c r="D366" s="8">
        <v>427</v>
      </c>
      <c r="E366" s="13" t="s">
        <v>614</v>
      </c>
      <c r="F366" s="8" t="s">
        <v>72</v>
      </c>
      <c r="G366" s="13"/>
      <c r="H366" s="8"/>
      <c r="I366" s="13" t="s">
        <v>290</v>
      </c>
      <c r="J366" s="14">
        <v>46187</v>
      </c>
      <c r="K366" s="14">
        <v>46187</v>
      </c>
      <c r="L366" s="15" t="s">
        <v>21</v>
      </c>
      <c r="M366" s="13"/>
      <c r="N366" s="16" t="s">
        <v>615</v>
      </c>
    </row>
    <row r="367" spans="1:14" ht="24" x14ac:dyDescent="0.25">
      <c r="A367" s="8" t="s">
        <v>842</v>
      </c>
      <c r="B367" s="13"/>
      <c r="C367" s="13" t="s">
        <v>335</v>
      </c>
      <c r="D367" s="8">
        <v>428</v>
      </c>
      <c r="E367" s="13" t="s">
        <v>1310</v>
      </c>
      <c r="F367" s="8" t="s">
        <v>92</v>
      </c>
      <c r="G367" s="13"/>
      <c r="H367" s="8"/>
      <c r="I367" s="13" t="s">
        <v>75</v>
      </c>
      <c r="J367" s="14">
        <v>46187</v>
      </c>
      <c r="K367" s="14">
        <v>46187</v>
      </c>
      <c r="L367" s="15" t="s">
        <v>21</v>
      </c>
      <c r="M367" s="13"/>
      <c r="N367" s="16" t="s">
        <v>1311</v>
      </c>
    </row>
    <row r="368" spans="1:14" ht="24" x14ac:dyDescent="0.25">
      <c r="A368" s="8" t="s">
        <v>842</v>
      </c>
      <c r="B368" s="13"/>
      <c r="C368" s="13" t="s">
        <v>335</v>
      </c>
      <c r="D368" s="8">
        <v>429</v>
      </c>
      <c r="E368" s="13" t="s">
        <v>1312</v>
      </c>
      <c r="F368" s="8" t="s">
        <v>92</v>
      </c>
      <c r="G368" s="13"/>
      <c r="H368" s="8"/>
      <c r="I368" s="13" t="s">
        <v>75</v>
      </c>
      <c r="J368" s="14">
        <v>46187</v>
      </c>
      <c r="K368" s="14">
        <v>46187</v>
      </c>
      <c r="L368" s="15" t="s">
        <v>21</v>
      </c>
      <c r="M368" s="13"/>
      <c r="N368" s="16" t="s">
        <v>1313</v>
      </c>
    </row>
    <row r="369" spans="1:14" ht="24" x14ac:dyDescent="0.25">
      <c r="A369" s="8" t="s">
        <v>16</v>
      </c>
      <c r="B369" s="13" t="s">
        <v>52</v>
      </c>
      <c r="C369" s="13" t="s">
        <v>595</v>
      </c>
      <c r="D369" s="8">
        <v>430</v>
      </c>
      <c r="E369" s="13" t="s">
        <v>616</v>
      </c>
      <c r="F369" s="8" t="s">
        <v>253</v>
      </c>
      <c r="G369" s="13"/>
      <c r="H369" s="8"/>
      <c r="I369" s="13" t="s">
        <v>290</v>
      </c>
      <c r="J369" s="14">
        <v>46187</v>
      </c>
      <c r="K369" s="14">
        <v>46191</v>
      </c>
      <c r="L369" s="15" t="s">
        <v>21</v>
      </c>
      <c r="M369" s="13" t="s">
        <v>254</v>
      </c>
      <c r="N369" s="16" t="s">
        <v>617</v>
      </c>
    </row>
    <row r="370" spans="1:14" ht="24" x14ac:dyDescent="0.25">
      <c r="A370" s="8" t="s">
        <v>842</v>
      </c>
      <c r="B370" s="13"/>
      <c r="C370" s="13" t="s">
        <v>335</v>
      </c>
      <c r="D370" s="8">
        <v>431</v>
      </c>
      <c r="E370" s="13" t="s">
        <v>1314</v>
      </c>
      <c r="F370" s="8" t="s">
        <v>92</v>
      </c>
      <c r="G370" s="13"/>
      <c r="H370" s="8"/>
      <c r="I370" s="13" t="s">
        <v>75</v>
      </c>
      <c r="J370" s="14">
        <v>46187</v>
      </c>
      <c r="K370" s="14">
        <v>46187</v>
      </c>
      <c r="L370" s="15" t="s">
        <v>21</v>
      </c>
      <c r="M370" s="13"/>
      <c r="N370" s="16" t="s">
        <v>1315</v>
      </c>
    </row>
    <row r="371" spans="1:14" ht="24" x14ac:dyDescent="0.25">
      <c r="A371" s="8" t="s">
        <v>842</v>
      </c>
      <c r="B371" s="13"/>
      <c r="C371" s="13" t="s">
        <v>335</v>
      </c>
      <c r="D371" s="8">
        <v>432</v>
      </c>
      <c r="E371" s="13" t="s">
        <v>1316</v>
      </c>
      <c r="F371" s="8" t="s">
        <v>92</v>
      </c>
      <c r="G371" s="13"/>
      <c r="H371" s="8"/>
      <c r="I371" s="13" t="s">
        <v>75</v>
      </c>
      <c r="J371" s="14">
        <v>46187</v>
      </c>
      <c r="K371" s="14">
        <v>46187</v>
      </c>
      <c r="L371" s="15" t="s">
        <v>21</v>
      </c>
      <c r="M371" s="13"/>
      <c r="N371" s="16" t="s">
        <v>1317</v>
      </c>
    </row>
    <row r="372" spans="1:14" ht="24" x14ac:dyDescent="0.25">
      <c r="A372" s="8" t="s">
        <v>16</v>
      </c>
      <c r="B372" s="13" t="s">
        <v>52</v>
      </c>
      <c r="C372" s="13" t="s">
        <v>595</v>
      </c>
      <c r="D372" s="8">
        <v>433</v>
      </c>
      <c r="E372" s="13" t="s">
        <v>618</v>
      </c>
      <c r="F372" s="8" t="s">
        <v>72</v>
      </c>
      <c r="G372" s="13"/>
      <c r="H372" s="8"/>
      <c r="I372" s="13" t="s">
        <v>290</v>
      </c>
      <c r="J372" s="14">
        <v>46187</v>
      </c>
      <c r="K372" s="14">
        <v>46187</v>
      </c>
      <c r="L372" s="15" t="s">
        <v>21</v>
      </c>
      <c r="M372" s="13"/>
      <c r="N372" s="16" t="s">
        <v>619</v>
      </c>
    </row>
    <row r="373" spans="1:14" ht="24" x14ac:dyDescent="0.25">
      <c r="A373" s="8" t="s">
        <v>842</v>
      </c>
      <c r="B373" s="13"/>
      <c r="C373" s="13" t="s">
        <v>335</v>
      </c>
      <c r="D373" s="8">
        <v>434</v>
      </c>
      <c r="E373" s="13" t="s">
        <v>1318</v>
      </c>
      <c r="F373" s="8" t="s">
        <v>92</v>
      </c>
      <c r="G373" s="13"/>
      <c r="H373" s="8"/>
      <c r="I373" s="13" t="s">
        <v>75</v>
      </c>
      <c r="J373" s="14">
        <v>46187</v>
      </c>
      <c r="K373" s="14">
        <v>46187</v>
      </c>
      <c r="L373" s="15" t="s">
        <v>21</v>
      </c>
      <c r="M373" s="13"/>
      <c r="N373" s="16" t="s">
        <v>1319</v>
      </c>
    </row>
    <row r="374" spans="1:14" ht="25.5" x14ac:dyDescent="0.25">
      <c r="A374" s="8" t="s">
        <v>16</v>
      </c>
      <c r="B374" s="13" t="s">
        <v>52</v>
      </c>
      <c r="C374" s="13" t="s">
        <v>595</v>
      </c>
      <c r="D374" s="8">
        <v>435</v>
      </c>
      <c r="E374" s="13" t="s">
        <v>620</v>
      </c>
      <c r="F374" s="8" t="s">
        <v>72</v>
      </c>
      <c r="G374" s="13"/>
      <c r="H374" s="8"/>
      <c r="I374" s="13" t="s">
        <v>290</v>
      </c>
      <c r="J374" s="14">
        <v>46187</v>
      </c>
      <c r="K374" s="14">
        <v>46187</v>
      </c>
      <c r="L374" s="15" t="s">
        <v>21</v>
      </c>
      <c r="M374" s="13"/>
      <c r="N374" s="16" t="s">
        <v>621</v>
      </c>
    </row>
    <row r="375" spans="1:14" ht="24" x14ac:dyDescent="0.25">
      <c r="A375" s="8" t="s">
        <v>16</v>
      </c>
      <c r="B375" s="13" t="s">
        <v>52</v>
      </c>
      <c r="C375" s="13" t="s">
        <v>595</v>
      </c>
      <c r="D375" s="8">
        <v>436</v>
      </c>
      <c r="E375" s="13" t="s">
        <v>622</v>
      </c>
      <c r="F375" s="8" t="s">
        <v>72</v>
      </c>
      <c r="G375" s="13"/>
      <c r="H375" s="8"/>
      <c r="I375" s="13" t="s">
        <v>290</v>
      </c>
      <c r="J375" s="14">
        <v>46187</v>
      </c>
      <c r="K375" s="14">
        <v>46187</v>
      </c>
      <c r="L375" s="15" t="s">
        <v>21</v>
      </c>
      <c r="M375" s="13"/>
      <c r="N375" s="16" t="s">
        <v>623</v>
      </c>
    </row>
    <row r="376" spans="1:14" ht="24" x14ac:dyDescent="0.25">
      <c r="A376" s="8" t="s">
        <v>842</v>
      </c>
      <c r="B376" s="13"/>
      <c r="C376" s="13" t="s">
        <v>335</v>
      </c>
      <c r="D376" s="8">
        <v>437</v>
      </c>
      <c r="E376" s="13" t="s">
        <v>1320</v>
      </c>
      <c r="F376" s="8" t="s">
        <v>92</v>
      </c>
      <c r="G376" s="13"/>
      <c r="H376" s="8"/>
      <c r="I376" s="13" t="s">
        <v>75</v>
      </c>
      <c r="J376" s="14">
        <v>46187</v>
      </c>
      <c r="K376" s="14">
        <v>46187</v>
      </c>
      <c r="L376" s="15" t="s">
        <v>21</v>
      </c>
      <c r="M376" s="13"/>
      <c r="N376" s="16" t="s">
        <v>1321</v>
      </c>
    </row>
    <row r="377" spans="1:14" ht="24" x14ac:dyDescent="0.25">
      <c r="A377" s="8" t="s">
        <v>16</v>
      </c>
      <c r="B377" s="13" t="s">
        <v>52</v>
      </c>
      <c r="C377" s="13" t="s">
        <v>595</v>
      </c>
      <c r="D377" s="8">
        <v>438</v>
      </c>
      <c r="E377" s="13" t="s">
        <v>624</v>
      </c>
      <c r="F377" s="8" t="s">
        <v>253</v>
      </c>
      <c r="G377" s="13"/>
      <c r="H377" s="8"/>
      <c r="I377" s="13" t="s">
        <v>290</v>
      </c>
      <c r="J377" s="14">
        <v>46187</v>
      </c>
      <c r="K377" s="14">
        <v>46191</v>
      </c>
      <c r="L377" s="15" t="s">
        <v>21</v>
      </c>
      <c r="M377" s="13" t="s">
        <v>254</v>
      </c>
      <c r="N377" s="16" t="s">
        <v>625</v>
      </c>
    </row>
    <row r="378" spans="1:14" ht="24" x14ac:dyDescent="0.25">
      <c r="A378" s="8" t="s">
        <v>842</v>
      </c>
      <c r="B378" s="13"/>
      <c r="C378" s="13" t="s">
        <v>335</v>
      </c>
      <c r="D378" s="8">
        <v>439</v>
      </c>
      <c r="E378" s="13" t="s">
        <v>1322</v>
      </c>
      <c r="F378" s="8" t="s">
        <v>92</v>
      </c>
      <c r="G378" s="13"/>
      <c r="H378" s="8"/>
      <c r="I378" s="13" t="s">
        <v>75</v>
      </c>
      <c r="J378" s="14">
        <v>46187</v>
      </c>
      <c r="K378" s="14">
        <v>46187</v>
      </c>
      <c r="L378" s="15" t="s">
        <v>21</v>
      </c>
      <c r="M378" s="13"/>
      <c r="N378" s="16" t="s">
        <v>1323</v>
      </c>
    </row>
    <row r="379" spans="1:14" ht="24" x14ac:dyDescent="0.25">
      <c r="A379" s="8" t="s">
        <v>16</v>
      </c>
      <c r="B379" s="13" t="s">
        <v>52</v>
      </c>
      <c r="C379" s="13" t="s">
        <v>595</v>
      </c>
      <c r="D379" s="8">
        <v>440</v>
      </c>
      <c r="E379" s="13" t="s">
        <v>626</v>
      </c>
      <c r="F379" s="8" t="s">
        <v>72</v>
      </c>
      <c r="G379" s="13"/>
      <c r="H379" s="8"/>
      <c r="I379" s="13" t="s">
        <v>290</v>
      </c>
      <c r="J379" s="14">
        <v>46187</v>
      </c>
      <c r="K379" s="14">
        <v>46187</v>
      </c>
      <c r="L379" s="15" t="s">
        <v>21</v>
      </c>
      <c r="M379" s="13"/>
      <c r="N379" s="16" t="s">
        <v>627</v>
      </c>
    </row>
    <row r="380" spans="1:14" ht="25.5" x14ac:dyDescent="0.25">
      <c r="A380" s="8" t="s">
        <v>16</v>
      </c>
      <c r="B380" s="13" t="s">
        <v>52</v>
      </c>
      <c r="C380" s="13" t="s">
        <v>595</v>
      </c>
      <c r="D380" s="8">
        <v>441</v>
      </c>
      <c r="E380" s="13" t="s">
        <v>628</v>
      </c>
      <c r="F380" s="8" t="s">
        <v>72</v>
      </c>
      <c r="G380" s="13"/>
      <c r="H380" s="8"/>
      <c r="I380" s="13" t="s">
        <v>290</v>
      </c>
      <c r="J380" s="14">
        <v>46187</v>
      </c>
      <c r="K380" s="14">
        <v>46187</v>
      </c>
      <c r="L380" s="15" t="s">
        <v>21</v>
      </c>
      <c r="M380" s="13"/>
      <c r="N380" s="16" t="s">
        <v>629</v>
      </c>
    </row>
    <row r="381" spans="1:14" ht="25.5" x14ac:dyDescent="0.25">
      <c r="A381" s="8" t="s">
        <v>16</v>
      </c>
      <c r="B381" s="13" t="s">
        <v>52</v>
      </c>
      <c r="C381" s="13" t="s">
        <v>595</v>
      </c>
      <c r="D381" s="8">
        <v>442</v>
      </c>
      <c r="E381" s="13" t="s">
        <v>630</v>
      </c>
      <c r="F381" s="8" t="s">
        <v>72</v>
      </c>
      <c r="G381" s="13"/>
      <c r="H381" s="8"/>
      <c r="I381" s="13" t="s">
        <v>290</v>
      </c>
      <c r="J381" s="14">
        <v>46187</v>
      </c>
      <c r="K381" s="14">
        <v>46187</v>
      </c>
      <c r="L381" s="15" t="s">
        <v>21</v>
      </c>
      <c r="M381" s="13"/>
      <c r="N381" s="16" t="s">
        <v>631</v>
      </c>
    </row>
    <row r="382" spans="1:14" ht="24" x14ac:dyDescent="0.25">
      <c r="A382" s="8" t="s">
        <v>16</v>
      </c>
      <c r="B382" s="13" t="s">
        <v>52</v>
      </c>
      <c r="C382" s="13" t="s">
        <v>595</v>
      </c>
      <c r="D382" s="8">
        <v>443</v>
      </c>
      <c r="E382" s="13" t="s">
        <v>632</v>
      </c>
      <c r="F382" s="8" t="s">
        <v>72</v>
      </c>
      <c r="G382" s="13"/>
      <c r="H382" s="8"/>
      <c r="I382" s="13" t="s">
        <v>290</v>
      </c>
      <c r="J382" s="14">
        <v>46187</v>
      </c>
      <c r="K382" s="14">
        <v>46187</v>
      </c>
      <c r="L382" s="15" t="s">
        <v>21</v>
      </c>
      <c r="M382" s="13"/>
      <c r="N382" s="16" t="s">
        <v>633</v>
      </c>
    </row>
    <row r="383" spans="1:14" ht="24" x14ac:dyDescent="0.25">
      <c r="A383" s="8" t="s">
        <v>842</v>
      </c>
      <c r="B383" s="13"/>
      <c r="C383" s="13" t="s">
        <v>335</v>
      </c>
      <c r="D383" s="8">
        <v>444</v>
      </c>
      <c r="E383" s="13" t="s">
        <v>1324</v>
      </c>
      <c r="F383" s="8" t="s">
        <v>92</v>
      </c>
      <c r="G383" s="13"/>
      <c r="H383" s="8"/>
      <c r="I383" s="13" t="s">
        <v>75</v>
      </c>
      <c r="J383" s="14">
        <v>46187</v>
      </c>
      <c r="K383" s="14">
        <v>46187</v>
      </c>
      <c r="L383" s="15" t="s">
        <v>21</v>
      </c>
      <c r="M383" s="13"/>
      <c r="N383" s="16" t="s">
        <v>1325</v>
      </c>
    </row>
    <row r="384" spans="1:14" ht="24" x14ac:dyDescent="0.25">
      <c r="A384" s="8" t="s">
        <v>842</v>
      </c>
      <c r="B384" s="13"/>
      <c r="C384" s="13" t="s">
        <v>335</v>
      </c>
      <c r="D384" s="8">
        <v>445</v>
      </c>
      <c r="E384" s="13" t="s">
        <v>1326</v>
      </c>
      <c r="F384" s="8" t="s">
        <v>92</v>
      </c>
      <c r="G384" s="13"/>
      <c r="H384" s="8"/>
      <c r="I384" s="13" t="s">
        <v>75</v>
      </c>
      <c r="J384" s="14">
        <v>46187</v>
      </c>
      <c r="K384" s="14">
        <v>46187</v>
      </c>
      <c r="L384" s="15" t="s">
        <v>21</v>
      </c>
      <c r="M384" s="13"/>
      <c r="N384" s="16" t="s">
        <v>1327</v>
      </c>
    </row>
    <row r="385" spans="1:14" ht="24" x14ac:dyDescent="0.25">
      <c r="A385" s="8" t="s">
        <v>842</v>
      </c>
      <c r="B385" s="13"/>
      <c r="C385" s="13" t="s">
        <v>335</v>
      </c>
      <c r="D385" s="8">
        <v>446</v>
      </c>
      <c r="E385" s="13" t="s">
        <v>1328</v>
      </c>
      <c r="F385" s="8" t="s">
        <v>92</v>
      </c>
      <c r="G385" s="13"/>
      <c r="H385" s="8"/>
      <c r="I385" s="13" t="s">
        <v>75</v>
      </c>
      <c r="J385" s="14">
        <v>46187</v>
      </c>
      <c r="K385" s="14">
        <v>46189</v>
      </c>
      <c r="L385" s="15" t="s">
        <v>21</v>
      </c>
      <c r="M385" s="13" t="s">
        <v>254</v>
      </c>
      <c r="N385" s="16" t="s">
        <v>1329</v>
      </c>
    </row>
    <row r="386" spans="1:14" ht="24" x14ac:dyDescent="0.25">
      <c r="A386" s="8" t="s">
        <v>842</v>
      </c>
      <c r="B386" s="13"/>
      <c r="C386" s="13" t="s">
        <v>335</v>
      </c>
      <c r="D386" s="8">
        <v>447</v>
      </c>
      <c r="E386" s="13" t="s">
        <v>1330</v>
      </c>
      <c r="F386" s="8" t="s">
        <v>92</v>
      </c>
      <c r="G386" s="13"/>
      <c r="H386" s="8"/>
      <c r="I386" s="13" t="s">
        <v>75</v>
      </c>
      <c r="J386" s="14">
        <v>46187</v>
      </c>
      <c r="K386" s="14">
        <v>46187</v>
      </c>
      <c r="L386" s="15" t="s">
        <v>21</v>
      </c>
      <c r="M386" s="13"/>
      <c r="N386" s="16" t="s">
        <v>1331</v>
      </c>
    </row>
    <row r="387" spans="1:14" ht="24" x14ac:dyDescent="0.25">
      <c r="A387" s="8" t="s">
        <v>16</v>
      </c>
      <c r="B387" s="13" t="s">
        <v>52</v>
      </c>
      <c r="C387" s="13" t="s">
        <v>595</v>
      </c>
      <c r="D387" s="8">
        <v>448</v>
      </c>
      <c r="E387" s="13" t="s">
        <v>634</v>
      </c>
      <c r="F387" s="8" t="s">
        <v>72</v>
      </c>
      <c r="G387" s="13"/>
      <c r="H387" s="8"/>
      <c r="I387" s="13" t="s">
        <v>290</v>
      </c>
      <c r="J387" s="14">
        <v>46187</v>
      </c>
      <c r="K387" s="14">
        <v>46187</v>
      </c>
      <c r="L387" s="15" t="s">
        <v>21</v>
      </c>
      <c r="M387" s="13"/>
      <c r="N387" s="16" t="s">
        <v>635</v>
      </c>
    </row>
    <row r="388" spans="1:14" ht="24" x14ac:dyDescent="0.25">
      <c r="A388" s="8" t="s">
        <v>16</v>
      </c>
      <c r="B388" s="13" t="s">
        <v>52</v>
      </c>
      <c r="C388" s="13" t="s">
        <v>595</v>
      </c>
      <c r="D388" s="8">
        <v>449</v>
      </c>
      <c r="E388" s="13" t="s">
        <v>636</v>
      </c>
      <c r="F388" s="8" t="s">
        <v>72</v>
      </c>
      <c r="G388" s="13"/>
      <c r="H388" s="8"/>
      <c r="I388" s="13" t="s">
        <v>290</v>
      </c>
      <c r="J388" s="14">
        <v>46187</v>
      </c>
      <c r="K388" s="14">
        <v>46187</v>
      </c>
      <c r="L388" s="15" t="s">
        <v>21</v>
      </c>
      <c r="M388" s="13"/>
      <c r="N388" s="16" t="s">
        <v>637</v>
      </c>
    </row>
    <row r="389" spans="1:14" ht="24" x14ac:dyDescent="0.25">
      <c r="A389" s="8" t="s">
        <v>842</v>
      </c>
      <c r="B389" s="13"/>
      <c r="C389" s="13" t="s">
        <v>335</v>
      </c>
      <c r="D389" s="8">
        <v>450</v>
      </c>
      <c r="E389" s="13" t="s">
        <v>1332</v>
      </c>
      <c r="F389" s="8" t="s">
        <v>92</v>
      </c>
      <c r="G389" s="13"/>
      <c r="H389" s="8"/>
      <c r="I389" s="13" t="s">
        <v>75</v>
      </c>
      <c r="J389" s="14">
        <v>46187</v>
      </c>
      <c r="K389" s="14">
        <v>46193</v>
      </c>
      <c r="L389" s="15" t="s">
        <v>21</v>
      </c>
      <c r="M389" s="13" t="s">
        <v>254</v>
      </c>
      <c r="N389" s="16" t="s">
        <v>1333</v>
      </c>
    </row>
    <row r="390" spans="1:14" ht="24" x14ac:dyDescent="0.25">
      <c r="A390" s="8" t="s">
        <v>842</v>
      </c>
      <c r="B390" s="13"/>
      <c r="C390" s="13" t="s">
        <v>335</v>
      </c>
      <c r="D390" s="8">
        <v>451</v>
      </c>
      <c r="E390" s="13" t="s">
        <v>1334</v>
      </c>
      <c r="F390" s="8" t="s">
        <v>92</v>
      </c>
      <c r="G390" s="13"/>
      <c r="H390" s="8"/>
      <c r="I390" s="13" t="s">
        <v>75</v>
      </c>
      <c r="J390" s="14">
        <v>46187</v>
      </c>
      <c r="K390" s="14">
        <v>46189</v>
      </c>
      <c r="L390" s="15" t="s">
        <v>21</v>
      </c>
      <c r="M390" s="13" t="s">
        <v>254</v>
      </c>
      <c r="N390" s="16" t="s">
        <v>1335</v>
      </c>
    </row>
    <row r="391" spans="1:14" ht="24" x14ac:dyDescent="0.25">
      <c r="A391" s="8" t="s">
        <v>842</v>
      </c>
      <c r="B391" s="13"/>
      <c r="C391" s="13" t="s">
        <v>335</v>
      </c>
      <c r="D391" s="8">
        <v>452</v>
      </c>
      <c r="E391" s="13" t="s">
        <v>1336</v>
      </c>
      <c r="F391" s="8" t="s">
        <v>92</v>
      </c>
      <c r="G391" s="13"/>
      <c r="H391" s="8"/>
      <c r="I391" s="13" t="s">
        <v>75</v>
      </c>
      <c r="J391" s="14">
        <v>46187</v>
      </c>
      <c r="K391" s="14">
        <v>46187</v>
      </c>
      <c r="L391" s="15" t="s">
        <v>21</v>
      </c>
      <c r="M391" s="13"/>
      <c r="N391" s="16" t="s">
        <v>1337</v>
      </c>
    </row>
    <row r="392" spans="1:14" ht="24" x14ac:dyDescent="0.25">
      <c r="A392" s="8" t="s">
        <v>842</v>
      </c>
      <c r="B392" s="13"/>
      <c r="C392" s="13" t="s">
        <v>335</v>
      </c>
      <c r="D392" s="8">
        <v>453</v>
      </c>
      <c r="E392" s="13" t="s">
        <v>1338</v>
      </c>
      <c r="F392" s="8" t="s">
        <v>92</v>
      </c>
      <c r="G392" s="13"/>
      <c r="H392" s="8"/>
      <c r="I392" s="13" t="s">
        <v>75</v>
      </c>
      <c r="J392" s="14">
        <v>46187</v>
      </c>
      <c r="K392" s="14">
        <v>46189</v>
      </c>
      <c r="L392" s="15" t="s">
        <v>21</v>
      </c>
      <c r="M392" s="13" t="s">
        <v>254</v>
      </c>
      <c r="N392" s="16" t="s">
        <v>1339</v>
      </c>
    </row>
    <row r="393" spans="1:14" ht="24" x14ac:dyDescent="0.25">
      <c r="A393" s="8" t="s">
        <v>842</v>
      </c>
      <c r="B393" s="13"/>
      <c r="C393" s="13" t="s">
        <v>335</v>
      </c>
      <c r="D393" s="8">
        <v>454</v>
      </c>
      <c r="E393" s="13" t="s">
        <v>1340</v>
      </c>
      <c r="F393" s="8" t="s">
        <v>92</v>
      </c>
      <c r="G393" s="13"/>
      <c r="H393" s="8"/>
      <c r="I393" s="13" t="s">
        <v>75</v>
      </c>
      <c r="J393" s="14">
        <v>46187</v>
      </c>
      <c r="K393" s="14">
        <v>46187</v>
      </c>
      <c r="L393" s="15" t="s">
        <v>21</v>
      </c>
      <c r="M393" s="13"/>
      <c r="N393" s="16" t="s">
        <v>1341</v>
      </c>
    </row>
    <row r="394" spans="1:14" ht="24" x14ac:dyDescent="0.25">
      <c r="A394" s="8" t="s">
        <v>16</v>
      </c>
      <c r="B394" s="13" t="s">
        <v>52</v>
      </c>
      <c r="C394" s="13" t="s">
        <v>595</v>
      </c>
      <c r="D394" s="8">
        <v>455</v>
      </c>
      <c r="E394" s="13" t="s">
        <v>638</v>
      </c>
      <c r="F394" s="8" t="s">
        <v>253</v>
      </c>
      <c r="G394" s="13"/>
      <c r="H394" s="8"/>
      <c r="I394" s="13" t="s">
        <v>290</v>
      </c>
      <c r="J394" s="14">
        <v>46187</v>
      </c>
      <c r="K394" s="14">
        <v>46191</v>
      </c>
      <c r="L394" s="15" t="s">
        <v>21</v>
      </c>
      <c r="M394" s="13" t="s">
        <v>254</v>
      </c>
      <c r="N394" s="16" t="s">
        <v>639</v>
      </c>
    </row>
    <row r="395" spans="1:14" ht="24" x14ac:dyDescent="0.25">
      <c r="A395" s="8" t="s">
        <v>842</v>
      </c>
      <c r="B395" s="13"/>
      <c r="C395" s="13" t="s">
        <v>335</v>
      </c>
      <c r="D395" s="8">
        <v>456</v>
      </c>
      <c r="E395" s="13" t="s">
        <v>1342</v>
      </c>
      <c r="F395" s="8" t="s">
        <v>92</v>
      </c>
      <c r="G395" s="13"/>
      <c r="H395" s="8"/>
      <c r="I395" s="13" t="s">
        <v>75</v>
      </c>
      <c r="J395" s="14">
        <v>46187</v>
      </c>
      <c r="K395" s="14">
        <v>46187</v>
      </c>
      <c r="L395" s="15" t="s">
        <v>21</v>
      </c>
      <c r="M395" s="13"/>
      <c r="N395" s="16" t="s">
        <v>1343</v>
      </c>
    </row>
    <row r="396" spans="1:14" ht="25.5" x14ac:dyDescent="0.25">
      <c r="A396" s="8" t="s">
        <v>842</v>
      </c>
      <c r="B396" s="13"/>
      <c r="C396" s="13" t="s">
        <v>335</v>
      </c>
      <c r="D396" s="8">
        <v>457</v>
      </c>
      <c r="E396" s="13" t="s">
        <v>1344</v>
      </c>
      <c r="F396" s="8" t="s">
        <v>92</v>
      </c>
      <c r="G396" s="13"/>
      <c r="H396" s="8"/>
      <c r="I396" s="13" t="s">
        <v>75</v>
      </c>
      <c r="J396" s="14">
        <v>46187</v>
      </c>
      <c r="K396" s="14">
        <v>46187</v>
      </c>
      <c r="L396" s="15" t="s">
        <v>21</v>
      </c>
      <c r="M396" s="13"/>
      <c r="N396" s="16" t="s">
        <v>1345</v>
      </c>
    </row>
    <row r="397" spans="1:14" ht="24" x14ac:dyDescent="0.25">
      <c r="A397" s="8" t="s">
        <v>842</v>
      </c>
      <c r="B397" s="13"/>
      <c r="C397" s="13" t="s">
        <v>595</v>
      </c>
      <c r="D397" s="8">
        <v>458</v>
      </c>
      <c r="E397" s="13" t="s">
        <v>1346</v>
      </c>
      <c r="F397" s="8" t="s">
        <v>92</v>
      </c>
      <c r="G397" s="13"/>
      <c r="H397" s="8"/>
      <c r="I397" s="13" t="s">
        <v>75</v>
      </c>
      <c r="J397" s="14">
        <v>46187</v>
      </c>
      <c r="K397" s="14">
        <v>46187</v>
      </c>
      <c r="L397" s="15" t="s">
        <v>21</v>
      </c>
      <c r="M397" s="13"/>
      <c r="N397" s="16" t="s">
        <v>1347</v>
      </c>
    </row>
    <row r="398" spans="1:14" ht="24" x14ac:dyDescent="0.25">
      <c r="A398" s="8" t="s">
        <v>842</v>
      </c>
      <c r="B398" s="13"/>
      <c r="C398" s="13" t="s">
        <v>335</v>
      </c>
      <c r="D398" s="8">
        <v>459</v>
      </c>
      <c r="E398" s="13" t="s">
        <v>1348</v>
      </c>
      <c r="F398" s="8" t="s">
        <v>92</v>
      </c>
      <c r="G398" s="13"/>
      <c r="H398" s="8"/>
      <c r="I398" s="13" t="s">
        <v>75</v>
      </c>
      <c r="J398" s="14">
        <v>46187</v>
      </c>
      <c r="K398" s="14">
        <v>46187</v>
      </c>
      <c r="L398" s="15" t="s">
        <v>21</v>
      </c>
      <c r="M398" s="13"/>
      <c r="N398" s="16" t="s">
        <v>1349</v>
      </c>
    </row>
    <row r="399" spans="1:14" ht="24" x14ac:dyDescent="0.25">
      <c r="A399" s="8" t="s">
        <v>842</v>
      </c>
      <c r="B399" s="13"/>
      <c r="C399" s="13" t="s">
        <v>335</v>
      </c>
      <c r="D399" s="8">
        <v>460</v>
      </c>
      <c r="E399" s="13" t="s">
        <v>1350</v>
      </c>
      <c r="F399" s="8" t="s">
        <v>92</v>
      </c>
      <c r="G399" s="13"/>
      <c r="H399" s="8"/>
      <c r="I399" s="13" t="s">
        <v>75</v>
      </c>
      <c r="J399" s="14">
        <v>46187</v>
      </c>
      <c r="K399" s="14">
        <v>46187</v>
      </c>
      <c r="L399" s="15" t="s">
        <v>21</v>
      </c>
      <c r="M399" s="13"/>
      <c r="N399" s="16" t="s">
        <v>1351</v>
      </c>
    </row>
    <row r="400" spans="1:14" ht="24" x14ac:dyDescent="0.25">
      <c r="A400" s="8" t="s">
        <v>16</v>
      </c>
      <c r="B400" s="13" t="s">
        <v>52</v>
      </c>
      <c r="C400" s="13" t="s">
        <v>595</v>
      </c>
      <c r="D400" s="8">
        <v>461</v>
      </c>
      <c r="E400" s="13" t="s">
        <v>640</v>
      </c>
      <c r="F400" s="8" t="s">
        <v>72</v>
      </c>
      <c r="G400" s="13"/>
      <c r="H400" s="8"/>
      <c r="I400" s="13" t="s">
        <v>290</v>
      </c>
      <c r="J400" s="14">
        <v>46187</v>
      </c>
      <c r="K400" s="14">
        <v>46187</v>
      </c>
      <c r="L400" s="15" t="s">
        <v>21</v>
      </c>
      <c r="M400" s="13"/>
      <c r="N400" s="16" t="s">
        <v>641</v>
      </c>
    </row>
    <row r="401" spans="1:14" ht="24" x14ac:dyDescent="0.25">
      <c r="A401" s="8" t="s">
        <v>842</v>
      </c>
      <c r="B401" s="13"/>
      <c r="C401" s="13" t="s">
        <v>335</v>
      </c>
      <c r="D401" s="8">
        <v>462</v>
      </c>
      <c r="E401" s="13" t="s">
        <v>1352</v>
      </c>
      <c r="F401" s="8" t="s">
        <v>92</v>
      </c>
      <c r="G401" s="13"/>
      <c r="H401" s="8"/>
      <c r="I401" s="13" t="s">
        <v>75</v>
      </c>
      <c r="J401" s="14">
        <v>46187</v>
      </c>
      <c r="K401" s="14">
        <v>46187</v>
      </c>
      <c r="L401" s="15" t="s">
        <v>21</v>
      </c>
      <c r="M401" s="13"/>
      <c r="N401" s="16" t="s">
        <v>1353</v>
      </c>
    </row>
    <row r="402" spans="1:14" ht="25.5" x14ac:dyDescent="0.25">
      <c r="A402" s="8" t="s">
        <v>842</v>
      </c>
      <c r="B402" s="13"/>
      <c r="C402" s="13" t="s">
        <v>335</v>
      </c>
      <c r="D402" s="8">
        <v>463</v>
      </c>
      <c r="E402" s="13" t="s">
        <v>1354</v>
      </c>
      <c r="F402" s="8" t="s">
        <v>92</v>
      </c>
      <c r="G402" s="13"/>
      <c r="H402" s="8"/>
      <c r="I402" s="13" t="s">
        <v>75</v>
      </c>
      <c r="J402" s="14">
        <v>46187</v>
      </c>
      <c r="K402" s="14">
        <v>46187</v>
      </c>
      <c r="L402" s="15" t="s">
        <v>21</v>
      </c>
      <c r="M402" s="13"/>
      <c r="N402" s="16" t="s">
        <v>1355</v>
      </c>
    </row>
    <row r="403" spans="1:14" ht="24" x14ac:dyDescent="0.25">
      <c r="A403" s="8" t="s">
        <v>16</v>
      </c>
      <c r="B403" s="13" t="s">
        <v>52</v>
      </c>
      <c r="C403" s="13" t="s">
        <v>595</v>
      </c>
      <c r="D403" s="8">
        <v>464</v>
      </c>
      <c r="E403" s="13" t="s">
        <v>642</v>
      </c>
      <c r="F403" s="8" t="s">
        <v>253</v>
      </c>
      <c r="G403" s="13"/>
      <c r="H403" s="8"/>
      <c r="I403" s="13" t="s">
        <v>290</v>
      </c>
      <c r="J403" s="14">
        <v>46187</v>
      </c>
      <c r="K403" s="14">
        <v>46193</v>
      </c>
      <c r="L403" s="15" t="s">
        <v>21</v>
      </c>
      <c r="M403" s="13" t="s">
        <v>254</v>
      </c>
      <c r="N403" s="16" t="s">
        <v>643</v>
      </c>
    </row>
    <row r="404" spans="1:14" ht="24" x14ac:dyDescent="0.25">
      <c r="A404" s="8" t="s">
        <v>842</v>
      </c>
      <c r="B404" s="13"/>
      <c r="C404" s="13" t="s">
        <v>335</v>
      </c>
      <c r="D404" s="8">
        <v>465</v>
      </c>
      <c r="E404" s="13" t="s">
        <v>1356</v>
      </c>
      <c r="F404" s="8" t="s">
        <v>92</v>
      </c>
      <c r="G404" s="13"/>
      <c r="H404" s="8"/>
      <c r="I404" s="13" t="s">
        <v>75</v>
      </c>
      <c r="J404" s="14">
        <v>46187</v>
      </c>
      <c r="K404" s="14">
        <v>46187</v>
      </c>
      <c r="L404" s="15" t="s">
        <v>21</v>
      </c>
      <c r="M404" s="13"/>
      <c r="N404" s="16" t="s">
        <v>1357</v>
      </c>
    </row>
    <row r="405" spans="1:14" ht="24" x14ac:dyDescent="0.25">
      <c r="A405" s="8" t="s">
        <v>842</v>
      </c>
      <c r="B405" s="13"/>
      <c r="C405" s="13" t="s">
        <v>335</v>
      </c>
      <c r="D405" s="8">
        <v>466</v>
      </c>
      <c r="E405" s="13" t="s">
        <v>1358</v>
      </c>
      <c r="F405" s="8" t="s">
        <v>92</v>
      </c>
      <c r="G405" s="13"/>
      <c r="H405" s="8"/>
      <c r="I405" s="13" t="s">
        <v>75</v>
      </c>
      <c r="J405" s="14">
        <v>46187</v>
      </c>
      <c r="K405" s="14">
        <v>46187</v>
      </c>
      <c r="L405" s="15" t="s">
        <v>21</v>
      </c>
      <c r="M405" s="13"/>
      <c r="N405" s="16" t="s">
        <v>1359</v>
      </c>
    </row>
    <row r="406" spans="1:14" ht="24" x14ac:dyDescent="0.25">
      <c r="A406" s="8" t="s">
        <v>842</v>
      </c>
      <c r="B406" s="13"/>
      <c r="C406" s="13" t="s">
        <v>335</v>
      </c>
      <c r="D406" s="8">
        <v>467</v>
      </c>
      <c r="E406" s="13" t="s">
        <v>1360</v>
      </c>
      <c r="F406" s="8" t="s">
        <v>92</v>
      </c>
      <c r="G406" s="13"/>
      <c r="H406" s="8"/>
      <c r="I406" s="13" t="s">
        <v>75</v>
      </c>
      <c r="J406" s="14">
        <v>46187</v>
      </c>
      <c r="K406" s="14">
        <v>46187</v>
      </c>
      <c r="L406" s="15" t="s">
        <v>21</v>
      </c>
      <c r="M406" s="13"/>
      <c r="N406" s="16" t="s">
        <v>1361</v>
      </c>
    </row>
    <row r="407" spans="1:14" ht="24" x14ac:dyDescent="0.25">
      <c r="A407" s="8" t="s">
        <v>842</v>
      </c>
      <c r="B407" s="13"/>
      <c r="C407" s="13" t="s">
        <v>279</v>
      </c>
      <c r="D407" s="8">
        <v>468</v>
      </c>
      <c r="E407" s="13" t="s">
        <v>1362</v>
      </c>
      <c r="F407" s="8" t="s">
        <v>92</v>
      </c>
      <c r="G407" s="13"/>
      <c r="H407" s="8"/>
      <c r="I407" s="13" t="s">
        <v>75</v>
      </c>
      <c r="J407" s="14">
        <v>46187</v>
      </c>
      <c r="K407" s="14">
        <v>46187</v>
      </c>
      <c r="L407" s="15" t="s">
        <v>21</v>
      </c>
      <c r="M407" s="13"/>
      <c r="N407" s="16" t="s">
        <v>1363</v>
      </c>
    </row>
    <row r="408" spans="1:14" ht="24" x14ac:dyDescent="0.25">
      <c r="A408" s="8" t="s">
        <v>842</v>
      </c>
      <c r="B408" s="13"/>
      <c r="C408" s="13" t="s">
        <v>279</v>
      </c>
      <c r="D408" s="8">
        <v>469</v>
      </c>
      <c r="E408" s="13" t="s">
        <v>1364</v>
      </c>
      <c r="F408" s="8" t="s">
        <v>92</v>
      </c>
      <c r="G408" s="13"/>
      <c r="H408" s="8"/>
      <c r="I408" s="13" t="s">
        <v>75</v>
      </c>
      <c r="J408" s="14">
        <v>46187</v>
      </c>
      <c r="K408" s="14">
        <v>46187</v>
      </c>
      <c r="L408" s="15" t="s">
        <v>21</v>
      </c>
      <c r="M408" s="13"/>
      <c r="N408" s="16" t="s">
        <v>1365</v>
      </c>
    </row>
    <row r="409" spans="1:14" ht="24" x14ac:dyDescent="0.25">
      <c r="A409" s="8" t="s">
        <v>16</v>
      </c>
      <c r="B409" s="13" t="s">
        <v>52</v>
      </c>
      <c r="C409" s="13" t="s">
        <v>595</v>
      </c>
      <c r="D409" s="8">
        <v>470</v>
      </c>
      <c r="E409" s="13" t="s">
        <v>644</v>
      </c>
      <c r="F409" s="8" t="s">
        <v>72</v>
      </c>
      <c r="G409" s="13"/>
      <c r="H409" s="8"/>
      <c r="I409" s="13" t="s">
        <v>290</v>
      </c>
      <c r="J409" s="14">
        <v>46187</v>
      </c>
      <c r="K409" s="14">
        <v>46187</v>
      </c>
      <c r="L409" s="15" t="s">
        <v>21</v>
      </c>
      <c r="M409" s="13"/>
      <c r="N409" s="16" t="s">
        <v>645</v>
      </c>
    </row>
    <row r="410" spans="1:14" ht="24" x14ac:dyDescent="0.25">
      <c r="A410" s="8" t="s">
        <v>842</v>
      </c>
      <c r="B410" s="13"/>
      <c r="C410" s="13" t="s">
        <v>335</v>
      </c>
      <c r="D410" s="8">
        <v>471</v>
      </c>
      <c r="E410" s="13" t="s">
        <v>1366</v>
      </c>
      <c r="F410" s="8" t="s">
        <v>92</v>
      </c>
      <c r="G410" s="13"/>
      <c r="H410" s="8"/>
      <c r="I410" s="13" t="s">
        <v>75</v>
      </c>
      <c r="J410" s="14">
        <v>46187</v>
      </c>
      <c r="K410" s="14">
        <v>46187</v>
      </c>
      <c r="L410" s="15" t="s">
        <v>21</v>
      </c>
      <c r="M410" s="13"/>
      <c r="N410" s="16" t="s">
        <v>1367</v>
      </c>
    </row>
    <row r="411" spans="1:14" ht="24" x14ac:dyDescent="0.25">
      <c r="A411" s="8" t="s">
        <v>842</v>
      </c>
      <c r="B411" s="13"/>
      <c r="C411" s="13" t="s">
        <v>335</v>
      </c>
      <c r="D411" s="8">
        <v>472</v>
      </c>
      <c r="E411" s="13" t="s">
        <v>1368</v>
      </c>
      <c r="F411" s="8" t="s">
        <v>92</v>
      </c>
      <c r="G411" s="13"/>
      <c r="H411" s="8"/>
      <c r="I411" s="13" t="s">
        <v>75</v>
      </c>
      <c r="J411" s="14">
        <v>46187</v>
      </c>
      <c r="K411" s="14">
        <v>46187</v>
      </c>
      <c r="L411" s="15" t="s">
        <v>21</v>
      </c>
      <c r="M411" s="13"/>
      <c r="N411" s="16" t="s">
        <v>1369</v>
      </c>
    </row>
    <row r="412" spans="1:14" ht="24" x14ac:dyDescent="0.25">
      <c r="A412" s="8" t="s">
        <v>842</v>
      </c>
      <c r="B412" s="13"/>
      <c r="C412" s="13" t="s">
        <v>335</v>
      </c>
      <c r="D412" s="8">
        <v>473</v>
      </c>
      <c r="E412" s="13" t="s">
        <v>1370</v>
      </c>
      <c r="F412" s="8" t="s">
        <v>92</v>
      </c>
      <c r="G412" s="13"/>
      <c r="H412" s="8"/>
      <c r="I412" s="13" t="s">
        <v>75</v>
      </c>
      <c r="J412" s="14">
        <v>46187</v>
      </c>
      <c r="K412" s="14">
        <v>46187</v>
      </c>
      <c r="L412" s="15" t="s">
        <v>21</v>
      </c>
      <c r="M412" s="13"/>
      <c r="N412" s="16" t="s">
        <v>1371</v>
      </c>
    </row>
    <row r="413" spans="1:14" ht="24" x14ac:dyDescent="0.25">
      <c r="A413" s="8" t="s">
        <v>842</v>
      </c>
      <c r="B413" s="13"/>
      <c r="C413" s="13" t="s">
        <v>335</v>
      </c>
      <c r="D413" s="8">
        <v>474</v>
      </c>
      <c r="E413" s="13" t="s">
        <v>1372</v>
      </c>
      <c r="F413" s="8" t="s">
        <v>92</v>
      </c>
      <c r="G413" s="13"/>
      <c r="H413" s="8"/>
      <c r="I413" s="13" t="s">
        <v>75</v>
      </c>
      <c r="J413" s="14">
        <v>46187</v>
      </c>
      <c r="K413" s="14">
        <v>46187</v>
      </c>
      <c r="L413" s="15" t="s">
        <v>21</v>
      </c>
      <c r="M413" s="13"/>
      <c r="N413" s="16" t="s">
        <v>1373</v>
      </c>
    </row>
    <row r="414" spans="1:14" ht="38.25" x14ac:dyDescent="0.25">
      <c r="A414" s="8" t="s">
        <v>842</v>
      </c>
      <c r="B414" s="13"/>
      <c r="C414" s="13" t="s">
        <v>279</v>
      </c>
      <c r="D414" s="8">
        <v>475</v>
      </c>
      <c r="E414" s="13" t="s">
        <v>1374</v>
      </c>
      <c r="F414" s="8" t="s">
        <v>92</v>
      </c>
      <c r="G414" s="13"/>
      <c r="H414" s="8"/>
      <c r="I414" s="13" t="s">
        <v>75</v>
      </c>
      <c r="J414" s="14">
        <v>46187</v>
      </c>
      <c r="K414" s="14">
        <v>46187</v>
      </c>
      <c r="L414" s="15" t="s">
        <v>21</v>
      </c>
      <c r="M414" s="13"/>
      <c r="N414" s="16" t="s">
        <v>1375</v>
      </c>
    </row>
    <row r="415" spans="1:14" ht="24" x14ac:dyDescent="0.25">
      <c r="A415" s="8" t="s">
        <v>16</v>
      </c>
      <c r="B415" s="13" t="s">
        <v>52</v>
      </c>
      <c r="C415" s="13" t="s">
        <v>595</v>
      </c>
      <c r="D415" s="8">
        <v>476</v>
      </c>
      <c r="E415" s="13" t="s">
        <v>646</v>
      </c>
      <c r="F415" s="8" t="s">
        <v>72</v>
      </c>
      <c r="G415" s="13"/>
      <c r="H415" s="8"/>
      <c r="I415" s="13" t="s">
        <v>290</v>
      </c>
      <c r="J415" s="14">
        <v>46187</v>
      </c>
      <c r="K415" s="14">
        <v>46187</v>
      </c>
      <c r="L415" s="15" t="s">
        <v>21</v>
      </c>
      <c r="M415" s="13"/>
      <c r="N415" s="16" t="s">
        <v>647</v>
      </c>
    </row>
    <row r="416" spans="1:14" ht="24" x14ac:dyDescent="0.25">
      <c r="A416" s="8" t="s">
        <v>16</v>
      </c>
      <c r="B416" s="13" t="s">
        <v>52</v>
      </c>
      <c r="C416" s="13" t="s">
        <v>595</v>
      </c>
      <c r="D416" s="8">
        <v>477</v>
      </c>
      <c r="E416" s="13" t="s">
        <v>648</v>
      </c>
      <c r="F416" s="8" t="s">
        <v>253</v>
      </c>
      <c r="G416" s="13"/>
      <c r="H416" s="8"/>
      <c r="I416" s="13" t="s">
        <v>290</v>
      </c>
      <c r="J416" s="14">
        <v>46187</v>
      </c>
      <c r="K416" s="14">
        <v>46193</v>
      </c>
      <c r="L416" s="15" t="s">
        <v>21</v>
      </c>
      <c r="M416" s="13" t="s">
        <v>254</v>
      </c>
      <c r="N416" s="16" t="s">
        <v>649</v>
      </c>
    </row>
    <row r="417" spans="1:14" ht="24" x14ac:dyDescent="0.25">
      <c r="A417" s="8" t="s">
        <v>842</v>
      </c>
      <c r="B417" s="13"/>
      <c r="C417" s="13" t="s">
        <v>335</v>
      </c>
      <c r="D417" s="8">
        <v>478</v>
      </c>
      <c r="E417" s="13" t="s">
        <v>1376</v>
      </c>
      <c r="F417" s="8" t="s">
        <v>92</v>
      </c>
      <c r="G417" s="13"/>
      <c r="H417" s="8"/>
      <c r="I417" s="13" t="s">
        <v>75</v>
      </c>
      <c r="J417" s="14">
        <v>46187</v>
      </c>
      <c r="K417" s="14">
        <v>46187</v>
      </c>
      <c r="L417" s="15" t="s">
        <v>21</v>
      </c>
      <c r="M417" s="13"/>
      <c r="N417" s="16" t="s">
        <v>1377</v>
      </c>
    </row>
    <row r="418" spans="1:14" ht="24" x14ac:dyDescent="0.25">
      <c r="A418" s="8" t="s">
        <v>16</v>
      </c>
      <c r="B418" s="13" t="s">
        <v>52</v>
      </c>
      <c r="C418" s="13" t="s">
        <v>595</v>
      </c>
      <c r="D418" s="8">
        <v>479</v>
      </c>
      <c r="E418" s="13" t="s">
        <v>650</v>
      </c>
      <c r="F418" s="8" t="s">
        <v>72</v>
      </c>
      <c r="G418" s="13"/>
      <c r="H418" s="8"/>
      <c r="I418" s="13" t="s">
        <v>290</v>
      </c>
      <c r="J418" s="14">
        <v>46187</v>
      </c>
      <c r="K418" s="14">
        <v>46187</v>
      </c>
      <c r="L418" s="15" t="s">
        <v>21</v>
      </c>
      <c r="M418" s="13"/>
      <c r="N418" s="16" t="s">
        <v>651</v>
      </c>
    </row>
    <row r="419" spans="1:14" ht="24" x14ac:dyDescent="0.25">
      <c r="A419" s="8" t="s">
        <v>842</v>
      </c>
      <c r="B419" s="13"/>
      <c r="C419" s="13" t="s">
        <v>335</v>
      </c>
      <c r="D419" s="8">
        <v>480</v>
      </c>
      <c r="E419" s="13" t="s">
        <v>1378</v>
      </c>
      <c r="F419" s="8" t="s">
        <v>92</v>
      </c>
      <c r="G419" s="13"/>
      <c r="H419" s="8"/>
      <c r="I419" s="13" t="s">
        <v>75</v>
      </c>
      <c r="J419" s="14">
        <v>46187</v>
      </c>
      <c r="K419" s="14">
        <v>46187</v>
      </c>
      <c r="L419" s="15" t="s">
        <v>21</v>
      </c>
      <c r="M419" s="13"/>
      <c r="N419" s="16" t="s">
        <v>1379</v>
      </c>
    </row>
    <row r="420" spans="1:14" ht="24" x14ac:dyDescent="0.25">
      <c r="A420" s="8" t="s">
        <v>16</v>
      </c>
      <c r="B420" s="13" t="s">
        <v>52</v>
      </c>
      <c r="C420" s="13" t="s">
        <v>595</v>
      </c>
      <c r="D420" s="8">
        <v>481</v>
      </c>
      <c r="E420" s="13" t="s">
        <v>652</v>
      </c>
      <c r="F420" s="8" t="s">
        <v>253</v>
      </c>
      <c r="G420" s="13"/>
      <c r="H420" s="8"/>
      <c r="I420" s="13" t="s">
        <v>290</v>
      </c>
      <c r="J420" s="14">
        <v>46187</v>
      </c>
      <c r="K420" s="14">
        <v>46191</v>
      </c>
      <c r="L420" s="15" t="s">
        <v>21</v>
      </c>
      <c r="M420" s="13" t="s">
        <v>254</v>
      </c>
      <c r="N420" s="16" t="s">
        <v>653</v>
      </c>
    </row>
    <row r="421" spans="1:14" ht="24" x14ac:dyDescent="0.25">
      <c r="A421" s="8" t="s">
        <v>842</v>
      </c>
      <c r="B421" s="13"/>
      <c r="C421" s="13" t="s">
        <v>335</v>
      </c>
      <c r="D421" s="8">
        <v>482</v>
      </c>
      <c r="E421" s="13" t="s">
        <v>1380</v>
      </c>
      <c r="F421" s="8" t="s">
        <v>92</v>
      </c>
      <c r="G421" s="13"/>
      <c r="H421" s="8"/>
      <c r="I421" s="13" t="s">
        <v>75</v>
      </c>
      <c r="J421" s="14">
        <v>46187</v>
      </c>
      <c r="K421" s="14">
        <v>46187</v>
      </c>
      <c r="L421" s="15" t="s">
        <v>21</v>
      </c>
      <c r="M421" s="13"/>
      <c r="N421" s="16" t="s">
        <v>1381</v>
      </c>
    </row>
    <row r="422" spans="1:14" ht="24" x14ac:dyDescent="0.25">
      <c r="A422" s="8" t="s">
        <v>842</v>
      </c>
      <c r="B422" s="13"/>
      <c r="C422" s="13" t="s">
        <v>335</v>
      </c>
      <c r="D422" s="8">
        <v>483</v>
      </c>
      <c r="E422" s="13" t="s">
        <v>1382</v>
      </c>
      <c r="F422" s="8" t="s">
        <v>92</v>
      </c>
      <c r="G422" s="13"/>
      <c r="H422" s="8"/>
      <c r="I422" s="13" t="s">
        <v>75</v>
      </c>
      <c r="J422" s="14">
        <v>46187</v>
      </c>
      <c r="K422" s="14">
        <v>46187</v>
      </c>
      <c r="L422" s="15" t="s">
        <v>21</v>
      </c>
      <c r="M422" s="13"/>
      <c r="N422" s="16" t="s">
        <v>1383</v>
      </c>
    </row>
    <row r="423" spans="1:14" ht="24" x14ac:dyDescent="0.25">
      <c r="A423" s="8" t="s">
        <v>842</v>
      </c>
      <c r="B423" s="13"/>
      <c r="C423" s="13" t="s">
        <v>279</v>
      </c>
      <c r="D423" s="8">
        <v>484</v>
      </c>
      <c r="E423" s="13" t="s">
        <v>1384</v>
      </c>
      <c r="F423" s="8" t="s">
        <v>92</v>
      </c>
      <c r="G423" s="13"/>
      <c r="H423" s="8"/>
      <c r="I423" s="13" t="s">
        <v>75</v>
      </c>
      <c r="J423" s="14">
        <v>46187</v>
      </c>
      <c r="K423" s="14">
        <v>46187</v>
      </c>
      <c r="L423" s="15" t="s">
        <v>21</v>
      </c>
      <c r="M423" s="13"/>
      <c r="N423" s="16" t="s">
        <v>1385</v>
      </c>
    </row>
    <row r="424" spans="1:14" ht="25.5" x14ac:dyDescent="0.25">
      <c r="A424" s="8" t="s">
        <v>16</v>
      </c>
      <c r="B424" s="13" t="s">
        <v>52</v>
      </c>
      <c r="C424" s="13" t="s">
        <v>595</v>
      </c>
      <c r="D424" s="8">
        <v>485</v>
      </c>
      <c r="E424" s="13" t="s">
        <v>654</v>
      </c>
      <c r="F424" s="8" t="s">
        <v>72</v>
      </c>
      <c r="G424" s="13"/>
      <c r="H424" s="8"/>
      <c r="I424" s="13" t="s">
        <v>290</v>
      </c>
      <c r="J424" s="14">
        <v>46187</v>
      </c>
      <c r="K424" s="14">
        <v>46187</v>
      </c>
      <c r="L424" s="15" t="s">
        <v>21</v>
      </c>
      <c r="M424" s="13"/>
      <c r="N424" s="16" t="s">
        <v>655</v>
      </c>
    </row>
    <row r="425" spans="1:14" ht="24" x14ac:dyDescent="0.25">
      <c r="A425" s="8" t="s">
        <v>842</v>
      </c>
      <c r="B425" s="13"/>
      <c r="C425" s="13" t="s">
        <v>335</v>
      </c>
      <c r="D425" s="8">
        <v>486</v>
      </c>
      <c r="E425" s="13" t="s">
        <v>1386</v>
      </c>
      <c r="F425" s="8" t="s">
        <v>92</v>
      </c>
      <c r="G425" s="13"/>
      <c r="H425" s="8"/>
      <c r="I425" s="13" t="s">
        <v>75</v>
      </c>
      <c r="J425" s="14">
        <v>46187</v>
      </c>
      <c r="K425" s="14">
        <v>46194</v>
      </c>
      <c r="L425" s="15" t="s">
        <v>21</v>
      </c>
      <c r="M425" s="13" t="s">
        <v>254</v>
      </c>
      <c r="N425" s="16" t="s">
        <v>1387</v>
      </c>
    </row>
    <row r="426" spans="1:14" ht="24" x14ac:dyDescent="0.25">
      <c r="A426" s="8" t="s">
        <v>842</v>
      </c>
      <c r="B426" s="13"/>
      <c r="C426" s="13" t="s">
        <v>335</v>
      </c>
      <c r="D426" s="8">
        <v>487</v>
      </c>
      <c r="E426" s="13" t="s">
        <v>1388</v>
      </c>
      <c r="F426" s="8" t="s">
        <v>92</v>
      </c>
      <c r="G426" s="13"/>
      <c r="H426" s="8"/>
      <c r="I426" s="13" t="s">
        <v>75</v>
      </c>
      <c r="J426" s="14">
        <v>46187</v>
      </c>
      <c r="K426" s="14">
        <v>46189</v>
      </c>
      <c r="L426" s="15" t="s">
        <v>21</v>
      </c>
      <c r="M426" s="13" t="s">
        <v>254</v>
      </c>
      <c r="N426" s="16" t="s">
        <v>1389</v>
      </c>
    </row>
    <row r="427" spans="1:14" ht="24" x14ac:dyDescent="0.25">
      <c r="A427" s="8" t="s">
        <v>16</v>
      </c>
      <c r="B427" s="13" t="s">
        <v>52</v>
      </c>
      <c r="C427" s="13" t="s">
        <v>595</v>
      </c>
      <c r="D427" s="8">
        <v>488</v>
      </c>
      <c r="E427" s="13" t="s">
        <v>656</v>
      </c>
      <c r="F427" s="8" t="s">
        <v>72</v>
      </c>
      <c r="G427" s="13"/>
      <c r="H427" s="8"/>
      <c r="I427" s="13" t="s">
        <v>290</v>
      </c>
      <c r="J427" s="14">
        <v>46187</v>
      </c>
      <c r="K427" s="14">
        <v>46187</v>
      </c>
      <c r="L427" s="15" t="s">
        <v>21</v>
      </c>
      <c r="M427" s="13"/>
      <c r="N427" s="16" t="s">
        <v>657</v>
      </c>
    </row>
    <row r="428" spans="1:14" ht="24" x14ac:dyDescent="0.25">
      <c r="A428" s="8" t="s">
        <v>16</v>
      </c>
      <c r="B428" s="13" t="s">
        <v>52</v>
      </c>
      <c r="C428" s="13" t="s">
        <v>595</v>
      </c>
      <c r="D428" s="8">
        <v>489</v>
      </c>
      <c r="E428" s="13" t="s">
        <v>658</v>
      </c>
      <c r="F428" s="8" t="s">
        <v>72</v>
      </c>
      <c r="G428" s="13"/>
      <c r="H428" s="8"/>
      <c r="I428" s="13" t="s">
        <v>290</v>
      </c>
      <c r="J428" s="14">
        <v>46187</v>
      </c>
      <c r="K428" s="14">
        <v>46187</v>
      </c>
      <c r="L428" s="15" t="s">
        <v>21</v>
      </c>
      <c r="M428" s="13"/>
      <c r="N428" s="16" t="s">
        <v>659</v>
      </c>
    </row>
    <row r="429" spans="1:14" ht="24" x14ac:dyDescent="0.25">
      <c r="A429" s="8" t="s">
        <v>842</v>
      </c>
      <c r="B429" s="13"/>
      <c r="C429" s="13" t="s">
        <v>335</v>
      </c>
      <c r="D429" s="8">
        <v>490</v>
      </c>
      <c r="E429" s="13" t="s">
        <v>1390</v>
      </c>
      <c r="F429" s="8" t="s">
        <v>92</v>
      </c>
      <c r="G429" s="13"/>
      <c r="H429" s="8"/>
      <c r="I429" s="13" t="s">
        <v>75</v>
      </c>
      <c r="J429" s="14">
        <v>46187</v>
      </c>
      <c r="K429" s="14">
        <v>46187</v>
      </c>
      <c r="L429" s="15" t="s">
        <v>21</v>
      </c>
      <c r="M429" s="13"/>
      <c r="N429" s="16" t="s">
        <v>1391</v>
      </c>
    </row>
    <row r="430" spans="1:14" ht="25.5" x14ac:dyDescent="0.25">
      <c r="A430" s="8" t="s">
        <v>16</v>
      </c>
      <c r="B430" s="13" t="s">
        <v>52</v>
      </c>
      <c r="C430" s="13" t="s">
        <v>595</v>
      </c>
      <c r="D430" s="8">
        <v>491</v>
      </c>
      <c r="E430" s="13" t="s">
        <v>660</v>
      </c>
      <c r="F430" s="8" t="s">
        <v>253</v>
      </c>
      <c r="G430" s="13"/>
      <c r="H430" s="8"/>
      <c r="I430" s="13" t="s">
        <v>290</v>
      </c>
      <c r="J430" s="14">
        <v>46187</v>
      </c>
      <c r="K430" s="14">
        <v>46194</v>
      </c>
      <c r="L430" s="15" t="s">
        <v>21</v>
      </c>
      <c r="M430" s="13" t="s">
        <v>254</v>
      </c>
      <c r="N430" s="16" t="s">
        <v>661</v>
      </c>
    </row>
    <row r="431" spans="1:14" ht="24" x14ac:dyDescent="0.25">
      <c r="A431" s="8" t="s">
        <v>842</v>
      </c>
      <c r="B431" s="13"/>
      <c r="C431" s="13" t="s">
        <v>335</v>
      </c>
      <c r="D431" s="8">
        <v>492</v>
      </c>
      <c r="E431" s="13" t="s">
        <v>1392</v>
      </c>
      <c r="F431" s="8" t="s">
        <v>92</v>
      </c>
      <c r="G431" s="13"/>
      <c r="H431" s="8"/>
      <c r="I431" s="13" t="s">
        <v>75</v>
      </c>
      <c r="J431" s="14">
        <v>46187</v>
      </c>
      <c r="K431" s="14">
        <v>46187</v>
      </c>
      <c r="L431" s="15" t="s">
        <v>21</v>
      </c>
      <c r="M431" s="13"/>
      <c r="N431" s="16" t="s">
        <v>1393</v>
      </c>
    </row>
    <row r="432" spans="1:14" ht="24" x14ac:dyDescent="0.25">
      <c r="A432" s="8" t="s">
        <v>842</v>
      </c>
      <c r="B432" s="13"/>
      <c r="C432" s="13" t="s">
        <v>335</v>
      </c>
      <c r="D432" s="8">
        <v>493</v>
      </c>
      <c r="E432" s="13" t="s">
        <v>1394</v>
      </c>
      <c r="F432" s="8" t="s">
        <v>92</v>
      </c>
      <c r="G432" s="13"/>
      <c r="H432" s="8"/>
      <c r="I432" s="13" t="s">
        <v>75</v>
      </c>
      <c r="J432" s="14">
        <v>46187</v>
      </c>
      <c r="K432" s="14">
        <v>46193</v>
      </c>
      <c r="L432" s="17" t="s">
        <v>23</v>
      </c>
      <c r="M432" s="13" t="s">
        <v>267</v>
      </c>
      <c r="N432" s="16" t="s">
        <v>1395</v>
      </c>
    </row>
    <row r="433" spans="1:14" ht="24" x14ac:dyDescent="0.25">
      <c r="A433" s="8" t="s">
        <v>16</v>
      </c>
      <c r="B433" s="13" t="s">
        <v>52</v>
      </c>
      <c r="C433" s="13" t="s">
        <v>595</v>
      </c>
      <c r="D433" s="8">
        <v>494</v>
      </c>
      <c r="E433" s="13" t="s">
        <v>662</v>
      </c>
      <c r="F433" s="8" t="s">
        <v>72</v>
      </c>
      <c r="G433" s="13"/>
      <c r="H433" s="8"/>
      <c r="I433" s="13" t="s">
        <v>290</v>
      </c>
      <c r="J433" s="14">
        <v>46187</v>
      </c>
      <c r="K433" s="14">
        <v>46187</v>
      </c>
      <c r="L433" s="15" t="s">
        <v>21</v>
      </c>
      <c r="M433" s="13"/>
      <c r="N433" s="16" t="s">
        <v>663</v>
      </c>
    </row>
    <row r="434" spans="1:14" ht="24" x14ac:dyDescent="0.25">
      <c r="A434" s="8" t="s">
        <v>842</v>
      </c>
      <c r="B434" s="13"/>
      <c r="C434" s="13" t="s">
        <v>335</v>
      </c>
      <c r="D434" s="8">
        <v>495</v>
      </c>
      <c r="E434" s="13" t="s">
        <v>1396</v>
      </c>
      <c r="F434" s="8" t="s">
        <v>92</v>
      </c>
      <c r="G434" s="13"/>
      <c r="H434" s="8"/>
      <c r="I434" s="13" t="s">
        <v>75</v>
      </c>
      <c r="J434" s="14">
        <v>46187</v>
      </c>
      <c r="K434" s="14">
        <v>46193</v>
      </c>
      <c r="L434" s="15" t="s">
        <v>21</v>
      </c>
      <c r="M434" s="13" t="s">
        <v>254</v>
      </c>
      <c r="N434" s="16" t="s">
        <v>1397</v>
      </c>
    </row>
    <row r="435" spans="1:14" ht="24" x14ac:dyDescent="0.25">
      <c r="A435" s="8" t="s">
        <v>842</v>
      </c>
      <c r="B435" s="13"/>
      <c r="C435" s="13" t="s">
        <v>335</v>
      </c>
      <c r="D435" s="8">
        <v>496</v>
      </c>
      <c r="E435" s="13" t="s">
        <v>1398</v>
      </c>
      <c r="F435" s="8" t="s">
        <v>92</v>
      </c>
      <c r="G435" s="13"/>
      <c r="H435" s="8"/>
      <c r="I435" s="13" t="s">
        <v>75</v>
      </c>
      <c r="J435" s="14">
        <v>46187</v>
      </c>
      <c r="K435" s="14">
        <v>46187</v>
      </c>
      <c r="L435" s="15" t="s">
        <v>21</v>
      </c>
      <c r="M435" s="13"/>
      <c r="N435" s="16" t="s">
        <v>1399</v>
      </c>
    </row>
    <row r="436" spans="1:14" ht="24" x14ac:dyDescent="0.25">
      <c r="A436" s="8" t="s">
        <v>842</v>
      </c>
      <c r="B436" s="13"/>
      <c r="C436" s="13" t="s">
        <v>335</v>
      </c>
      <c r="D436" s="8">
        <v>497</v>
      </c>
      <c r="E436" s="13" t="s">
        <v>1400</v>
      </c>
      <c r="F436" s="8" t="s">
        <v>92</v>
      </c>
      <c r="G436" s="13"/>
      <c r="H436" s="8"/>
      <c r="I436" s="13" t="s">
        <v>75</v>
      </c>
      <c r="J436" s="14">
        <v>46187</v>
      </c>
      <c r="K436" s="14">
        <v>46187</v>
      </c>
      <c r="L436" s="15" t="s">
        <v>21</v>
      </c>
      <c r="M436" s="13"/>
      <c r="N436" s="16" t="s">
        <v>1401</v>
      </c>
    </row>
    <row r="437" spans="1:14" ht="24" x14ac:dyDescent="0.25">
      <c r="A437" s="8" t="s">
        <v>842</v>
      </c>
      <c r="B437" s="13"/>
      <c r="C437" s="13" t="s">
        <v>335</v>
      </c>
      <c r="D437" s="8">
        <v>498</v>
      </c>
      <c r="E437" s="13" t="s">
        <v>1402</v>
      </c>
      <c r="F437" s="8" t="s">
        <v>92</v>
      </c>
      <c r="G437" s="13"/>
      <c r="H437" s="8"/>
      <c r="I437" s="13" t="s">
        <v>75</v>
      </c>
      <c r="J437" s="14">
        <v>46187</v>
      </c>
      <c r="K437" s="14">
        <v>46187</v>
      </c>
      <c r="L437" s="15" t="s">
        <v>21</v>
      </c>
      <c r="M437" s="13"/>
      <c r="N437" s="16" t="s">
        <v>1403</v>
      </c>
    </row>
    <row r="438" spans="1:14" ht="24" x14ac:dyDescent="0.25">
      <c r="A438" s="8" t="s">
        <v>842</v>
      </c>
      <c r="B438" s="13"/>
      <c r="C438" s="13" t="s">
        <v>335</v>
      </c>
      <c r="D438" s="8">
        <v>499</v>
      </c>
      <c r="E438" s="13" t="s">
        <v>1404</v>
      </c>
      <c r="F438" s="8" t="s">
        <v>92</v>
      </c>
      <c r="G438" s="13"/>
      <c r="H438" s="8"/>
      <c r="I438" s="13" t="s">
        <v>75</v>
      </c>
      <c r="J438" s="14">
        <v>46187</v>
      </c>
      <c r="K438" s="14">
        <v>46187</v>
      </c>
      <c r="L438" s="15" t="s">
        <v>21</v>
      </c>
      <c r="M438" s="13"/>
      <c r="N438" s="16" t="s">
        <v>1405</v>
      </c>
    </row>
    <row r="439" spans="1:14" ht="24" x14ac:dyDescent="0.25">
      <c r="A439" s="8" t="s">
        <v>16</v>
      </c>
      <c r="B439" s="13" t="s">
        <v>52</v>
      </c>
      <c r="C439" s="13" t="s">
        <v>595</v>
      </c>
      <c r="D439" s="8">
        <v>500</v>
      </c>
      <c r="E439" s="13" t="s">
        <v>664</v>
      </c>
      <c r="F439" s="8" t="s">
        <v>253</v>
      </c>
      <c r="G439" s="13"/>
      <c r="H439" s="8"/>
      <c r="I439" s="13" t="s">
        <v>290</v>
      </c>
      <c r="J439" s="14">
        <v>46187</v>
      </c>
      <c r="K439" s="14">
        <v>46191</v>
      </c>
      <c r="L439" s="15" t="s">
        <v>21</v>
      </c>
      <c r="M439" s="13" t="s">
        <v>254</v>
      </c>
      <c r="N439" s="16" t="s">
        <v>665</v>
      </c>
    </row>
    <row r="440" spans="1:14" ht="24" x14ac:dyDescent="0.25">
      <c r="A440" s="8" t="s">
        <v>842</v>
      </c>
      <c r="B440" s="13"/>
      <c r="C440" s="13" t="s">
        <v>335</v>
      </c>
      <c r="D440" s="8">
        <v>501</v>
      </c>
      <c r="E440" s="13" t="s">
        <v>1406</v>
      </c>
      <c r="F440" s="8" t="s">
        <v>92</v>
      </c>
      <c r="G440" s="13"/>
      <c r="H440" s="8"/>
      <c r="I440" s="13" t="s">
        <v>75</v>
      </c>
      <c r="J440" s="14">
        <v>46187</v>
      </c>
      <c r="K440" s="14">
        <v>46187</v>
      </c>
      <c r="L440" s="15" t="s">
        <v>21</v>
      </c>
      <c r="M440" s="13"/>
      <c r="N440" s="16" t="s">
        <v>1407</v>
      </c>
    </row>
    <row r="441" spans="1:14" ht="24" x14ac:dyDescent="0.25">
      <c r="A441" s="8" t="s">
        <v>842</v>
      </c>
      <c r="B441" s="13"/>
      <c r="C441" s="13" t="s">
        <v>335</v>
      </c>
      <c r="D441" s="8">
        <v>502</v>
      </c>
      <c r="E441" s="13" t="s">
        <v>1408</v>
      </c>
      <c r="F441" s="8" t="s">
        <v>92</v>
      </c>
      <c r="G441" s="13"/>
      <c r="H441" s="8"/>
      <c r="I441" s="13" t="s">
        <v>75</v>
      </c>
      <c r="J441" s="14">
        <v>46187</v>
      </c>
      <c r="K441" s="14">
        <v>46187</v>
      </c>
      <c r="L441" s="15" t="s">
        <v>21</v>
      </c>
      <c r="M441" s="13"/>
      <c r="N441" s="16" t="s">
        <v>1409</v>
      </c>
    </row>
    <row r="442" spans="1:14" ht="24" x14ac:dyDescent="0.25">
      <c r="A442" s="8" t="s">
        <v>842</v>
      </c>
      <c r="B442" s="13"/>
      <c r="C442" s="13" t="s">
        <v>335</v>
      </c>
      <c r="D442" s="8">
        <v>503</v>
      </c>
      <c r="E442" s="13" t="s">
        <v>1410</v>
      </c>
      <c r="F442" s="8" t="s">
        <v>92</v>
      </c>
      <c r="G442" s="13"/>
      <c r="H442" s="8"/>
      <c r="I442" s="13" t="s">
        <v>75</v>
      </c>
      <c r="J442" s="14">
        <v>46187</v>
      </c>
      <c r="K442" s="14">
        <v>46187</v>
      </c>
      <c r="L442" s="15" t="s">
        <v>21</v>
      </c>
      <c r="M442" s="13"/>
      <c r="N442" s="16" t="s">
        <v>1411</v>
      </c>
    </row>
    <row r="443" spans="1:14" ht="24" x14ac:dyDescent="0.25">
      <c r="A443" s="8" t="s">
        <v>842</v>
      </c>
      <c r="B443" s="13"/>
      <c r="C443" s="13" t="s">
        <v>335</v>
      </c>
      <c r="D443" s="8">
        <v>504</v>
      </c>
      <c r="E443" s="13" t="s">
        <v>1412</v>
      </c>
      <c r="F443" s="8" t="s">
        <v>92</v>
      </c>
      <c r="G443" s="13"/>
      <c r="H443" s="8"/>
      <c r="I443" s="13" t="s">
        <v>75</v>
      </c>
      <c r="J443" s="14">
        <v>46187</v>
      </c>
      <c r="K443" s="14">
        <v>46187</v>
      </c>
      <c r="L443" s="15" t="s">
        <v>21</v>
      </c>
      <c r="M443" s="13"/>
      <c r="N443" s="16" t="s">
        <v>1413</v>
      </c>
    </row>
    <row r="444" spans="1:14" ht="24" x14ac:dyDescent="0.25">
      <c r="A444" s="8" t="s">
        <v>16</v>
      </c>
      <c r="B444" s="13" t="s">
        <v>52</v>
      </c>
      <c r="C444" s="13" t="s">
        <v>595</v>
      </c>
      <c r="D444" s="8">
        <v>505</v>
      </c>
      <c r="E444" s="13" t="s">
        <v>666</v>
      </c>
      <c r="F444" s="8" t="s">
        <v>72</v>
      </c>
      <c r="G444" s="13"/>
      <c r="H444" s="8"/>
      <c r="I444" s="13" t="s">
        <v>290</v>
      </c>
      <c r="J444" s="14">
        <v>46187</v>
      </c>
      <c r="K444" s="14">
        <v>46187</v>
      </c>
      <c r="L444" s="15" t="s">
        <v>21</v>
      </c>
      <c r="M444" s="13"/>
      <c r="N444" s="16" t="s">
        <v>667</v>
      </c>
    </row>
    <row r="445" spans="1:14" ht="24" x14ac:dyDescent="0.25">
      <c r="A445" s="8" t="s">
        <v>842</v>
      </c>
      <c r="B445" s="13"/>
      <c r="C445" s="13" t="s">
        <v>335</v>
      </c>
      <c r="D445" s="8">
        <v>506</v>
      </c>
      <c r="E445" s="13" t="s">
        <v>1414</v>
      </c>
      <c r="F445" s="8" t="s">
        <v>92</v>
      </c>
      <c r="G445" s="13"/>
      <c r="H445" s="8"/>
      <c r="I445" s="13" t="s">
        <v>75</v>
      </c>
      <c r="J445" s="14">
        <v>46187</v>
      </c>
      <c r="K445" s="14">
        <v>46187</v>
      </c>
      <c r="L445" s="15" t="s">
        <v>21</v>
      </c>
      <c r="M445" s="13"/>
      <c r="N445" s="16" t="s">
        <v>1415</v>
      </c>
    </row>
    <row r="446" spans="1:14" ht="24" x14ac:dyDescent="0.25">
      <c r="A446" s="8" t="s">
        <v>16</v>
      </c>
      <c r="B446" s="13" t="s">
        <v>52</v>
      </c>
      <c r="C446" s="13" t="s">
        <v>595</v>
      </c>
      <c r="D446" s="8">
        <v>507</v>
      </c>
      <c r="E446" s="13" t="s">
        <v>668</v>
      </c>
      <c r="F446" s="8" t="s">
        <v>72</v>
      </c>
      <c r="G446" s="13"/>
      <c r="H446" s="8"/>
      <c r="I446" s="13" t="s">
        <v>290</v>
      </c>
      <c r="J446" s="14">
        <v>46187</v>
      </c>
      <c r="K446" s="14">
        <v>46187</v>
      </c>
      <c r="L446" s="15" t="s">
        <v>21</v>
      </c>
      <c r="M446" s="13"/>
      <c r="N446" s="16" t="s">
        <v>669</v>
      </c>
    </row>
    <row r="447" spans="1:14" ht="24" x14ac:dyDescent="0.25">
      <c r="A447" s="8" t="s">
        <v>842</v>
      </c>
      <c r="B447" s="13"/>
      <c r="C447" s="13" t="s">
        <v>335</v>
      </c>
      <c r="D447" s="8">
        <v>508</v>
      </c>
      <c r="E447" s="13" t="s">
        <v>1416</v>
      </c>
      <c r="F447" s="8" t="s">
        <v>92</v>
      </c>
      <c r="G447" s="13"/>
      <c r="H447" s="8"/>
      <c r="I447" s="13" t="s">
        <v>75</v>
      </c>
      <c r="J447" s="14">
        <v>46187</v>
      </c>
      <c r="K447" s="14">
        <v>46187</v>
      </c>
      <c r="L447" s="15" t="s">
        <v>21</v>
      </c>
      <c r="M447" s="13"/>
      <c r="N447" s="16" t="s">
        <v>1417</v>
      </c>
    </row>
    <row r="448" spans="1:14" ht="24" x14ac:dyDescent="0.25">
      <c r="A448" s="8" t="s">
        <v>842</v>
      </c>
      <c r="B448" s="13"/>
      <c r="C448" s="13" t="s">
        <v>335</v>
      </c>
      <c r="D448" s="8">
        <v>509</v>
      </c>
      <c r="E448" s="13" t="s">
        <v>1418</v>
      </c>
      <c r="F448" s="8" t="s">
        <v>92</v>
      </c>
      <c r="G448" s="13"/>
      <c r="H448" s="8"/>
      <c r="I448" s="13" t="s">
        <v>75</v>
      </c>
      <c r="J448" s="14">
        <v>46187</v>
      </c>
      <c r="K448" s="14">
        <v>46187</v>
      </c>
      <c r="L448" s="15" t="s">
        <v>21</v>
      </c>
      <c r="M448" s="13"/>
      <c r="N448" s="16" t="s">
        <v>1419</v>
      </c>
    </row>
    <row r="449" spans="1:14" ht="24" x14ac:dyDescent="0.25">
      <c r="A449" s="8" t="s">
        <v>16</v>
      </c>
      <c r="B449" s="13" t="s">
        <v>52</v>
      </c>
      <c r="C449" s="13" t="s">
        <v>595</v>
      </c>
      <c r="D449" s="8">
        <v>510</v>
      </c>
      <c r="E449" s="13" t="s">
        <v>670</v>
      </c>
      <c r="F449" s="8" t="s">
        <v>72</v>
      </c>
      <c r="G449" s="13"/>
      <c r="H449" s="8"/>
      <c r="I449" s="13" t="s">
        <v>290</v>
      </c>
      <c r="J449" s="14">
        <v>46187</v>
      </c>
      <c r="K449" s="14">
        <v>46187</v>
      </c>
      <c r="L449" s="15" t="s">
        <v>21</v>
      </c>
      <c r="M449" s="13"/>
      <c r="N449" s="16" t="s">
        <v>671</v>
      </c>
    </row>
    <row r="450" spans="1:14" ht="24" x14ac:dyDescent="0.25">
      <c r="A450" s="8" t="s">
        <v>842</v>
      </c>
      <c r="B450" s="13"/>
      <c r="C450" s="13" t="s">
        <v>335</v>
      </c>
      <c r="D450" s="8">
        <v>511</v>
      </c>
      <c r="E450" s="13" t="s">
        <v>1420</v>
      </c>
      <c r="F450" s="8" t="s">
        <v>92</v>
      </c>
      <c r="G450" s="13"/>
      <c r="H450" s="8"/>
      <c r="I450" s="13" t="s">
        <v>75</v>
      </c>
      <c r="J450" s="14">
        <v>46187</v>
      </c>
      <c r="K450" s="14">
        <v>46187</v>
      </c>
      <c r="L450" s="15" t="s">
        <v>21</v>
      </c>
      <c r="M450" s="13"/>
      <c r="N450" s="16" t="s">
        <v>1421</v>
      </c>
    </row>
    <row r="451" spans="1:14" ht="24" x14ac:dyDescent="0.25">
      <c r="A451" s="8" t="s">
        <v>842</v>
      </c>
      <c r="B451" s="13"/>
      <c r="C451" s="13" t="s">
        <v>335</v>
      </c>
      <c r="D451" s="8">
        <v>512</v>
      </c>
      <c r="E451" s="13" t="s">
        <v>1422</v>
      </c>
      <c r="F451" s="8" t="s">
        <v>92</v>
      </c>
      <c r="G451" s="13"/>
      <c r="H451" s="8"/>
      <c r="I451" s="13" t="s">
        <v>75</v>
      </c>
      <c r="J451" s="14">
        <v>46187</v>
      </c>
      <c r="K451" s="14">
        <v>46187</v>
      </c>
      <c r="L451" s="15" t="s">
        <v>21</v>
      </c>
      <c r="M451" s="13"/>
      <c r="N451" s="16" t="s">
        <v>1423</v>
      </c>
    </row>
    <row r="452" spans="1:14" ht="24" x14ac:dyDescent="0.25">
      <c r="A452" s="8" t="s">
        <v>16</v>
      </c>
      <c r="B452" s="13" t="s">
        <v>52</v>
      </c>
      <c r="C452" s="13" t="s">
        <v>595</v>
      </c>
      <c r="D452" s="8">
        <v>513</v>
      </c>
      <c r="E452" s="13" t="s">
        <v>672</v>
      </c>
      <c r="F452" s="8" t="s">
        <v>72</v>
      </c>
      <c r="G452" s="13"/>
      <c r="H452" s="8"/>
      <c r="I452" s="13" t="s">
        <v>290</v>
      </c>
      <c r="J452" s="14">
        <v>46187</v>
      </c>
      <c r="K452" s="14">
        <v>46187</v>
      </c>
      <c r="L452" s="15" t="s">
        <v>21</v>
      </c>
      <c r="M452" s="13"/>
      <c r="N452" s="16" t="s">
        <v>673</v>
      </c>
    </row>
    <row r="453" spans="1:14" ht="24" x14ac:dyDescent="0.25">
      <c r="A453" s="8" t="s">
        <v>16</v>
      </c>
      <c r="B453" s="13" t="s">
        <v>52</v>
      </c>
      <c r="C453" s="13" t="s">
        <v>595</v>
      </c>
      <c r="D453" s="8">
        <v>514</v>
      </c>
      <c r="E453" s="13" t="s">
        <v>674</v>
      </c>
      <c r="F453" s="8" t="s">
        <v>253</v>
      </c>
      <c r="G453" s="13"/>
      <c r="H453" s="8"/>
      <c r="I453" s="13" t="s">
        <v>290</v>
      </c>
      <c r="J453" s="14">
        <v>46187</v>
      </c>
      <c r="K453" s="14">
        <v>46191</v>
      </c>
      <c r="L453" s="15" t="s">
        <v>21</v>
      </c>
      <c r="M453" s="13" t="s">
        <v>254</v>
      </c>
      <c r="N453" s="16" t="s">
        <v>675</v>
      </c>
    </row>
    <row r="454" spans="1:14" ht="25.5" x14ac:dyDescent="0.25">
      <c r="A454" s="8" t="s">
        <v>16</v>
      </c>
      <c r="B454" s="13" t="s">
        <v>52</v>
      </c>
      <c r="C454" s="13" t="s">
        <v>595</v>
      </c>
      <c r="D454" s="8">
        <v>515</v>
      </c>
      <c r="E454" s="13" t="s">
        <v>676</v>
      </c>
      <c r="F454" s="8" t="s">
        <v>253</v>
      </c>
      <c r="G454" s="13"/>
      <c r="H454" s="8"/>
      <c r="I454" s="13" t="s">
        <v>290</v>
      </c>
      <c r="J454" s="14">
        <v>46187</v>
      </c>
      <c r="K454" s="14">
        <v>46193</v>
      </c>
      <c r="L454" s="15" t="s">
        <v>21</v>
      </c>
      <c r="M454" s="13" t="s">
        <v>254</v>
      </c>
      <c r="N454" s="16" t="s">
        <v>677</v>
      </c>
    </row>
    <row r="455" spans="1:14" ht="24" x14ac:dyDescent="0.25">
      <c r="A455" s="8" t="s">
        <v>842</v>
      </c>
      <c r="B455" s="13"/>
      <c r="C455" s="13" t="s">
        <v>595</v>
      </c>
      <c r="D455" s="8">
        <v>516</v>
      </c>
      <c r="E455" s="13" t="s">
        <v>1424</v>
      </c>
      <c r="F455" s="8" t="s">
        <v>92</v>
      </c>
      <c r="G455" s="13"/>
      <c r="H455" s="8"/>
      <c r="I455" s="13" t="s">
        <v>75</v>
      </c>
      <c r="J455" s="14">
        <v>46188</v>
      </c>
      <c r="K455" s="14">
        <v>46188</v>
      </c>
      <c r="L455" s="15" t="s">
        <v>21</v>
      </c>
      <c r="M455" s="13"/>
      <c r="N455" s="16" t="s">
        <v>1425</v>
      </c>
    </row>
    <row r="456" spans="1:14" ht="24" x14ac:dyDescent="0.25">
      <c r="A456" s="8" t="s">
        <v>842</v>
      </c>
      <c r="B456" s="13"/>
      <c r="C456" s="13" t="s">
        <v>595</v>
      </c>
      <c r="D456" s="8">
        <v>517</v>
      </c>
      <c r="E456" s="13" t="s">
        <v>1426</v>
      </c>
      <c r="F456" s="8" t="s">
        <v>92</v>
      </c>
      <c r="G456" s="13"/>
      <c r="H456" s="8"/>
      <c r="I456" s="13" t="s">
        <v>75</v>
      </c>
      <c r="J456" s="14">
        <v>46188</v>
      </c>
      <c r="K456" s="14">
        <v>46188</v>
      </c>
      <c r="L456" s="15" t="s">
        <v>21</v>
      </c>
      <c r="M456" s="13"/>
      <c r="N456" s="16" t="s">
        <v>1427</v>
      </c>
    </row>
    <row r="457" spans="1:14" ht="24" x14ac:dyDescent="0.25">
      <c r="A457" s="8" t="s">
        <v>16</v>
      </c>
      <c r="B457" s="13" t="s">
        <v>52</v>
      </c>
      <c r="C457" s="13" t="s">
        <v>412</v>
      </c>
      <c r="D457" s="8">
        <v>518</v>
      </c>
      <c r="E457" s="13" t="s">
        <v>416</v>
      </c>
      <c r="F457" s="8" t="s">
        <v>92</v>
      </c>
      <c r="G457" s="13"/>
      <c r="H457" s="8"/>
      <c r="I457" s="13" t="s">
        <v>75</v>
      </c>
      <c r="J457" s="14">
        <v>46188</v>
      </c>
      <c r="K457" s="14">
        <v>46188</v>
      </c>
      <c r="L457" s="15" t="s">
        <v>21</v>
      </c>
      <c r="M457" s="13"/>
      <c r="N457" s="16" t="s">
        <v>417</v>
      </c>
    </row>
    <row r="458" spans="1:14" ht="24" x14ac:dyDescent="0.25">
      <c r="A458" s="8" t="s">
        <v>842</v>
      </c>
      <c r="B458" s="13"/>
      <c r="C458" s="13" t="s">
        <v>70</v>
      </c>
      <c r="D458" s="8">
        <v>519</v>
      </c>
      <c r="E458" s="13" t="s">
        <v>1428</v>
      </c>
      <c r="F458" s="8" t="s">
        <v>92</v>
      </c>
      <c r="G458" s="13"/>
      <c r="H458" s="8"/>
      <c r="I458" s="13" t="s">
        <v>75</v>
      </c>
      <c r="J458" s="14">
        <v>46188</v>
      </c>
      <c r="K458" s="14">
        <v>46188</v>
      </c>
      <c r="L458" s="15" t="s">
        <v>21</v>
      </c>
      <c r="M458" s="13"/>
      <c r="N458" s="16" t="s">
        <v>1429</v>
      </c>
    </row>
    <row r="459" spans="1:14" ht="24" x14ac:dyDescent="0.25">
      <c r="A459" s="8" t="s">
        <v>16</v>
      </c>
      <c r="B459" s="13" t="s">
        <v>52</v>
      </c>
      <c r="C459" s="13" t="s">
        <v>412</v>
      </c>
      <c r="D459" s="8">
        <v>520</v>
      </c>
      <c r="E459" s="13" t="s">
        <v>418</v>
      </c>
      <c r="F459" s="8" t="s">
        <v>92</v>
      </c>
      <c r="G459" s="13"/>
      <c r="H459" s="8"/>
      <c r="I459" s="13" t="s">
        <v>75</v>
      </c>
      <c r="J459" s="14">
        <v>46188</v>
      </c>
      <c r="K459" s="14">
        <v>46188</v>
      </c>
      <c r="L459" s="15" t="s">
        <v>21</v>
      </c>
      <c r="M459" s="13" t="s">
        <v>254</v>
      </c>
      <c r="N459" s="16" t="s">
        <v>419</v>
      </c>
    </row>
    <row r="460" spans="1:14" ht="24" x14ac:dyDescent="0.25">
      <c r="A460" s="8" t="s">
        <v>16</v>
      </c>
      <c r="B460" s="13" t="s">
        <v>52</v>
      </c>
      <c r="C460" s="13" t="s">
        <v>412</v>
      </c>
      <c r="D460" s="8">
        <v>521</v>
      </c>
      <c r="E460" s="13" t="s">
        <v>420</v>
      </c>
      <c r="F460" s="8" t="s">
        <v>92</v>
      </c>
      <c r="G460" s="13"/>
      <c r="H460" s="8"/>
      <c r="I460" s="13" t="s">
        <v>75</v>
      </c>
      <c r="J460" s="14">
        <v>46188</v>
      </c>
      <c r="K460" s="14">
        <v>46188</v>
      </c>
      <c r="L460" s="15" t="s">
        <v>21</v>
      </c>
      <c r="M460" s="13"/>
      <c r="N460" s="16" t="s">
        <v>421</v>
      </c>
    </row>
    <row r="461" spans="1:14" ht="24" x14ac:dyDescent="0.25">
      <c r="A461" s="8" t="s">
        <v>16</v>
      </c>
      <c r="B461" s="13" t="s">
        <v>52</v>
      </c>
      <c r="C461" s="13" t="s">
        <v>412</v>
      </c>
      <c r="D461" s="8">
        <v>522</v>
      </c>
      <c r="E461" s="13" t="s">
        <v>422</v>
      </c>
      <c r="F461" s="8" t="s">
        <v>92</v>
      </c>
      <c r="G461" s="13"/>
      <c r="H461" s="8"/>
      <c r="I461" s="13" t="s">
        <v>75</v>
      </c>
      <c r="J461" s="14">
        <v>46188</v>
      </c>
      <c r="K461" s="14">
        <v>46193</v>
      </c>
      <c r="L461" s="15" t="s">
        <v>21</v>
      </c>
      <c r="M461" s="13" t="s">
        <v>254</v>
      </c>
      <c r="N461" s="16" t="s">
        <v>423</v>
      </c>
    </row>
    <row r="462" spans="1:14" ht="24" x14ac:dyDescent="0.25">
      <c r="A462" s="8" t="s">
        <v>16</v>
      </c>
      <c r="B462" s="13" t="s">
        <v>52</v>
      </c>
      <c r="C462" s="13" t="s">
        <v>412</v>
      </c>
      <c r="D462" s="8">
        <v>523</v>
      </c>
      <c r="E462" s="13" t="s">
        <v>424</v>
      </c>
      <c r="F462" s="8" t="s">
        <v>92</v>
      </c>
      <c r="G462" s="13"/>
      <c r="H462" s="8"/>
      <c r="I462" s="13" t="s">
        <v>75</v>
      </c>
      <c r="J462" s="14">
        <v>46188</v>
      </c>
      <c r="K462" s="14">
        <v>46189</v>
      </c>
      <c r="L462" s="15" t="s">
        <v>21</v>
      </c>
      <c r="M462" s="13"/>
      <c r="N462" s="16" t="s">
        <v>425</v>
      </c>
    </row>
    <row r="463" spans="1:14" ht="24" x14ac:dyDescent="0.25">
      <c r="A463" s="8" t="s">
        <v>842</v>
      </c>
      <c r="B463" s="13"/>
      <c r="C463" s="13" t="s">
        <v>70</v>
      </c>
      <c r="D463" s="8">
        <v>524</v>
      </c>
      <c r="E463" s="13" t="s">
        <v>1430</v>
      </c>
      <c r="F463" s="8" t="s">
        <v>92</v>
      </c>
      <c r="G463" s="13"/>
      <c r="H463" s="8"/>
      <c r="I463" s="13" t="s">
        <v>75</v>
      </c>
      <c r="J463" s="14">
        <v>46188</v>
      </c>
      <c r="K463" s="14">
        <v>46199</v>
      </c>
      <c r="L463" s="15" t="s">
        <v>21</v>
      </c>
      <c r="M463" s="13"/>
      <c r="N463" s="16" t="s">
        <v>1431</v>
      </c>
    </row>
    <row r="464" spans="1:14" ht="24" x14ac:dyDescent="0.25">
      <c r="A464" s="8" t="s">
        <v>16</v>
      </c>
      <c r="B464" s="13" t="s">
        <v>52</v>
      </c>
      <c r="C464" s="13" t="s">
        <v>412</v>
      </c>
      <c r="D464" s="8">
        <v>525</v>
      </c>
      <c r="E464" s="13" t="s">
        <v>426</v>
      </c>
      <c r="F464" s="8" t="s">
        <v>92</v>
      </c>
      <c r="G464" s="13"/>
      <c r="H464" s="8"/>
      <c r="I464" s="13" t="s">
        <v>75</v>
      </c>
      <c r="J464" s="14">
        <v>46188</v>
      </c>
      <c r="K464" s="14">
        <v>46193</v>
      </c>
      <c r="L464" s="15" t="s">
        <v>21</v>
      </c>
      <c r="M464" s="13"/>
      <c r="N464" s="16" t="s">
        <v>427</v>
      </c>
    </row>
    <row r="465" spans="1:14" ht="24" x14ac:dyDescent="0.25">
      <c r="A465" s="8" t="s">
        <v>16</v>
      </c>
      <c r="B465" s="13" t="s">
        <v>52</v>
      </c>
      <c r="C465" s="13" t="s">
        <v>279</v>
      </c>
      <c r="D465" s="8">
        <v>526</v>
      </c>
      <c r="E465" s="13" t="s">
        <v>314</v>
      </c>
      <c r="F465" s="8" t="s">
        <v>92</v>
      </c>
      <c r="G465" s="13"/>
      <c r="H465" s="8"/>
      <c r="I465" s="13" t="s">
        <v>75</v>
      </c>
      <c r="J465" s="14">
        <v>46188</v>
      </c>
      <c r="K465" s="14">
        <v>46191</v>
      </c>
      <c r="L465" s="15" t="s">
        <v>21</v>
      </c>
      <c r="M465" s="13" t="s">
        <v>254</v>
      </c>
      <c r="N465" s="16" t="s">
        <v>315</v>
      </c>
    </row>
    <row r="466" spans="1:14" ht="24" x14ac:dyDescent="0.25">
      <c r="A466" s="8" t="s">
        <v>16</v>
      </c>
      <c r="B466" s="13" t="s">
        <v>52</v>
      </c>
      <c r="C466" s="13" t="s">
        <v>279</v>
      </c>
      <c r="D466" s="8">
        <v>527</v>
      </c>
      <c r="E466" s="13" t="s">
        <v>316</v>
      </c>
      <c r="F466" s="8" t="s">
        <v>92</v>
      </c>
      <c r="G466" s="13"/>
      <c r="H466" s="8"/>
      <c r="I466" s="13" t="s">
        <v>75</v>
      </c>
      <c r="J466" s="14">
        <v>46188</v>
      </c>
      <c r="K466" s="14">
        <v>46193</v>
      </c>
      <c r="L466" s="15" t="s">
        <v>21</v>
      </c>
      <c r="M466" s="13" t="s">
        <v>254</v>
      </c>
      <c r="N466" s="16" t="s">
        <v>317</v>
      </c>
    </row>
    <row r="467" spans="1:14" ht="24" x14ac:dyDescent="0.25">
      <c r="A467" s="8" t="s">
        <v>842</v>
      </c>
      <c r="B467" s="13"/>
      <c r="C467" s="13" t="s">
        <v>70</v>
      </c>
      <c r="D467" s="8">
        <v>528</v>
      </c>
      <c r="E467" s="13" t="s">
        <v>1432</v>
      </c>
      <c r="F467" s="8" t="s">
        <v>92</v>
      </c>
      <c r="G467" s="13"/>
      <c r="H467" s="8"/>
      <c r="I467" s="13" t="s">
        <v>75</v>
      </c>
      <c r="J467" s="14">
        <v>46188</v>
      </c>
      <c r="K467" s="14">
        <v>46198</v>
      </c>
      <c r="L467" s="15" t="s">
        <v>21</v>
      </c>
      <c r="M467" s="13"/>
      <c r="N467" s="16" t="s">
        <v>1433</v>
      </c>
    </row>
    <row r="468" spans="1:14" ht="24" x14ac:dyDescent="0.25">
      <c r="A468" s="8" t="s">
        <v>16</v>
      </c>
      <c r="B468" s="13" t="s">
        <v>52</v>
      </c>
      <c r="C468" s="13" t="s">
        <v>279</v>
      </c>
      <c r="D468" s="8">
        <v>529</v>
      </c>
      <c r="E468" s="13" t="s">
        <v>318</v>
      </c>
      <c r="F468" s="8" t="s">
        <v>92</v>
      </c>
      <c r="G468" s="13"/>
      <c r="H468" s="8"/>
      <c r="I468" s="13" t="s">
        <v>75</v>
      </c>
      <c r="J468" s="14">
        <v>46188</v>
      </c>
      <c r="K468" s="14">
        <v>46188</v>
      </c>
      <c r="L468" s="15" t="s">
        <v>21</v>
      </c>
      <c r="M468" s="13" t="s">
        <v>254</v>
      </c>
      <c r="N468" s="16" t="s">
        <v>319</v>
      </c>
    </row>
    <row r="469" spans="1:14" ht="24" x14ac:dyDescent="0.25">
      <c r="A469" s="8" t="s">
        <v>842</v>
      </c>
      <c r="B469" s="13"/>
      <c r="C469" s="13" t="s">
        <v>70</v>
      </c>
      <c r="D469" s="8">
        <v>530</v>
      </c>
      <c r="E469" s="13" t="s">
        <v>1434</v>
      </c>
      <c r="F469" s="8" t="s">
        <v>92</v>
      </c>
      <c r="G469" s="13"/>
      <c r="H469" s="8"/>
      <c r="I469" s="13" t="s">
        <v>75</v>
      </c>
      <c r="J469" s="14">
        <v>46188</v>
      </c>
      <c r="K469" s="14">
        <v>46188</v>
      </c>
      <c r="L469" s="15" t="s">
        <v>21</v>
      </c>
      <c r="M469" s="13"/>
      <c r="N469" s="16" t="s">
        <v>1435</v>
      </c>
    </row>
    <row r="470" spans="1:14" ht="24" x14ac:dyDescent="0.25">
      <c r="A470" s="8" t="s">
        <v>16</v>
      </c>
      <c r="B470" s="13" t="s">
        <v>52</v>
      </c>
      <c r="C470" s="13" t="s">
        <v>279</v>
      </c>
      <c r="D470" s="8">
        <v>531</v>
      </c>
      <c r="E470" s="13" t="s">
        <v>320</v>
      </c>
      <c r="F470" s="8" t="s">
        <v>92</v>
      </c>
      <c r="G470" s="13"/>
      <c r="H470" s="8"/>
      <c r="I470" s="13" t="s">
        <v>75</v>
      </c>
      <c r="J470" s="14">
        <v>46188</v>
      </c>
      <c r="K470" s="14">
        <v>46188</v>
      </c>
      <c r="L470" s="15" t="s">
        <v>21</v>
      </c>
      <c r="M470" s="13" t="s">
        <v>254</v>
      </c>
      <c r="N470" s="16" t="s">
        <v>321</v>
      </c>
    </row>
    <row r="471" spans="1:14" ht="24" x14ac:dyDescent="0.25">
      <c r="A471" s="8" t="s">
        <v>842</v>
      </c>
      <c r="B471" s="13"/>
      <c r="C471" s="13" t="s">
        <v>595</v>
      </c>
      <c r="D471" s="8">
        <v>532</v>
      </c>
      <c r="E471" s="13" t="s">
        <v>430</v>
      </c>
      <c r="F471" s="8" t="s">
        <v>92</v>
      </c>
      <c r="G471" s="13"/>
      <c r="H471" s="8"/>
      <c r="I471" s="13" t="s">
        <v>75</v>
      </c>
      <c r="J471" s="14">
        <v>46188</v>
      </c>
      <c r="K471" s="14">
        <v>46191</v>
      </c>
      <c r="L471" s="15" t="s">
        <v>21</v>
      </c>
      <c r="M471" s="13" t="s">
        <v>254</v>
      </c>
      <c r="N471" s="16" t="s">
        <v>1436</v>
      </c>
    </row>
    <row r="472" spans="1:14" ht="24" x14ac:dyDescent="0.25">
      <c r="A472" s="8" t="s">
        <v>842</v>
      </c>
      <c r="B472" s="13"/>
      <c r="C472" s="13" t="s">
        <v>279</v>
      </c>
      <c r="D472" s="8">
        <v>533</v>
      </c>
      <c r="E472" s="13" t="s">
        <v>1437</v>
      </c>
      <c r="F472" s="8" t="s">
        <v>92</v>
      </c>
      <c r="G472" s="13"/>
      <c r="H472" s="8"/>
      <c r="I472" s="13" t="s">
        <v>75</v>
      </c>
      <c r="J472" s="14">
        <v>46188</v>
      </c>
      <c r="K472" s="14">
        <v>46191</v>
      </c>
      <c r="L472" s="15" t="s">
        <v>21</v>
      </c>
      <c r="M472" s="13" t="s">
        <v>254</v>
      </c>
      <c r="N472" s="16" t="s">
        <v>1438</v>
      </c>
    </row>
    <row r="473" spans="1:14" ht="24" x14ac:dyDescent="0.25">
      <c r="A473" s="8" t="s">
        <v>842</v>
      </c>
      <c r="B473" s="13"/>
      <c r="C473" s="13" t="s">
        <v>279</v>
      </c>
      <c r="D473" s="8">
        <v>534</v>
      </c>
      <c r="E473" s="13" t="s">
        <v>1439</v>
      </c>
      <c r="F473" s="8" t="s">
        <v>92</v>
      </c>
      <c r="G473" s="13"/>
      <c r="H473" s="8"/>
      <c r="I473" s="13" t="s">
        <v>75</v>
      </c>
      <c r="J473" s="14">
        <v>46188</v>
      </c>
      <c r="K473" s="14">
        <v>46188</v>
      </c>
      <c r="L473" s="15" t="s">
        <v>21</v>
      </c>
      <c r="M473" s="13" t="s">
        <v>254</v>
      </c>
      <c r="N473" s="16" t="s">
        <v>1440</v>
      </c>
    </row>
    <row r="474" spans="1:14" ht="24" x14ac:dyDescent="0.25">
      <c r="A474" s="8" t="s">
        <v>842</v>
      </c>
      <c r="B474" s="13"/>
      <c r="C474" s="13" t="s">
        <v>279</v>
      </c>
      <c r="D474" s="8">
        <v>535</v>
      </c>
      <c r="E474" s="13" t="s">
        <v>1441</v>
      </c>
      <c r="F474" s="8" t="s">
        <v>92</v>
      </c>
      <c r="G474" s="13"/>
      <c r="H474" s="8"/>
      <c r="I474" s="13" t="s">
        <v>75</v>
      </c>
      <c r="J474" s="14">
        <v>46188</v>
      </c>
      <c r="K474" s="14">
        <v>46188</v>
      </c>
      <c r="L474" s="15" t="s">
        <v>21</v>
      </c>
      <c r="M474" s="13" t="s">
        <v>254</v>
      </c>
      <c r="N474" s="16" t="s">
        <v>1442</v>
      </c>
    </row>
    <row r="475" spans="1:14" ht="24" x14ac:dyDescent="0.25">
      <c r="A475" s="8" t="s">
        <v>842</v>
      </c>
      <c r="B475" s="13"/>
      <c r="C475" s="13" t="s">
        <v>595</v>
      </c>
      <c r="D475" s="8">
        <v>536</v>
      </c>
      <c r="E475" s="13" t="s">
        <v>1443</v>
      </c>
      <c r="F475" s="8" t="s">
        <v>92</v>
      </c>
      <c r="G475" s="13"/>
      <c r="H475" s="8"/>
      <c r="I475" s="13" t="s">
        <v>75</v>
      </c>
      <c r="J475" s="14">
        <v>46188</v>
      </c>
      <c r="K475" s="14">
        <v>46188</v>
      </c>
      <c r="L475" s="15" t="s">
        <v>21</v>
      </c>
      <c r="M475" s="13"/>
      <c r="N475" s="16" t="s">
        <v>1444</v>
      </c>
    </row>
    <row r="476" spans="1:14" ht="24" x14ac:dyDescent="0.25">
      <c r="A476" s="8" t="s">
        <v>842</v>
      </c>
      <c r="B476" s="13"/>
      <c r="C476" s="13" t="s">
        <v>279</v>
      </c>
      <c r="D476" s="8">
        <v>537</v>
      </c>
      <c r="E476" s="13" t="s">
        <v>1445</v>
      </c>
      <c r="F476" s="8" t="s">
        <v>92</v>
      </c>
      <c r="G476" s="13"/>
      <c r="H476" s="8"/>
      <c r="I476" s="13" t="s">
        <v>75</v>
      </c>
      <c r="J476" s="14">
        <v>46188</v>
      </c>
      <c r="K476" s="14">
        <v>46188</v>
      </c>
      <c r="L476" s="15" t="s">
        <v>21</v>
      </c>
      <c r="M476" s="13" t="s">
        <v>254</v>
      </c>
      <c r="N476" s="16" t="s">
        <v>1446</v>
      </c>
    </row>
    <row r="477" spans="1:14" ht="24" x14ac:dyDescent="0.25">
      <c r="A477" s="8" t="s">
        <v>842</v>
      </c>
      <c r="B477" s="13"/>
      <c r="C477" s="13" t="s">
        <v>595</v>
      </c>
      <c r="D477" s="8">
        <v>538</v>
      </c>
      <c r="E477" s="13" t="s">
        <v>1447</v>
      </c>
      <c r="F477" s="8" t="s">
        <v>92</v>
      </c>
      <c r="G477" s="13"/>
      <c r="H477" s="8"/>
      <c r="I477" s="13" t="s">
        <v>75</v>
      </c>
      <c r="J477" s="14">
        <v>46188</v>
      </c>
      <c r="K477" s="14">
        <v>46191</v>
      </c>
      <c r="L477" s="15" t="s">
        <v>21</v>
      </c>
      <c r="M477" s="13" t="s">
        <v>254</v>
      </c>
      <c r="N477" s="16" t="s">
        <v>1448</v>
      </c>
    </row>
    <row r="478" spans="1:14" ht="24" x14ac:dyDescent="0.25">
      <c r="A478" s="8" t="s">
        <v>842</v>
      </c>
      <c r="B478" s="13"/>
      <c r="C478" s="13" t="s">
        <v>70</v>
      </c>
      <c r="D478" s="8">
        <v>539</v>
      </c>
      <c r="E478" s="13" t="s">
        <v>1449</v>
      </c>
      <c r="F478" s="8" t="s">
        <v>92</v>
      </c>
      <c r="G478" s="13"/>
      <c r="H478" s="8"/>
      <c r="I478" s="13" t="s">
        <v>75</v>
      </c>
      <c r="J478" s="14">
        <v>46188</v>
      </c>
      <c r="K478" s="14">
        <v>46194</v>
      </c>
      <c r="L478" s="15" t="s">
        <v>21</v>
      </c>
      <c r="M478" s="13"/>
      <c r="N478" s="16" t="s">
        <v>1450</v>
      </c>
    </row>
    <row r="479" spans="1:14" ht="24" x14ac:dyDescent="0.25">
      <c r="A479" s="8" t="s">
        <v>842</v>
      </c>
      <c r="B479" s="13"/>
      <c r="C479" s="13" t="s">
        <v>595</v>
      </c>
      <c r="D479" s="8">
        <v>540</v>
      </c>
      <c r="E479" s="13" t="s">
        <v>1443</v>
      </c>
      <c r="F479" s="8" t="s">
        <v>92</v>
      </c>
      <c r="G479" s="13"/>
      <c r="H479" s="8"/>
      <c r="I479" s="13" t="s">
        <v>75</v>
      </c>
      <c r="J479" s="14">
        <v>46188</v>
      </c>
      <c r="K479" s="14">
        <v>46188</v>
      </c>
      <c r="L479" s="15" t="s">
        <v>21</v>
      </c>
      <c r="M479" s="13"/>
      <c r="N479" s="16" t="s">
        <v>1451</v>
      </c>
    </row>
    <row r="480" spans="1:14" ht="24" x14ac:dyDescent="0.25">
      <c r="A480" s="8" t="s">
        <v>16</v>
      </c>
      <c r="B480" s="13" t="s">
        <v>52</v>
      </c>
      <c r="C480" s="13" t="s">
        <v>279</v>
      </c>
      <c r="D480" s="8">
        <v>541</v>
      </c>
      <c r="E480" s="13" t="s">
        <v>322</v>
      </c>
      <c r="F480" s="8" t="s">
        <v>92</v>
      </c>
      <c r="G480" s="13"/>
      <c r="H480" s="8"/>
      <c r="I480" s="13" t="s">
        <v>75</v>
      </c>
      <c r="J480" s="14">
        <v>46188</v>
      </c>
      <c r="K480" s="14">
        <v>46188</v>
      </c>
      <c r="L480" s="15" t="s">
        <v>21</v>
      </c>
      <c r="M480" s="13"/>
      <c r="N480" s="16" t="s">
        <v>323</v>
      </c>
    </row>
    <row r="481" spans="1:14" ht="24" x14ac:dyDescent="0.25">
      <c r="A481" s="8" t="s">
        <v>842</v>
      </c>
      <c r="B481" s="13"/>
      <c r="C481" s="13" t="s">
        <v>279</v>
      </c>
      <c r="D481" s="8">
        <v>542</v>
      </c>
      <c r="E481" s="13" t="s">
        <v>1452</v>
      </c>
      <c r="F481" s="8" t="s">
        <v>92</v>
      </c>
      <c r="G481" s="13"/>
      <c r="H481" s="8"/>
      <c r="I481" s="13" t="s">
        <v>75</v>
      </c>
      <c r="J481" s="14">
        <v>46188</v>
      </c>
      <c r="K481" s="14">
        <v>46188</v>
      </c>
      <c r="L481" s="15" t="s">
        <v>21</v>
      </c>
      <c r="M481" s="13" t="s">
        <v>254</v>
      </c>
      <c r="N481" s="16" t="s">
        <v>1453</v>
      </c>
    </row>
    <row r="482" spans="1:14" ht="24" x14ac:dyDescent="0.25">
      <c r="A482" s="8" t="s">
        <v>842</v>
      </c>
      <c r="B482" s="13"/>
      <c r="C482" s="13" t="s">
        <v>70</v>
      </c>
      <c r="D482" s="8">
        <v>543</v>
      </c>
      <c r="E482" s="13" t="s">
        <v>1454</v>
      </c>
      <c r="F482" s="8" t="s">
        <v>92</v>
      </c>
      <c r="G482" s="13"/>
      <c r="H482" s="8"/>
      <c r="I482" s="13" t="s">
        <v>75</v>
      </c>
      <c r="J482" s="14">
        <v>46188</v>
      </c>
      <c r="K482" s="14">
        <v>46198</v>
      </c>
      <c r="L482" s="15" t="s">
        <v>21</v>
      </c>
      <c r="M482" s="13"/>
      <c r="N482" s="16" t="s">
        <v>1455</v>
      </c>
    </row>
    <row r="483" spans="1:14" ht="24" x14ac:dyDescent="0.25">
      <c r="A483" s="8" t="s">
        <v>16</v>
      </c>
      <c r="B483" s="13" t="s">
        <v>52</v>
      </c>
      <c r="C483" s="13" t="s">
        <v>412</v>
      </c>
      <c r="D483" s="8">
        <v>544</v>
      </c>
      <c r="E483" s="13" t="s">
        <v>428</v>
      </c>
      <c r="F483" s="8" t="s">
        <v>92</v>
      </c>
      <c r="G483" s="13"/>
      <c r="H483" s="8"/>
      <c r="I483" s="13" t="s">
        <v>75</v>
      </c>
      <c r="J483" s="14">
        <v>46188</v>
      </c>
      <c r="K483" s="14">
        <v>46188</v>
      </c>
      <c r="L483" s="15" t="s">
        <v>21</v>
      </c>
      <c r="M483" s="13"/>
      <c r="N483" s="16" t="s">
        <v>429</v>
      </c>
    </row>
    <row r="484" spans="1:14" ht="24" x14ac:dyDescent="0.25">
      <c r="A484" s="8" t="s">
        <v>16</v>
      </c>
      <c r="B484" s="13" t="s">
        <v>52</v>
      </c>
      <c r="C484" s="13" t="s">
        <v>335</v>
      </c>
      <c r="D484" s="8">
        <v>545</v>
      </c>
      <c r="E484" s="13" t="s">
        <v>343</v>
      </c>
      <c r="F484" s="8" t="s">
        <v>72</v>
      </c>
      <c r="G484" s="13"/>
      <c r="H484" s="8"/>
      <c r="I484" s="13" t="s">
        <v>290</v>
      </c>
      <c r="J484" s="14">
        <v>46188</v>
      </c>
      <c r="K484" s="14">
        <v>46193</v>
      </c>
      <c r="L484" s="15" t="s">
        <v>21</v>
      </c>
      <c r="M484" s="13"/>
      <c r="N484" s="16" t="s">
        <v>344</v>
      </c>
    </row>
    <row r="485" spans="1:14" ht="24" x14ac:dyDescent="0.25">
      <c r="A485" s="8" t="s">
        <v>16</v>
      </c>
      <c r="B485" s="13" t="s">
        <v>52</v>
      </c>
      <c r="C485" s="13" t="s">
        <v>335</v>
      </c>
      <c r="D485" s="8">
        <v>546</v>
      </c>
      <c r="E485" s="13" t="s">
        <v>345</v>
      </c>
      <c r="F485" s="8" t="s">
        <v>72</v>
      </c>
      <c r="G485" s="13"/>
      <c r="H485" s="8"/>
      <c r="I485" s="13" t="s">
        <v>290</v>
      </c>
      <c r="J485" s="14">
        <v>46188</v>
      </c>
      <c r="K485" s="14">
        <v>46188</v>
      </c>
      <c r="L485" s="15" t="s">
        <v>21</v>
      </c>
      <c r="M485" s="13"/>
      <c r="N485" s="16" t="s">
        <v>346</v>
      </c>
    </row>
    <row r="486" spans="1:14" ht="24" x14ac:dyDescent="0.25">
      <c r="A486" s="8" t="s">
        <v>842</v>
      </c>
      <c r="B486" s="13"/>
      <c r="C486" s="13" t="s">
        <v>335</v>
      </c>
      <c r="D486" s="8">
        <v>547</v>
      </c>
      <c r="E486" s="13" t="s">
        <v>1456</v>
      </c>
      <c r="F486" s="8" t="s">
        <v>92</v>
      </c>
      <c r="G486" s="13"/>
      <c r="H486" s="8"/>
      <c r="I486" s="13" t="s">
        <v>75</v>
      </c>
      <c r="J486" s="14">
        <v>46188</v>
      </c>
      <c r="K486" s="14">
        <v>46188</v>
      </c>
      <c r="L486" s="15" t="s">
        <v>21</v>
      </c>
      <c r="M486" s="13"/>
      <c r="N486" s="16" t="s">
        <v>1457</v>
      </c>
    </row>
    <row r="487" spans="1:14" ht="24" x14ac:dyDescent="0.25">
      <c r="A487" s="8" t="s">
        <v>16</v>
      </c>
      <c r="B487" s="13" t="s">
        <v>52</v>
      </c>
      <c r="C487" s="13" t="s">
        <v>335</v>
      </c>
      <c r="D487" s="8">
        <v>548</v>
      </c>
      <c r="E487" s="13" t="s">
        <v>347</v>
      </c>
      <c r="F487" s="8" t="s">
        <v>72</v>
      </c>
      <c r="G487" s="13"/>
      <c r="H487" s="8"/>
      <c r="I487" s="13" t="s">
        <v>290</v>
      </c>
      <c r="J487" s="14">
        <v>46188</v>
      </c>
      <c r="K487" s="14">
        <v>46188</v>
      </c>
      <c r="L487" s="15" t="s">
        <v>21</v>
      </c>
      <c r="M487" s="13"/>
      <c r="N487" s="16" t="s">
        <v>348</v>
      </c>
    </row>
    <row r="488" spans="1:14" ht="24" x14ac:dyDescent="0.25">
      <c r="A488" s="8" t="s">
        <v>16</v>
      </c>
      <c r="B488" s="13" t="s">
        <v>52</v>
      </c>
      <c r="C488" s="13" t="s">
        <v>335</v>
      </c>
      <c r="D488" s="8">
        <v>549</v>
      </c>
      <c r="E488" s="13" t="s">
        <v>349</v>
      </c>
      <c r="F488" s="8" t="s">
        <v>72</v>
      </c>
      <c r="G488" s="13"/>
      <c r="H488" s="8"/>
      <c r="I488" s="13" t="s">
        <v>290</v>
      </c>
      <c r="J488" s="14">
        <v>46188</v>
      </c>
      <c r="K488" s="14">
        <v>46188</v>
      </c>
      <c r="L488" s="15" t="s">
        <v>21</v>
      </c>
      <c r="M488" s="13"/>
      <c r="N488" s="16" t="s">
        <v>350</v>
      </c>
    </row>
    <row r="489" spans="1:14" ht="24" x14ac:dyDescent="0.25">
      <c r="A489" s="8" t="s">
        <v>16</v>
      </c>
      <c r="B489" s="13" t="s">
        <v>52</v>
      </c>
      <c r="C489" s="13" t="s">
        <v>335</v>
      </c>
      <c r="D489" s="8">
        <v>550</v>
      </c>
      <c r="E489" s="13" t="s">
        <v>351</v>
      </c>
      <c r="F489" s="8" t="s">
        <v>72</v>
      </c>
      <c r="G489" s="13"/>
      <c r="H489" s="8"/>
      <c r="I489" s="13" t="s">
        <v>290</v>
      </c>
      <c r="J489" s="14">
        <v>46188</v>
      </c>
      <c r="K489" s="14">
        <v>46193</v>
      </c>
      <c r="L489" s="15" t="s">
        <v>21</v>
      </c>
      <c r="M489" s="13"/>
      <c r="N489" s="16" t="s">
        <v>352</v>
      </c>
    </row>
    <row r="490" spans="1:14" ht="24" x14ac:dyDescent="0.25">
      <c r="A490" s="8" t="s">
        <v>16</v>
      </c>
      <c r="B490" s="13" t="s">
        <v>52</v>
      </c>
      <c r="C490" s="13" t="s">
        <v>335</v>
      </c>
      <c r="D490" s="8">
        <v>551</v>
      </c>
      <c r="E490" s="13" t="s">
        <v>353</v>
      </c>
      <c r="F490" s="8" t="s">
        <v>72</v>
      </c>
      <c r="G490" s="13"/>
      <c r="H490" s="8"/>
      <c r="I490" s="13" t="s">
        <v>290</v>
      </c>
      <c r="J490" s="14">
        <v>46188</v>
      </c>
      <c r="K490" s="14">
        <v>46188</v>
      </c>
      <c r="L490" s="15" t="s">
        <v>21</v>
      </c>
      <c r="M490" s="13"/>
      <c r="N490" s="16" t="s">
        <v>354</v>
      </c>
    </row>
    <row r="491" spans="1:14" ht="24" x14ac:dyDescent="0.25">
      <c r="A491" s="8" t="s">
        <v>842</v>
      </c>
      <c r="B491" s="13"/>
      <c r="C491" s="13" t="s">
        <v>335</v>
      </c>
      <c r="D491" s="8">
        <v>552</v>
      </c>
      <c r="E491" s="13" t="s">
        <v>1458</v>
      </c>
      <c r="F491" s="8" t="s">
        <v>92</v>
      </c>
      <c r="G491" s="13"/>
      <c r="H491" s="8"/>
      <c r="I491" s="13" t="s">
        <v>75</v>
      </c>
      <c r="J491" s="14">
        <v>46188</v>
      </c>
      <c r="K491" s="14">
        <v>46193</v>
      </c>
      <c r="L491" s="17" t="s">
        <v>23</v>
      </c>
      <c r="M491" s="13" t="s">
        <v>200</v>
      </c>
      <c r="N491" s="16" t="s">
        <v>1459</v>
      </c>
    </row>
    <row r="492" spans="1:14" ht="24" x14ac:dyDescent="0.25">
      <c r="A492" s="8" t="s">
        <v>16</v>
      </c>
      <c r="B492" s="13" t="s">
        <v>52</v>
      </c>
      <c r="C492" s="13" t="s">
        <v>335</v>
      </c>
      <c r="D492" s="8">
        <v>553</v>
      </c>
      <c r="E492" s="13" t="s">
        <v>355</v>
      </c>
      <c r="F492" s="8" t="s">
        <v>72</v>
      </c>
      <c r="G492" s="13"/>
      <c r="H492" s="8"/>
      <c r="I492" s="13" t="s">
        <v>290</v>
      </c>
      <c r="J492" s="14">
        <v>46188</v>
      </c>
      <c r="K492" s="14">
        <v>46189</v>
      </c>
      <c r="L492" s="15" t="s">
        <v>21</v>
      </c>
      <c r="M492" s="13"/>
      <c r="N492" s="16" t="s">
        <v>356</v>
      </c>
    </row>
    <row r="493" spans="1:14" ht="24" x14ac:dyDescent="0.25">
      <c r="A493" s="8" t="s">
        <v>16</v>
      </c>
      <c r="B493" s="13" t="s">
        <v>52</v>
      </c>
      <c r="C493" s="13" t="s">
        <v>335</v>
      </c>
      <c r="D493" s="8">
        <v>554</v>
      </c>
      <c r="E493" s="13" t="s">
        <v>357</v>
      </c>
      <c r="F493" s="8" t="s">
        <v>72</v>
      </c>
      <c r="G493" s="13"/>
      <c r="H493" s="8"/>
      <c r="I493" s="13" t="s">
        <v>290</v>
      </c>
      <c r="J493" s="14">
        <v>46188</v>
      </c>
      <c r="K493" s="14">
        <v>46188</v>
      </c>
      <c r="L493" s="15" t="s">
        <v>21</v>
      </c>
      <c r="M493" s="13"/>
      <c r="N493" s="16" t="s">
        <v>358</v>
      </c>
    </row>
    <row r="494" spans="1:14" ht="24" x14ac:dyDescent="0.25">
      <c r="A494" s="8" t="s">
        <v>842</v>
      </c>
      <c r="B494" s="13"/>
      <c r="C494" s="13" t="s">
        <v>335</v>
      </c>
      <c r="D494" s="8">
        <v>555</v>
      </c>
      <c r="E494" s="13" t="s">
        <v>1460</v>
      </c>
      <c r="F494" s="8" t="s">
        <v>92</v>
      </c>
      <c r="G494" s="13"/>
      <c r="H494" s="8"/>
      <c r="I494" s="13" t="s">
        <v>75</v>
      </c>
      <c r="J494" s="14">
        <v>46188</v>
      </c>
      <c r="K494" s="14">
        <v>46188</v>
      </c>
      <c r="L494" s="15" t="s">
        <v>21</v>
      </c>
      <c r="M494" s="13"/>
      <c r="N494" s="16" t="s">
        <v>1461</v>
      </c>
    </row>
    <row r="495" spans="1:14" ht="24" x14ac:dyDescent="0.25">
      <c r="A495" s="8" t="s">
        <v>842</v>
      </c>
      <c r="B495" s="13"/>
      <c r="C495" s="13" t="s">
        <v>335</v>
      </c>
      <c r="D495" s="8">
        <v>556</v>
      </c>
      <c r="E495" s="13" t="s">
        <v>1462</v>
      </c>
      <c r="F495" s="8" t="s">
        <v>92</v>
      </c>
      <c r="G495" s="13"/>
      <c r="H495" s="8"/>
      <c r="I495" s="13" t="s">
        <v>75</v>
      </c>
      <c r="J495" s="14">
        <v>46188</v>
      </c>
      <c r="K495" s="14">
        <v>46188</v>
      </c>
      <c r="L495" s="15" t="s">
        <v>21</v>
      </c>
      <c r="M495" s="13"/>
      <c r="N495" s="16" t="s">
        <v>1463</v>
      </c>
    </row>
    <row r="496" spans="1:14" ht="24" x14ac:dyDescent="0.25">
      <c r="A496" s="8" t="s">
        <v>842</v>
      </c>
      <c r="B496" s="13"/>
      <c r="C496" s="13" t="s">
        <v>335</v>
      </c>
      <c r="D496" s="8">
        <v>557</v>
      </c>
      <c r="E496" s="13" t="s">
        <v>1464</v>
      </c>
      <c r="F496" s="8" t="s">
        <v>92</v>
      </c>
      <c r="G496" s="13"/>
      <c r="H496" s="8"/>
      <c r="I496" s="13" t="s">
        <v>75</v>
      </c>
      <c r="J496" s="14">
        <v>46188</v>
      </c>
      <c r="K496" s="14">
        <v>46188</v>
      </c>
      <c r="L496" s="15" t="s">
        <v>21</v>
      </c>
      <c r="M496" s="13"/>
      <c r="N496" s="16" t="s">
        <v>1465</v>
      </c>
    </row>
    <row r="497" spans="1:14" ht="24" x14ac:dyDescent="0.25">
      <c r="A497" s="8" t="s">
        <v>842</v>
      </c>
      <c r="B497" s="13"/>
      <c r="C497" s="13" t="s">
        <v>335</v>
      </c>
      <c r="D497" s="8">
        <v>558</v>
      </c>
      <c r="E497" s="13" t="s">
        <v>1466</v>
      </c>
      <c r="F497" s="8" t="s">
        <v>92</v>
      </c>
      <c r="G497" s="13"/>
      <c r="H497" s="8"/>
      <c r="I497" s="13" t="s">
        <v>75</v>
      </c>
      <c r="J497" s="14">
        <v>46188</v>
      </c>
      <c r="K497" s="14">
        <v>46188</v>
      </c>
      <c r="L497" s="15" t="s">
        <v>21</v>
      </c>
      <c r="M497" s="13"/>
      <c r="N497" s="16" t="s">
        <v>1467</v>
      </c>
    </row>
    <row r="498" spans="1:14" ht="24" x14ac:dyDescent="0.25">
      <c r="A498" s="8" t="s">
        <v>16</v>
      </c>
      <c r="B498" s="13" t="s">
        <v>52</v>
      </c>
      <c r="C498" s="13" t="s">
        <v>595</v>
      </c>
      <c r="D498" s="8">
        <v>559</v>
      </c>
      <c r="E498" s="13" t="s">
        <v>678</v>
      </c>
      <c r="F498" s="8" t="s">
        <v>72</v>
      </c>
      <c r="G498" s="13"/>
      <c r="H498" s="8"/>
      <c r="I498" s="13" t="s">
        <v>290</v>
      </c>
      <c r="J498" s="14">
        <v>46188</v>
      </c>
      <c r="K498" s="14">
        <v>46188</v>
      </c>
      <c r="L498" s="15" t="s">
        <v>21</v>
      </c>
      <c r="M498" s="13"/>
      <c r="N498" s="16" t="s">
        <v>679</v>
      </c>
    </row>
    <row r="499" spans="1:14" ht="25.5" x14ac:dyDescent="0.25">
      <c r="A499" s="8" t="s">
        <v>16</v>
      </c>
      <c r="B499" s="13" t="s">
        <v>52</v>
      </c>
      <c r="C499" s="13" t="s">
        <v>595</v>
      </c>
      <c r="D499" s="8">
        <v>560</v>
      </c>
      <c r="E499" s="13" t="s">
        <v>680</v>
      </c>
      <c r="F499" s="8" t="s">
        <v>72</v>
      </c>
      <c r="G499" s="13"/>
      <c r="H499" s="8"/>
      <c r="I499" s="13" t="s">
        <v>290</v>
      </c>
      <c r="J499" s="14">
        <v>46188</v>
      </c>
      <c r="K499" s="14">
        <v>46189</v>
      </c>
      <c r="L499" s="15" t="s">
        <v>21</v>
      </c>
      <c r="M499" s="13"/>
      <c r="N499" s="16" t="s">
        <v>681</v>
      </c>
    </row>
    <row r="500" spans="1:14" ht="24" x14ac:dyDescent="0.25">
      <c r="A500" s="8" t="s">
        <v>16</v>
      </c>
      <c r="B500" s="13" t="s">
        <v>52</v>
      </c>
      <c r="C500" s="13" t="s">
        <v>595</v>
      </c>
      <c r="D500" s="8">
        <v>561</v>
      </c>
      <c r="E500" s="13" t="s">
        <v>682</v>
      </c>
      <c r="F500" s="8" t="s">
        <v>72</v>
      </c>
      <c r="G500" s="13"/>
      <c r="H500" s="8"/>
      <c r="I500" s="13" t="s">
        <v>290</v>
      </c>
      <c r="J500" s="14">
        <v>46188</v>
      </c>
      <c r="K500" s="14">
        <v>46193</v>
      </c>
      <c r="L500" s="15" t="s">
        <v>21</v>
      </c>
      <c r="M500" s="13"/>
      <c r="N500" s="16" t="s">
        <v>683</v>
      </c>
    </row>
    <row r="501" spans="1:14" ht="24" x14ac:dyDescent="0.25">
      <c r="A501" s="8" t="s">
        <v>842</v>
      </c>
      <c r="B501" s="13"/>
      <c r="C501" s="13" t="s">
        <v>412</v>
      </c>
      <c r="D501" s="8">
        <v>562</v>
      </c>
      <c r="E501" s="13" t="s">
        <v>1468</v>
      </c>
      <c r="F501" s="8" t="s">
        <v>92</v>
      </c>
      <c r="G501" s="13"/>
      <c r="H501" s="8"/>
      <c r="I501" s="13" t="s">
        <v>75</v>
      </c>
      <c r="J501" s="14">
        <v>46189</v>
      </c>
      <c r="K501" s="14">
        <v>46189</v>
      </c>
      <c r="L501" s="15" t="s">
        <v>21</v>
      </c>
      <c r="M501" s="13"/>
      <c r="N501" s="16" t="s">
        <v>1469</v>
      </c>
    </row>
    <row r="502" spans="1:14" ht="24" x14ac:dyDescent="0.25">
      <c r="A502" s="8" t="s">
        <v>842</v>
      </c>
      <c r="B502" s="13"/>
      <c r="C502" s="13" t="s">
        <v>595</v>
      </c>
      <c r="D502" s="8">
        <v>563</v>
      </c>
      <c r="E502" s="13" t="s">
        <v>1468</v>
      </c>
      <c r="F502" s="8" t="s">
        <v>92</v>
      </c>
      <c r="G502" s="13"/>
      <c r="H502" s="8"/>
      <c r="I502" s="13" t="s">
        <v>75</v>
      </c>
      <c r="J502" s="14">
        <v>46189</v>
      </c>
      <c r="K502" s="14">
        <v>46189</v>
      </c>
      <c r="L502" s="15" t="s">
        <v>21</v>
      </c>
      <c r="M502" s="13"/>
      <c r="N502" s="16" t="s">
        <v>1470</v>
      </c>
    </row>
    <row r="503" spans="1:14" ht="24" x14ac:dyDescent="0.25">
      <c r="A503" s="8" t="s">
        <v>842</v>
      </c>
      <c r="B503" s="13"/>
      <c r="C503" s="13" t="s">
        <v>70</v>
      </c>
      <c r="D503" s="8">
        <v>564</v>
      </c>
      <c r="E503" s="13" t="s">
        <v>1471</v>
      </c>
      <c r="F503" s="8" t="s">
        <v>72</v>
      </c>
      <c r="G503" s="13"/>
      <c r="H503" s="8"/>
      <c r="I503" s="13" t="s">
        <v>290</v>
      </c>
      <c r="J503" s="14">
        <v>46189</v>
      </c>
      <c r="K503" s="14">
        <v>46189</v>
      </c>
      <c r="L503" s="15" t="s">
        <v>21</v>
      </c>
      <c r="M503" s="13"/>
      <c r="N503" s="16" t="s">
        <v>1472</v>
      </c>
    </row>
    <row r="504" spans="1:14" ht="24" x14ac:dyDescent="0.25">
      <c r="A504" s="8" t="s">
        <v>842</v>
      </c>
      <c r="B504" s="13"/>
      <c r="C504" s="13" t="s">
        <v>412</v>
      </c>
      <c r="D504" s="8">
        <v>565</v>
      </c>
      <c r="E504" s="13" t="s">
        <v>1468</v>
      </c>
      <c r="F504" s="8" t="s">
        <v>92</v>
      </c>
      <c r="G504" s="13"/>
      <c r="H504" s="8"/>
      <c r="I504" s="13" t="s">
        <v>75</v>
      </c>
      <c r="J504" s="14">
        <v>46189</v>
      </c>
      <c r="K504" s="14">
        <v>46193</v>
      </c>
      <c r="L504" s="15" t="s">
        <v>21</v>
      </c>
      <c r="M504" s="13"/>
      <c r="N504" s="16" t="s">
        <v>1473</v>
      </c>
    </row>
    <row r="505" spans="1:14" ht="24" x14ac:dyDescent="0.25">
      <c r="A505" s="8" t="s">
        <v>842</v>
      </c>
      <c r="B505" s="13"/>
      <c r="C505" s="13" t="s">
        <v>412</v>
      </c>
      <c r="D505" s="8">
        <v>566</v>
      </c>
      <c r="E505" s="13" t="s">
        <v>1468</v>
      </c>
      <c r="F505" s="8" t="s">
        <v>92</v>
      </c>
      <c r="G505" s="13"/>
      <c r="H505" s="8"/>
      <c r="I505" s="13" t="s">
        <v>75</v>
      </c>
      <c r="J505" s="14">
        <v>46189</v>
      </c>
      <c r="K505" s="14">
        <v>46193</v>
      </c>
      <c r="L505" s="15" t="s">
        <v>21</v>
      </c>
      <c r="M505" s="13"/>
      <c r="N505" s="16" t="s">
        <v>1474</v>
      </c>
    </row>
    <row r="506" spans="1:14" ht="24" x14ac:dyDescent="0.25">
      <c r="A506" s="8" t="s">
        <v>16</v>
      </c>
      <c r="B506" s="13" t="s">
        <v>52</v>
      </c>
      <c r="C506" s="13" t="s">
        <v>279</v>
      </c>
      <c r="D506" s="8">
        <v>567</v>
      </c>
      <c r="E506" s="13" t="s">
        <v>324</v>
      </c>
      <c r="F506" s="8" t="s">
        <v>92</v>
      </c>
      <c r="G506" s="13"/>
      <c r="H506" s="8"/>
      <c r="I506" s="13" t="s">
        <v>75</v>
      </c>
      <c r="J506" s="14">
        <v>46189</v>
      </c>
      <c r="K506" s="14">
        <v>46192</v>
      </c>
      <c r="L506" s="15" t="s">
        <v>21</v>
      </c>
      <c r="M506" s="13"/>
      <c r="N506" s="16" t="s">
        <v>325</v>
      </c>
    </row>
    <row r="507" spans="1:14" ht="24" x14ac:dyDescent="0.25">
      <c r="A507" s="8" t="s">
        <v>842</v>
      </c>
      <c r="B507" s="13"/>
      <c r="C507" s="13" t="s">
        <v>412</v>
      </c>
      <c r="D507" s="8">
        <v>568</v>
      </c>
      <c r="E507" s="13" t="s">
        <v>1475</v>
      </c>
      <c r="F507" s="8" t="s">
        <v>92</v>
      </c>
      <c r="G507" s="13"/>
      <c r="H507" s="8"/>
      <c r="I507" s="13" t="s">
        <v>75</v>
      </c>
      <c r="J507" s="14">
        <v>46189</v>
      </c>
      <c r="K507" s="14">
        <v>46189</v>
      </c>
      <c r="L507" s="15" t="s">
        <v>21</v>
      </c>
      <c r="M507" s="13"/>
      <c r="N507" s="16" t="s">
        <v>1476</v>
      </c>
    </row>
    <row r="508" spans="1:14" ht="24" x14ac:dyDescent="0.25">
      <c r="A508" s="8" t="s">
        <v>842</v>
      </c>
      <c r="B508" s="13"/>
      <c r="C508" s="13" t="s">
        <v>335</v>
      </c>
      <c r="D508" s="8">
        <v>569</v>
      </c>
      <c r="E508" s="13" t="s">
        <v>1477</v>
      </c>
      <c r="F508" s="8" t="s">
        <v>92</v>
      </c>
      <c r="G508" s="13"/>
      <c r="H508" s="8"/>
      <c r="I508" s="13" t="s">
        <v>75</v>
      </c>
      <c r="J508" s="14">
        <v>46189</v>
      </c>
      <c r="K508" s="14">
        <v>46189</v>
      </c>
      <c r="L508" s="15" t="s">
        <v>21</v>
      </c>
      <c r="M508" s="13"/>
      <c r="N508" s="16" t="s">
        <v>1478</v>
      </c>
    </row>
    <row r="509" spans="1:14" ht="24" x14ac:dyDescent="0.25">
      <c r="A509" s="8" t="s">
        <v>842</v>
      </c>
      <c r="B509" s="13"/>
      <c r="C509" s="13" t="s">
        <v>412</v>
      </c>
      <c r="D509" s="8">
        <v>570</v>
      </c>
      <c r="E509" s="13" t="s">
        <v>1479</v>
      </c>
      <c r="F509" s="8" t="s">
        <v>92</v>
      </c>
      <c r="G509" s="13"/>
      <c r="H509" s="8"/>
      <c r="I509" s="13" t="s">
        <v>75</v>
      </c>
      <c r="J509" s="14">
        <v>46189</v>
      </c>
      <c r="K509" s="14">
        <v>46189</v>
      </c>
      <c r="L509" s="15" t="s">
        <v>21</v>
      </c>
      <c r="M509" s="13"/>
      <c r="N509" s="16" t="s">
        <v>1480</v>
      </c>
    </row>
    <row r="510" spans="1:14" ht="24" x14ac:dyDescent="0.25">
      <c r="A510" s="8" t="s">
        <v>842</v>
      </c>
      <c r="B510" s="13"/>
      <c r="C510" s="13" t="s">
        <v>412</v>
      </c>
      <c r="D510" s="8">
        <v>571</v>
      </c>
      <c r="E510" s="13" t="s">
        <v>1481</v>
      </c>
      <c r="F510" s="8" t="s">
        <v>92</v>
      </c>
      <c r="G510" s="13"/>
      <c r="H510" s="8"/>
      <c r="I510" s="13" t="s">
        <v>75</v>
      </c>
      <c r="J510" s="14">
        <v>46189</v>
      </c>
      <c r="K510" s="14">
        <v>46189</v>
      </c>
      <c r="L510" s="15" t="s">
        <v>21</v>
      </c>
      <c r="M510" s="13"/>
      <c r="N510" s="16" t="s">
        <v>1482</v>
      </c>
    </row>
    <row r="511" spans="1:14" ht="24" x14ac:dyDescent="0.25">
      <c r="A511" s="8" t="s">
        <v>842</v>
      </c>
      <c r="B511" s="13"/>
      <c r="C511" s="13" t="s">
        <v>412</v>
      </c>
      <c r="D511" s="8">
        <v>572</v>
      </c>
      <c r="E511" s="13" t="s">
        <v>1483</v>
      </c>
      <c r="F511" s="8" t="s">
        <v>92</v>
      </c>
      <c r="G511" s="13"/>
      <c r="H511" s="8"/>
      <c r="I511" s="13" t="s">
        <v>75</v>
      </c>
      <c r="J511" s="14">
        <v>46189</v>
      </c>
      <c r="K511" s="14">
        <v>46189</v>
      </c>
      <c r="L511" s="15" t="s">
        <v>21</v>
      </c>
      <c r="M511" s="13"/>
      <c r="N511" s="16" t="s">
        <v>1484</v>
      </c>
    </row>
    <row r="512" spans="1:14" ht="24" x14ac:dyDescent="0.25">
      <c r="A512" s="8" t="s">
        <v>842</v>
      </c>
      <c r="B512" s="13"/>
      <c r="C512" s="13" t="s">
        <v>412</v>
      </c>
      <c r="D512" s="8">
        <v>573</v>
      </c>
      <c r="E512" s="13" t="s">
        <v>1485</v>
      </c>
      <c r="F512" s="8" t="s">
        <v>92</v>
      </c>
      <c r="G512" s="13"/>
      <c r="H512" s="8"/>
      <c r="I512" s="13" t="s">
        <v>75</v>
      </c>
      <c r="J512" s="14">
        <v>46189</v>
      </c>
      <c r="K512" s="14">
        <v>46189</v>
      </c>
      <c r="L512" s="15" t="s">
        <v>21</v>
      </c>
      <c r="M512" s="13"/>
      <c r="N512" s="16" t="s">
        <v>1486</v>
      </c>
    </row>
    <row r="513" spans="1:14" ht="24" x14ac:dyDescent="0.25">
      <c r="A513" s="8" t="s">
        <v>842</v>
      </c>
      <c r="B513" s="13"/>
      <c r="C513" s="13" t="s">
        <v>412</v>
      </c>
      <c r="D513" s="8">
        <v>574</v>
      </c>
      <c r="E513" s="13" t="s">
        <v>1487</v>
      </c>
      <c r="F513" s="8" t="s">
        <v>92</v>
      </c>
      <c r="G513" s="13"/>
      <c r="H513" s="8"/>
      <c r="I513" s="13" t="s">
        <v>75</v>
      </c>
      <c r="J513" s="14">
        <v>46189</v>
      </c>
      <c r="K513" s="14">
        <v>46189</v>
      </c>
      <c r="L513" s="15" t="s">
        <v>21</v>
      </c>
      <c r="M513" s="13"/>
      <c r="N513" s="16" t="s">
        <v>1488</v>
      </c>
    </row>
    <row r="514" spans="1:14" ht="24" x14ac:dyDescent="0.25">
      <c r="A514" s="8" t="s">
        <v>16</v>
      </c>
      <c r="B514" s="13" t="s">
        <v>52</v>
      </c>
      <c r="C514" s="13" t="s">
        <v>412</v>
      </c>
      <c r="D514" s="8">
        <v>575</v>
      </c>
      <c r="E514" s="13" t="s">
        <v>430</v>
      </c>
      <c r="F514" s="8" t="s">
        <v>92</v>
      </c>
      <c r="G514" s="13"/>
      <c r="H514" s="8"/>
      <c r="I514" s="13" t="s">
        <v>75</v>
      </c>
      <c r="J514" s="14">
        <v>46189</v>
      </c>
      <c r="K514" s="14">
        <v>46190</v>
      </c>
      <c r="L514" s="15" t="s">
        <v>21</v>
      </c>
      <c r="M514" s="13"/>
      <c r="N514" s="16" t="s">
        <v>431</v>
      </c>
    </row>
    <row r="515" spans="1:14" ht="25.5" x14ac:dyDescent="0.25">
      <c r="A515" s="8" t="s">
        <v>842</v>
      </c>
      <c r="B515" s="13"/>
      <c r="C515" s="13" t="s">
        <v>279</v>
      </c>
      <c r="D515" s="8">
        <v>576</v>
      </c>
      <c r="E515" s="13" t="s">
        <v>1489</v>
      </c>
      <c r="F515" s="8" t="s">
        <v>92</v>
      </c>
      <c r="G515" s="13"/>
      <c r="H515" s="8"/>
      <c r="I515" s="13" t="s">
        <v>75</v>
      </c>
      <c r="J515" s="14">
        <v>46189</v>
      </c>
      <c r="K515" s="14">
        <v>46189</v>
      </c>
      <c r="L515" s="15" t="s">
        <v>21</v>
      </c>
      <c r="M515" s="13"/>
      <c r="N515" s="16" t="s">
        <v>1490</v>
      </c>
    </row>
    <row r="516" spans="1:14" ht="24" x14ac:dyDescent="0.25">
      <c r="A516" s="8" t="s">
        <v>842</v>
      </c>
      <c r="B516" s="13"/>
      <c r="C516" s="13" t="s">
        <v>412</v>
      </c>
      <c r="D516" s="8">
        <v>577</v>
      </c>
      <c r="E516" s="13" t="s">
        <v>1491</v>
      </c>
      <c r="F516" s="8" t="s">
        <v>92</v>
      </c>
      <c r="G516" s="13"/>
      <c r="H516" s="8"/>
      <c r="I516" s="13" t="s">
        <v>75</v>
      </c>
      <c r="J516" s="14">
        <v>46189</v>
      </c>
      <c r="K516" s="14">
        <v>46189</v>
      </c>
      <c r="L516" s="15" t="s">
        <v>21</v>
      </c>
      <c r="M516" s="13"/>
      <c r="N516" s="16" t="s">
        <v>1492</v>
      </c>
    </row>
    <row r="517" spans="1:14" ht="24" x14ac:dyDescent="0.25">
      <c r="A517" s="8" t="s">
        <v>842</v>
      </c>
      <c r="B517" s="13"/>
      <c r="C517" s="13" t="s">
        <v>412</v>
      </c>
      <c r="D517" s="8">
        <v>578</v>
      </c>
      <c r="E517" s="13" t="s">
        <v>1493</v>
      </c>
      <c r="F517" s="8" t="s">
        <v>92</v>
      </c>
      <c r="G517" s="13"/>
      <c r="H517" s="8"/>
      <c r="I517" s="13" t="s">
        <v>75</v>
      </c>
      <c r="J517" s="14">
        <v>46189</v>
      </c>
      <c r="K517" s="14">
        <v>46189</v>
      </c>
      <c r="L517" s="15" t="s">
        <v>21</v>
      </c>
      <c r="M517" s="13"/>
      <c r="N517" s="16" t="s">
        <v>1494</v>
      </c>
    </row>
    <row r="518" spans="1:14" ht="24" x14ac:dyDescent="0.25">
      <c r="A518" s="8" t="s">
        <v>842</v>
      </c>
      <c r="B518" s="13"/>
      <c r="C518" s="13" t="s">
        <v>412</v>
      </c>
      <c r="D518" s="8">
        <v>579</v>
      </c>
      <c r="E518" s="13" t="s">
        <v>1495</v>
      </c>
      <c r="F518" s="8" t="s">
        <v>92</v>
      </c>
      <c r="G518" s="13"/>
      <c r="H518" s="8"/>
      <c r="I518" s="13" t="s">
        <v>75</v>
      </c>
      <c r="J518" s="14">
        <v>46189</v>
      </c>
      <c r="K518" s="14">
        <v>46189</v>
      </c>
      <c r="L518" s="15" t="s">
        <v>21</v>
      </c>
      <c r="M518" s="13"/>
      <c r="N518" s="16" t="s">
        <v>1496</v>
      </c>
    </row>
    <row r="519" spans="1:14" ht="24" x14ac:dyDescent="0.25">
      <c r="A519" s="8" t="s">
        <v>842</v>
      </c>
      <c r="B519" s="13"/>
      <c r="C519" s="13" t="s">
        <v>412</v>
      </c>
      <c r="D519" s="8">
        <v>580</v>
      </c>
      <c r="E519" s="13" t="s">
        <v>1497</v>
      </c>
      <c r="F519" s="8" t="s">
        <v>92</v>
      </c>
      <c r="G519" s="13"/>
      <c r="H519" s="8"/>
      <c r="I519" s="13" t="s">
        <v>75</v>
      </c>
      <c r="J519" s="14">
        <v>46189</v>
      </c>
      <c r="K519" s="14">
        <v>46189</v>
      </c>
      <c r="L519" s="15" t="s">
        <v>21</v>
      </c>
      <c r="M519" s="13"/>
      <c r="N519" s="16" t="s">
        <v>1498</v>
      </c>
    </row>
    <row r="520" spans="1:14" ht="24" x14ac:dyDescent="0.25">
      <c r="A520" s="8" t="s">
        <v>842</v>
      </c>
      <c r="B520" s="13"/>
      <c r="C520" s="13" t="s">
        <v>412</v>
      </c>
      <c r="D520" s="8">
        <v>581</v>
      </c>
      <c r="E520" s="13" t="s">
        <v>1499</v>
      </c>
      <c r="F520" s="8" t="s">
        <v>92</v>
      </c>
      <c r="G520" s="13"/>
      <c r="H520" s="8"/>
      <c r="I520" s="13" t="s">
        <v>75</v>
      </c>
      <c r="J520" s="14">
        <v>46189</v>
      </c>
      <c r="K520" s="14">
        <v>46189</v>
      </c>
      <c r="L520" s="15" t="s">
        <v>21</v>
      </c>
      <c r="M520" s="13"/>
      <c r="N520" s="16" t="s">
        <v>1500</v>
      </c>
    </row>
    <row r="521" spans="1:14" ht="24" x14ac:dyDescent="0.25">
      <c r="A521" s="8" t="s">
        <v>842</v>
      </c>
      <c r="B521" s="13"/>
      <c r="C521" s="13" t="s">
        <v>412</v>
      </c>
      <c r="D521" s="8">
        <v>582</v>
      </c>
      <c r="E521" s="13" t="s">
        <v>1501</v>
      </c>
      <c r="F521" s="8" t="s">
        <v>92</v>
      </c>
      <c r="G521" s="13"/>
      <c r="H521" s="8"/>
      <c r="I521" s="13" t="s">
        <v>75</v>
      </c>
      <c r="J521" s="14">
        <v>46189</v>
      </c>
      <c r="K521" s="14">
        <v>46189</v>
      </c>
      <c r="L521" s="15" t="s">
        <v>21</v>
      </c>
      <c r="M521" s="13"/>
      <c r="N521" s="16" t="s">
        <v>1502</v>
      </c>
    </row>
    <row r="522" spans="1:14" ht="24" x14ac:dyDescent="0.25">
      <c r="A522" s="8" t="s">
        <v>842</v>
      </c>
      <c r="B522" s="13"/>
      <c r="C522" s="13" t="s">
        <v>412</v>
      </c>
      <c r="D522" s="8">
        <v>583</v>
      </c>
      <c r="E522" s="13" t="s">
        <v>1503</v>
      </c>
      <c r="F522" s="8" t="s">
        <v>92</v>
      </c>
      <c r="G522" s="13"/>
      <c r="H522" s="8"/>
      <c r="I522" s="13" t="s">
        <v>75</v>
      </c>
      <c r="J522" s="14">
        <v>46189</v>
      </c>
      <c r="K522" s="14">
        <v>46189</v>
      </c>
      <c r="L522" s="15" t="s">
        <v>21</v>
      </c>
      <c r="M522" s="13"/>
      <c r="N522" s="16" t="s">
        <v>1504</v>
      </c>
    </row>
    <row r="523" spans="1:14" ht="24" x14ac:dyDescent="0.25">
      <c r="A523" s="8" t="s">
        <v>842</v>
      </c>
      <c r="B523" s="13"/>
      <c r="C523" s="13" t="s">
        <v>412</v>
      </c>
      <c r="D523" s="8">
        <v>584</v>
      </c>
      <c r="E523" s="13" t="s">
        <v>1505</v>
      </c>
      <c r="F523" s="8" t="s">
        <v>92</v>
      </c>
      <c r="G523" s="13"/>
      <c r="H523" s="8"/>
      <c r="I523" s="13" t="s">
        <v>75</v>
      </c>
      <c r="J523" s="14">
        <v>46189</v>
      </c>
      <c r="K523" s="14">
        <v>46189</v>
      </c>
      <c r="L523" s="15" t="s">
        <v>21</v>
      </c>
      <c r="M523" s="13"/>
      <c r="N523" s="16" t="s">
        <v>1506</v>
      </c>
    </row>
    <row r="524" spans="1:14" ht="24" x14ac:dyDescent="0.25">
      <c r="A524" s="8" t="s">
        <v>842</v>
      </c>
      <c r="B524" s="13"/>
      <c r="C524" s="13" t="s">
        <v>412</v>
      </c>
      <c r="D524" s="8">
        <v>585</v>
      </c>
      <c r="E524" s="13" t="s">
        <v>1507</v>
      </c>
      <c r="F524" s="8" t="s">
        <v>92</v>
      </c>
      <c r="G524" s="13"/>
      <c r="H524" s="8"/>
      <c r="I524" s="13" t="s">
        <v>75</v>
      </c>
      <c r="J524" s="14">
        <v>46189</v>
      </c>
      <c r="K524" s="14">
        <v>46189</v>
      </c>
      <c r="L524" s="15" t="s">
        <v>21</v>
      </c>
      <c r="M524" s="13"/>
      <c r="N524" s="16" t="s">
        <v>1508</v>
      </c>
    </row>
    <row r="525" spans="1:14" ht="24" x14ac:dyDescent="0.25">
      <c r="A525" s="8" t="s">
        <v>842</v>
      </c>
      <c r="B525" s="13"/>
      <c r="C525" s="13" t="s">
        <v>279</v>
      </c>
      <c r="D525" s="8">
        <v>586</v>
      </c>
      <c r="E525" s="13" t="s">
        <v>1509</v>
      </c>
      <c r="F525" s="8" t="s">
        <v>92</v>
      </c>
      <c r="G525" s="13"/>
      <c r="H525" s="8"/>
      <c r="I525" s="13" t="s">
        <v>75</v>
      </c>
      <c r="J525" s="14">
        <v>46189</v>
      </c>
      <c r="K525" s="14">
        <v>46189</v>
      </c>
      <c r="L525" s="15" t="s">
        <v>21</v>
      </c>
      <c r="M525" s="13"/>
      <c r="N525" s="16" t="s">
        <v>1510</v>
      </c>
    </row>
    <row r="526" spans="1:14" ht="24" x14ac:dyDescent="0.25">
      <c r="A526" s="8" t="s">
        <v>842</v>
      </c>
      <c r="B526" s="13"/>
      <c r="C526" s="13" t="s">
        <v>70</v>
      </c>
      <c r="D526" s="8">
        <v>587</v>
      </c>
      <c r="E526" s="13" t="s">
        <v>1511</v>
      </c>
      <c r="F526" s="8" t="s">
        <v>92</v>
      </c>
      <c r="G526" s="13"/>
      <c r="H526" s="8"/>
      <c r="I526" s="13" t="s">
        <v>75</v>
      </c>
      <c r="J526" s="14">
        <v>46189</v>
      </c>
      <c r="K526" s="14">
        <v>46196</v>
      </c>
      <c r="L526" s="15" t="s">
        <v>21</v>
      </c>
      <c r="M526" s="13"/>
      <c r="N526" s="16" t="s">
        <v>1512</v>
      </c>
    </row>
    <row r="527" spans="1:14" ht="24" x14ac:dyDescent="0.25">
      <c r="A527" s="8" t="s">
        <v>842</v>
      </c>
      <c r="B527" s="13"/>
      <c r="C527" s="13" t="s">
        <v>412</v>
      </c>
      <c r="D527" s="8">
        <v>588</v>
      </c>
      <c r="E527" s="13" t="s">
        <v>1513</v>
      </c>
      <c r="F527" s="8" t="s">
        <v>92</v>
      </c>
      <c r="G527" s="13"/>
      <c r="H527" s="8"/>
      <c r="I527" s="13" t="s">
        <v>75</v>
      </c>
      <c r="J527" s="14">
        <v>46189</v>
      </c>
      <c r="K527" s="14">
        <v>46189</v>
      </c>
      <c r="L527" s="15" t="s">
        <v>21</v>
      </c>
      <c r="M527" s="13"/>
      <c r="N527" s="16" t="s">
        <v>1514</v>
      </c>
    </row>
    <row r="528" spans="1:14" ht="24" x14ac:dyDescent="0.25">
      <c r="A528" s="8" t="s">
        <v>842</v>
      </c>
      <c r="B528" s="13"/>
      <c r="C528" s="13" t="s">
        <v>412</v>
      </c>
      <c r="D528" s="8">
        <v>589</v>
      </c>
      <c r="E528" s="13" t="s">
        <v>1515</v>
      </c>
      <c r="F528" s="8" t="s">
        <v>92</v>
      </c>
      <c r="G528" s="13"/>
      <c r="H528" s="8"/>
      <c r="I528" s="13" t="s">
        <v>75</v>
      </c>
      <c r="J528" s="14">
        <v>46189</v>
      </c>
      <c r="K528" s="14">
        <v>46189</v>
      </c>
      <c r="L528" s="15" t="s">
        <v>21</v>
      </c>
      <c r="M528" s="13"/>
      <c r="N528" s="16" t="s">
        <v>1516</v>
      </c>
    </row>
    <row r="529" spans="1:14" ht="24" x14ac:dyDescent="0.25">
      <c r="A529" s="8" t="s">
        <v>842</v>
      </c>
      <c r="B529" s="13"/>
      <c r="C529" s="13" t="s">
        <v>412</v>
      </c>
      <c r="D529" s="8">
        <v>590</v>
      </c>
      <c r="E529" s="13" t="s">
        <v>432</v>
      </c>
      <c r="F529" s="8" t="s">
        <v>92</v>
      </c>
      <c r="G529" s="13"/>
      <c r="H529" s="8"/>
      <c r="I529" s="13" t="s">
        <v>75</v>
      </c>
      <c r="J529" s="14">
        <v>46189</v>
      </c>
      <c r="K529" s="14">
        <v>46189</v>
      </c>
      <c r="L529" s="15" t="s">
        <v>21</v>
      </c>
      <c r="M529" s="13"/>
      <c r="N529" s="16" t="s">
        <v>1517</v>
      </c>
    </row>
    <row r="530" spans="1:14" ht="24" x14ac:dyDescent="0.25">
      <c r="A530" s="8" t="s">
        <v>842</v>
      </c>
      <c r="B530" s="13"/>
      <c r="C530" s="13" t="s">
        <v>412</v>
      </c>
      <c r="D530" s="8">
        <v>591</v>
      </c>
      <c r="E530" s="13" t="s">
        <v>432</v>
      </c>
      <c r="F530" s="8" t="s">
        <v>92</v>
      </c>
      <c r="G530" s="13"/>
      <c r="H530" s="8"/>
      <c r="I530" s="13" t="s">
        <v>75</v>
      </c>
      <c r="J530" s="14">
        <v>46189</v>
      </c>
      <c r="K530" s="14">
        <v>46189</v>
      </c>
      <c r="L530" s="15" t="s">
        <v>21</v>
      </c>
      <c r="M530" s="13"/>
      <c r="N530" s="16" t="s">
        <v>1518</v>
      </c>
    </row>
    <row r="531" spans="1:14" ht="24" x14ac:dyDescent="0.25">
      <c r="A531" s="8" t="s">
        <v>16</v>
      </c>
      <c r="B531" s="13" t="s">
        <v>52</v>
      </c>
      <c r="C531" s="13" t="s">
        <v>412</v>
      </c>
      <c r="D531" s="8">
        <v>592</v>
      </c>
      <c r="E531" s="13" t="s">
        <v>432</v>
      </c>
      <c r="F531" s="8" t="s">
        <v>92</v>
      </c>
      <c r="G531" s="13"/>
      <c r="H531" s="8"/>
      <c r="I531" s="13" t="s">
        <v>75</v>
      </c>
      <c r="J531" s="14">
        <v>46189</v>
      </c>
      <c r="K531" s="14">
        <v>46189</v>
      </c>
      <c r="L531" s="15" t="s">
        <v>21</v>
      </c>
      <c r="M531" s="13"/>
      <c r="N531" s="16" t="s">
        <v>433</v>
      </c>
    </row>
    <row r="532" spans="1:14" ht="24" x14ac:dyDescent="0.25">
      <c r="A532" s="8" t="s">
        <v>16</v>
      </c>
      <c r="B532" s="13" t="s">
        <v>52</v>
      </c>
      <c r="C532" s="13" t="s">
        <v>412</v>
      </c>
      <c r="D532" s="8">
        <v>593</v>
      </c>
      <c r="E532" s="13" t="s">
        <v>432</v>
      </c>
      <c r="F532" s="8" t="s">
        <v>92</v>
      </c>
      <c r="G532" s="13"/>
      <c r="H532" s="8"/>
      <c r="I532" s="13" t="s">
        <v>75</v>
      </c>
      <c r="J532" s="14">
        <v>46189</v>
      </c>
      <c r="K532" s="14">
        <v>46189</v>
      </c>
      <c r="L532" s="15" t="s">
        <v>21</v>
      </c>
      <c r="M532" s="13"/>
      <c r="N532" s="16" t="s">
        <v>434</v>
      </c>
    </row>
    <row r="533" spans="1:14" ht="24" x14ac:dyDescent="0.25">
      <c r="A533" s="8" t="s">
        <v>16</v>
      </c>
      <c r="B533" s="13" t="s">
        <v>52</v>
      </c>
      <c r="C533" s="13" t="s">
        <v>412</v>
      </c>
      <c r="D533" s="8">
        <v>594</v>
      </c>
      <c r="E533" s="13" t="s">
        <v>435</v>
      </c>
      <c r="F533" s="8" t="s">
        <v>92</v>
      </c>
      <c r="G533" s="13"/>
      <c r="H533" s="8"/>
      <c r="I533" s="13" t="s">
        <v>75</v>
      </c>
      <c r="J533" s="14">
        <v>46189</v>
      </c>
      <c r="K533" s="14">
        <v>46189</v>
      </c>
      <c r="L533" s="15" t="s">
        <v>21</v>
      </c>
      <c r="M533" s="13"/>
      <c r="N533" s="16" t="s">
        <v>436</v>
      </c>
    </row>
    <row r="534" spans="1:14" ht="24" x14ac:dyDescent="0.25">
      <c r="A534" s="8" t="s">
        <v>16</v>
      </c>
      <c r="B534" s="13" t="s">
        <v>52</v>
      </c>
      <c r="C534" s="13" t="s">
        <v>412</v>
      </c>
      <c r="D534" s="8">
        <v>595</v>
      </c>
      <c r="E534" s="13" t="s">
        <v>437</v>
      </c>
      <c r="F534" s="8" t="s">
        <v>92</v>
      </c>
      <c r="G534" s="13"/>
      <c r="H534" s="8"/>
      <c r="I534" s="13" t="s">
        <v>75</v>
      </c>
      <c r="J534" s="14">
        <v>46189</v>
      </c>
      <c r="K534" s="14">
        <v>46189</v>
      </c>
      <c r="L534" s="15" t="s">
        <v>21</v>
      </c>
      <c r="M534" s="13"/>
      <c r="N534" s="16" t="s">
        <v>438</v>
      </c>
    </row>
    <row r="535" spans="1:14" ht="24" x14ac:dyDescent="0.25">
      <c r="A535" s="8" t="s">
        <v>16</v>
      </c>
      <c r="B535" s="13" t="s">
        <v>52</v>
      </c>
      <c r="C535" s="13" t="s">
        <v>412</v>
      </c>
      <c r="D535" s="8">
        <v>596</v>
      </c>
      <c r="E535" s="13" t="s">
        <v>439</v>
      </c>
      <c r="F535" s="8" t="s">
        <v>92</v>
      </c>
      <c r="G535" s="13"/>
      <c r="H535" s="8"/>
      <c r="I535" s="13" t="s">
        <v>75</v>
      </c>
      <c r="J535" s="14">
        <v>46189</v>
      </c>
      <c r="K535" s="14">
        <v>46189</v>
      </c>
      <c r="L535" s="15" t="s">
        <v>21</v>
      </c>
      <c r="M535" s="13"/>
      <c r="N535" s="16" t="s">
        <v>440</v>
      </c>
    </row>
    <row r="536" spans="1:14" ht="24" x14ac:dyDescent="0.25">
      <c r="A536" s="8" t="s">
        <v>842</v>
      </c>
      <c r="B536" s="13"/>
      <c r="C536" s="13" t="s">
        <v>412</v>
      </c>
      <c r="D536" s="8">
        <v>597</v>
      </c>
      <c r="E536" s="13" t="s">
        <v>1519</v>
      </c>
      <c r="F536" s="8" t="s">
        <v>92</v>
      </c>
      <c r="G536" s="13"/>
      <c r="H536" s="8"/>
      <c r="I536" s="13" t="s">
        <v>75</v>
      </c>
      <c r="J536" s="14">
        <v>46189</v>
      </c>
      <c r="K536" s="14">
        <v>46193</v>
      </c>
      <c r="L536" s="17" t="s">
        <v>23</v>
      </c>
      <c r="M536" s="13" t="s">
        <v>402</v>
      </c>
      <c r="N536" s="16" t="s">
        <v>1520</v>
      </c>
    </row>
    <row r="537" spans="1:14" ht="24" x14ac:dyDescent="0.25">
      <c r="A537" s="8" t="s">
        <v>16</v>
      </c>
      <c r="B537" s="13" t="s">
        <v>52</v>
      </c>
      <c r="C537" s="13" t="s">
        <v>412</v>
      </c>
      <c r="D537" s="8">
        <v>598</v>
      </c>
      <c r="E537" s="13" t="s">
        <v>441</v>
      </c>
      <c r="F537" s="8" t="s">
        <v>92</v>
      </c>
      <c r="G537" s="13"/>
      <c r="H537" s="8"/>
      <c r="I537" s="13" t="s">
        <v>75</v>
      </c>
      <c r="J537" s="14">
        <v>46189</v>
      </c>
      <c r="K537" s="14">
        <v>46190</v>
      </c>
      <c r="L537" s="15" t="s">
        <v>21</v>
      </c>
      <c r="M537" s="13"/>
      <c r="N537" s="16" t="s">
        <v>442</v>
      </c>
    </row>
    <row r="538" spans="1:14" ht="24" x14ac:dyDescent="0.25">
      <c r="A538" s="8" t="s">
        <v>842</v>
      </c>
      <c r="B538" s="13"/>
      <c r="C538" s="13" t="s">
        <v>412</v>
      </c>
      <c r="D538" s="8">
        <v>599</v>
      </c>
      <c r="E538" s="13" t="s">
        <v>1521</v>
      </c>
      <c r="F538" s="8" t="s">
        <v>92</v>
      </c>
      <c r="G538" s="13"/>
      <c r="H538" s="8"/>
      <c r="I538" s="13" t="s">
        <v>75</v>
      </c>
      <c r="J538" s="14">
        <v>46189</v>
      </c>
      <c r="K538" s="14">
        <v>46189</v>
      </c>
      <c r="L538" s="15" t="s">
        <v>21</v>
      </c>
      <c r="M538" s="13"/>
      <c r="N538" s="16" t="s">
        <v>1522</v>
      </c>
    </row>
    <row r="539" spans="1:14" ht="24" x14ac:dyDescent="0.25">
      <c r="A539" s="8" t="s">
        <v>842</v>
      </c>
      <c r="B539" s="13"/>
      <c r="C539" s="13" t="s">
        <v>412</v>
      </c>
      <c r="D539" s="8">
        <v>600</v>
      </c>
      <c r="E539" s="13" t="s">
        <v>1523</v>
      </c>
      <c r="F539" s="8" t="s">
        <v>92</v>
      </c>
      <c r="G539" s="13"/>
      <c r="H539" s="8"/>
      <c r="I539" s="13" t="s">
        <v>75</v>
      </c>
      <c r="J539" s="14">
        <v>46189</v>
      </c>
      <c r="K539" s="14">
        <v>46193</v>
      </c>
      <c r="L539" s="17" t="s">
        <v>23</v>
      </c>
      <c r="M539" s="13" t="s">
        <v>402</v>
      </c>
      <c r="N539" s="16" t="s">
        <v>1524</v>
      </c>
    </row>
    <row r="540" spans="1:14" ht="24" x14ac:dyDescent="0.25">
      <c r="A540" s="8" t="s">
        <v>16</v>
      </c>
      <c r="B540" s="13" t="s">
        <v>52</v>
      </c>
      <c r="C540" s="13" t="s">
        <v>412</v>
      </c>
      <c r="D540" s="8">
        <v>601</v>
      </c>
      <c r="E540" s="13" t="s">
        <v>443</v>
      </c>
      <c r="F540" s="8" t="s">
        <v>72</v>
      </c>
      <c r="G540" s="13"/>
      <c r="H540" s="8"/>
      <c r="I540" s="13" t="s">
        <v>290</v>
      </c>
      <c r="J540" s="14">
        <v>46189</v>
      </c>
      <c r="K540" s="14">
        <v>46193</v>
      </c>
      <c r="L540" s="15" t="s">
        <v>21</v>
      </c>
      <c r="M540" s="13"/>
      <c r="N540" s="16" t="s">
        <v>444</v>
      </c>
    </row>
    <row r="541" spans="1:14" ht="24" x14ac:dyDescent="0.25">
      <c r="A541" s="8" t="s">
        <v>16</v>
      </c>
      <c r="B541" s="13" t="s">
        <v>52</v>
      </c>
      <c r="C541" s="13" t="s">
        <v>412</v>
      </c>
      <c r="D541" s="8">
        <v>602</v>
      </c>
      <c r="E541" s="13" t="s">
        <v>445</v>
      </c>
      <c r="F541" s="8" t="s">
        <v>72</v>
      </c>
      <c r="G541" s="13"/>
      <c r="H541" s="8"/>
      <c r="I541" s="13" t="s">
        <v>290</v>
      </c>
      <c r="J541" s="14">
        <v>46189</v>
      </c>
      <c r="K541" s="14">
        <v>46193</v>
      </c>
      <c r="L541" s="15" t="s">
        <v>21</v>
      </c>
      <c r="M541" s="13"/>
      <c r="N541" s="16" t="s">
        <v>446</v>
      </c>
    </row>
    <row r="542" spans="1:14" ht="24" x14ac:dyDescent="0.25">
      <c r="A542" s="8" t="s">
        <v>16</v>
      </c>
      <c r="B542" s="13" t="s">
        <v>52</v>
      </c>
      <c r="C542" s="13" t="s">
        <v>412</v>
      </c>
      <c r="D542" s="8">
        <v>603</v>
      </c>
      <c r="E542" s="13" t="s">
        <v>447</v>
      </c>
      <c r="F542" s="8" t="s">
        <v>72</v>
      </c>
      <c r="G542" s="13"/>
      <c r="H542" s="8"/>
      <c r="I542" s="13" t="s">
        <v>290</v>
      </c>
      <c r="J542" s="14">
        <v>46189</v>
      </c>
      <c r="K542" s="14">
        <v>46193</v>
      </c>
      <c r="L542" s="15" t="s">
        <v>21</v>
      </c>
      <c r="M542" s="13"/>
      <c r="N542" s="16" t="s">
        <v>448</v>
      </c>
    </row>
    <row r="543" spans="1:14" ht="24" x14ac:dyDescent="0.25">
      <c r="A543" s="8" t="s">
        <v>16</v>
      </c>
      <c r="B543" s="13" t="s">
        <v>52</v>
      </c>
      <c r="C543" s="13" t="s">
        <v>412</v>
      </c>
      <c r="D543" s="8">
        <v>604</v>
      </c>
      <c r="E543" s="13" t="s">
        <v>449</v>
      </c>
      <c r="F543" s="8" t="s">
        <v>92</v>
      </c>
      <c r="G543" s="13"/>
      <c r="H543" s="8"/>
      <c r="I543" s="13" t="s">
        <v>75</v>
      </c>
      <c r="J543" s="14">
        <v>46189</v>
      </c>
      <c r="K543" s="14">
        <v>46189</v>
      </c>
      <c r="L543" s="15" t="s">
        <v>21</v>
      </c>
      <c r="M543" s="13"/>
      <c r="N543" s="16" t="s">
        <v>450</v>
      </c>
    </row>
    <row r="544" spans="1:14" ht="24" x14ac:dyDescent="0.25">
      <c r="A544" s="8" t="s">
        <v>16</v>
      </c>
      <c r="B544" s="13" t="s">
        <v>52</v>
      </c>
      <c r="C544" s="13" t="s">
        <v>412</v>
      </c>
      <c r="D544" s="8">
        <v>605</v>
      </c>
      <c r="E544" s="13" t="s">
        <v>451</v>
      </c>
      <c r="F544" s="8" t="s">
        <v>92</v>
      </c>
      <c r="G544" s="13"/>
      <c r="H544" s="8"/>
      <c r="I544" s="13" t="s">
        <v>75</v>
      </c>
      <c r="J544" s="14">
        <v>46189</v>
      </c>
      <c r="K544" s="14">
        <v>46189</v>
      </c>
      <c r="L544" s="15" t="s">
        <v>21</v>
      </c>
      <c r="M544" s="13"/>
      <c r="N544" s="16" t="s">
        <v>452</v>
      </c>
    </row>
    <row r="545" spans="1:14" ht="24" x14ac:dyDescent="0.25">
      <c r="A545" s="8" t="s">
        <v>16</v>
      </c>
      <c r="B545" s="13" t="s">
        <v>52</v>
      </c>
      <c r="C545" s="13" t="s">
        <v>412</v>
      </c>
      <c r="D545" s="8">
        <v>606</v>
      </c>
      <c r="E545" s="13" t="s">
        <v>453</v>
      </c>
      <c r="F545" s="8" t="s">
        <v>72</v>
      </c>
      <c r="G545" s="13"/>
      <c r="H545" s="8"/>
      <c r="I545" s="13" t="s">
        <v>290</v>
      </c>
      <c r="J545" s="14">
        <v>46189</v>
      </c>
      <c r="K545" s="14">
        <v>46193</v>
      </c>
      <c r="L545" s="15" t="s">
        <v>21</v>
      </c>
      <c r="M545" s="13"/>
      <c r="N545" s="16" t="s">
        <v>454</v>
      </c>
    </row>
    <row r="546" spans="1:14" ht="24" x14ac:dyDescent="0.25">
      <c r="A546" s="8" t="s">
        <v>16</v>
      </c>
      <c r="B546" s="13" t="s">
        <v>52</v>
      </c>
      <c r="C546" s="13" t="s">
        <v>412</v>
      </c>
      <c r="D546" s="8">
        <v>607</v>
      </c>
      <c r="E546" s="13" t="s">
        <v>455</v>
      </c>
      <c r="F546" s="8" t="s">
        <v>72</v>
      </c>
      <c r="G546" s="13"/>
      <c r="H546" s="8"/>
      <c r="I546" s="13" t="s">
        <v>290</v>
      </c>
      <c r="J546" s="14">
        <v>46189</v>
      </c>
      <c r="K546" s="14">
        <v>46193</v>
      </c>
      <c r="L546" s="15" t="s">
        <v>21</v>
      </c>
      <c r="M546" s="13"/>
      <c r="N546" s="16" t="s">
        <v>456</v>
      </c>
    </row>
    <row r="547" spans="1:14" ht="24" x14ac:dyDescent="0.25">
      <c r="A547" s="8" t="s">
        <v>16</v>
      </c>
      <c r="B547" s="13" t="s">
        <v>52</v>
      </c>
      <c r="C547" s="13" t="s">
        <v>412</v>
      </c>
      <c r="D547" s="8">
        <v>608</v>
      </c>
      <c r="E547" s="13" t="s">
        <v>457</v>
      </c>
      <c r="F547" s="8" t="s">
        <v>72</v>
      </c>
      <c r="G547" s="13"/>
      <c r="H547" s="8"/>
      <c r="I547" s="13" t="s">
        <v>290</v>
      </c>
      <c r="J547" s="14">
        <v>46189</v>
      </c>
      <c r="K547" s="14">
        <v>46194</v>
      </c>
      <c r="L547" s="15" t="s">
        <v>21</v>
      </c>
      <c r="M547" s="13"/>
      <c r="N547" s="16" t="s">
        <v>458</v>
      </c>
    </row>
    <row r="548" spans="1:14" ht="24" x14ac:dyDescent="0.25">
      <c r="A548" s="8" t="s">
        <v>16</v>
      </c>
      <c r="B548" s="13" t="s">
        <v>52</v>
      </c>
      <c r="C548" s="13" t="s">
        <v>412</v>
      </c>
      <c r="D548" s="8">
        <v>609</v>
      </c>
      <c r="E548" s="13" t="s">
        <v>459</v>
      </c>
      <c r="F548" s="8" t="s">
        <v>72</v>
      </c>
      <c r="G548" s="13"/>
      <c r="H548" s="8"/>
      <c r="I548" s="13" t="s">
        <v>290</v>
      </c>
      <c r="J548" s="14">
        <v>46189</v>
      </c>
      <c r="K548" s="14">
        <v>46193</v>
      </c>
      <c r="L548" s="15" t="s">
        <v>21</v>
      </c>
      <c r="M548" s="13"/>
      <c r="N548" s="16" t="s">
        <v>460</v>
      </c>
    </row>
    <row r="549" spans="1:14" ht="24" x14ac:dyDescent="0.25">
      <c r="A549" s="8" t="s">
        <v>16</v>
      </c>
      <c r="B549" s="13" t="s">
        <v>52</v>
      </c>
      <c r="C549" s="13" t="s">
        <v>412</v>
      </c>
      <c r="D549" s="8">
        <v>610</v>
      </c>
      <c r="E549" s="13" t="s">
        <v>461</v>
      </c>
      <c r="F549" s="8" t="s">
        <v>72</v>
      </c>
      <c r="G549" s="13"/>
      <c r="H549" s="8"/>
      <c r="I549" s="13" t="s">
        <v>290</v>
      </c>
      <c r="J549" s="14">
        <v>46189</v>
      </c>
      <c r="K549" s="14">
        <v>46193</v>
      </c>
      <c r="L549" s="15" t="s">
        <v>21</v>
      </c>
      <c r="M549" s="13"/>
      <c r="N549" s="16" t="s">
        <v>462</v>
      </c>
    </row>
    <row r="550" spans="1:14" ht="24" x14ac:dyDescent="0.25">
      <c r="A550" s="8" t="s">
        <v>16</v>
      </c>
      <c r="B550" s="13" t="s">
        <v>52</v>
      </c>
      <c r="C550" s="13" t="s">
        <v>412</v>
      </c>
      <c r="D550" s="8">
        <v>611</v>
      </c>
      <c r="E550" s="13" t="s">
        <v>463</v>
      </c>
      <c r="F550" s="8" t="s">
        <v>72</v>
      </c>
      <c r="G550" s="13"/>
      <c r="H550" s="8"/>
      <c r="I550" s="13" t="s">
        <v>290</v>
      </c>
      <c r="J550" s="14">
        <v>46189</v>
      </c>
      <c r="K550" s="14">
        <v>46189</v>
      </c>
      <c r="L550" s="15" t="s">
        <v>21</v>
      </c>
      <c r="M550" s="13"/>
      <c r="N550" s="16" t="s">
        <v>464</v>
      </c>
    </row>
    <row r="551" spans="1:14" ht="24" x14ac:dyDescent="0.25">
      <c r="A551" s="8" t="s">
        <v>16</v>
      </c>
      <c r="B551" s="13" t="s">
        <v>52</v>
      </c>
      <c r="C551" s="13" t="s">
        <v>412</v>
      </c>
      <c r="D551" s="8">
        <v>612</v>
      </c>
      <c r="E551" s="13" t="s">
        <v>465</v>
      </c>
      <c r="F551" s="8" t="s">
        <v>72</v>
      </c>
      <c r="G551" s="13"/>
      <c r="H551" s="8"/>
      <c r="I551" s="13" t="s">
        <v>290</v>
      </c>
      <c r="J551" s="14">
        <v>46189</v>
      </c>
      <c r="K551" s="14">
        <v>46193</v>
      </c>
      <c r="L551" s="15" t="s">
        <v>21</v>
      </c>
      <c r="M551" s="13"/>
      <c r="N551" s="16" t="s">
        <v>466</v>
      </c>
    </row>
    <row r="552" spans="1:14" ht="24" x14ac:dyDescent="0.25">
      <c r="A552" s="8" t="s">
        <v>16</v>
      </c>
      <c r="B552" s="13" t="s">
        <v>52</v>
      </c>
      <c r="C552" s="13" t="s">
        <v>412</v>
      </c>
      <c r="D552" s="8">
        <v>613</v>
      </c>
      <c r="E552" s="13" t="s">
        <v>467</v>
      </c>
      <c r="F552" s="8" t="s">
        <v>72</v>
      </c>
      <c r="G552" s="13"/>
      <c r="H552" s="8"/>
      <c r="I552" s="13" t="s">
        <v>290</v>
      </c>
      <c r="J552" s="14">
        <v>46189</v>
      </c>
      <c r="K552" s="14">
        <v>46193</v>
      </c>
      <c r="L552" s="15" t="s">
        <v>21</v>
      </c>
      <c r="M552" s="13"/>
      <c r="N552" s="16" t="s">
        <v>468</v>
      </c>
    </row>
    <row r="553" spans="1:14" ht="24" x14ac:dyDescent="0.25">
      <c r="A553" s="8" t="s">
        <v>16</v>
      </c>
      <c r="B553" s="13" t="s">
        <v>52</v>
      </c>
      <c r="C553" s="13" t="s">
        <v>412</v>
      </c>
      <c r="D553" s="8">
        <v>614</v>
      </c>
      <c r="E553" s="13" t="s">
        <v>469</v>
      </c>
      <c r="F553" s="8" t="s">
        <v>72</v>
      </c>
      <c r="G553" s="13"/>
      <c r="H553" s="8"/>
      <c r="I553" s="13" t="s">
        <v>290</v>
      </c>
      <c r="J553" s="14">
        <v>46189</v>
      </c>
      <c r="K553" s="14">
        <v>46193</v>
      </c>
      <c r="L553" s="15" t="s">
        <v>21</v>
      </c>
      <c r="M553" s="13"/>
      <c r="N553" s="16" t="s">
        <v>470</v>
      </c>
    </row>
    <row r="554" spans="1:14" ht="24" x14ac:dyDescent="0.25">
      <c r="A554" s="8" t="s">
        <v>842</v>
      </c>
      <c r="B554" s="13"/>
      <c r="C554" s="13" t="s">
        <v>595</v>
      </c>
      <c r="D554" s="8">
        <v>615</v>
      </c>
      <c r="E554" s="13" t="s">
        <v>1525</v>
      </c>
      <c r="F554" s="8" t="s">
        <v>92</v>
      </c>
      <c r="G554" s="13"/>
      <c r="H554" s="8" t="s">
        <v>329</v>
      </c>
      <c r="I554" s="13" t="s">
        <v>75</v>
      </c>
      <c r="J554" s="14">
        <v>46189</v>
      </c>
      <c r="K554" s="14">
        <v>46189</v>
      </c>
      <c r="L554" s="15" t="s">
        <v>21</v>
      </c>
      <c r="M554" s="13"/>
      <c r="N554" s="16" t="s">
        <v>1526</v>
      </c>
    </row>
    <row r="555" spans="1:14" ht="24" x14ac:dyDescent="0.25">
      <c r="A555" s="8" t="s">
        <v>842</v>
      </c>
      <c r="B555" s="13"/>
      <c r="C555" s="13" t="s">
        <v>595</v>
      </c>
      <c r="D555" s="8">
        <v>616</v>
      </c>
      <c r="E555" s="13" t="s">
        <v>1527</v>
      </c>
      <c r="F555" s="8" t="s">
        <v>92</v>
      </c>
      <c r="G555" s="13"/>
      <c r="H555" s="8" t="s">
        <v>329</v>
      </c>
      <c r="I555" s="13" t="s">
        <v>75</v>
      </c>
      <c r="J555" s="14">
        <v>46189</v>
      </c>
      <c r="K555" s="14">
        <v>46189</v>
      </c>
      <c r="L555" s="15" t="s">
        <v>21</v>
      </c>
      <c r="M555" s="13"/>
      <c r="N555" s="16" t="s">
        <v>1528</v>
      </c>
    </row>
    <row r="556" spans="1:14" ht="24" x14ac:dyDescent="0.25">
      <c r="A556" s="8" t="s">
        <v>16</v>
      </c>
      <c r="B556" s="13" t="s">
        <v>52</v>
      </c>
      <c r="C556" s="13" t="s">
        <v>412</v>
      </c>
      <c r="D556" s="8">
        <v>617</v>
      </c>
      <c r="E556" s="13" t="s">
        <v>471</v>
      </c>
      <c r="F556" s="8" t="s">
        <v>92</v>
      </c>
      <c r="G556" s="13"/>
      <c r="H556" s="8" t="s">
        <v>329</v>
      </c>
      <c r="I556" s="13" t="s">
        <v>75</v>
      </c>
      <c r="J556" s="14">
        <v>46189</v>
      </c>
      <c r="K556" s="14">
        <v>46190</v>
      </c>
      <c r="L556" s="15" t="s">
        <v>21</v>
      </c>
      <c r="M556" s="13"/>
      <c r="N556" s="16" t="s">
        <v>472</v>
      </c>
    </row>
    <row r="557" spans="1:14" ht="24" x14ac:dyDescent="0.25">
      <c r="A557" s="8" t="s">
        <v>16</v>
      </c>
      <c r="B557" s="13" t="s">
        <v>52</v>
      </c>
      <c r="C557" s="13" t="s">
        <v>335</v>
      </c>
      <c r="D557" s="8">
        <v>618</v>
      </c>
      <c r="E557" s="13" t="s">
        <v>359</v>
      </c>
      <c r="F557" s="8" t="s">
        <v>72</v>
      </c>
      <c r="G557" s="13"/>
      <c r="H557" s="8"/>
      <c r="I557" s="13" t="s">
        <v>290</v>
      </c>
      <c r="J557" s="14">
        <v>46189</v>
      </c>
      <c r="K557" s="14">
        <v>46193</v>
      </c>
      <c r="L557" s="15" t="s">
        <v>21</v>
      </c>
      <c r="M557" s="13"/>
      <c r="N557" s="16" t="s">
        <v>360</v>
      </c>
    </row>
    <row r="558" spans="1:14" ht="24" x14ac:dyDescent="0.25">
      <c r="A558" s="8" t="s">
        <v>16</v>
      </c>
      <c r="B558" s="13" t="s">
        <v>52</v>
      </c>
      <c r="C558" s="13" t="s">
        <v>412</v>
      </c>
      <c r="D558" s="8">
        <v>619</v>
      </c>
      <c r="E558" s="13" t="s">
        <v>473</v>
      </c>
      <c r="F558" s="8" t="s">
        <v>92</v>
      </c>
      <c r="G558" s="13"/>
      <c r="H558" s="8" t="s">
        <v>329</v>
      </c>
      <c r="I558" s="13" t="s">
        <v>75</v>
      </c>
      <c r="J558" s="14">
        <v>46190</v>
      </c>
      <c r="K558" s="14">
        <v>46190</v>
      </c>
      <c r="L558" s="15" t="s">
        <v>21</v>
      </c>
      <c r="M558" s="13"/>
      <c r="N558" s="16" t="s">
        <v>474</v>
      </c>
    </row>
    <row r="559" spans="1:14" ht="24" x14ac:dyDescent="0.25">
      <c r="A559" s="8" t="s">
        <v>16</v>
      </c>
      <c r="B559" s="13" t="s">
        <v>52</v>
      </c>
      <c r="C559" s="13" t="s">
        <v>412</v>
      </c>
      <c r="D559" s="8">
        <v>620</v>
      </c>
      <c r="E559" s="13" t="s">
        <v>475</v>
      </c>
      <c r="F559" s="8" t="s">
        <v>92</v>
      </c>
      <c r="G559" s="13"/>
      <c r="H559" s="8" t="s">
        <v>329</v>
      </c>
      <c r="I559" s="13" t="s">
        <v>75</v>
      </c>
      <c r="J559" s="14">
        <v>46190</v>
      </c>
      <c r="K559" s="14">
        <v>46190</v>
      </c>
      <c r="L559" s="15" t="s">
        <v>21</v>
      </c>
      <c r="M559" s="13"/>
      <c r="N559" s="16" t="s">
        <v>476</v>
      </c>
    </row>
    <row r="560" spans="1:14" ht="24" x14ac:dyDescent="0.25">
      <c r="A560" s="8" t="s">
        <v>842</v>
      </c>
      <c r="B560" s="13"/>
      <c r="C560" s="13" t="s">
        <v>70</v>
      </c>
      <c r="D560" s="8">
        <v>621</v>
      </c>
      <c r="E560" s="13" t="s">
        <v>1529</v>
      </c>
      <c r="F560" s="8" t="s">
        <v>72</v>
      </c>
      <c r="G560" s="13"/>
      <c r="H560" s="8"/>
      <c r="I560" s="13" t="s">
        <v>290</v>
      </c>
      <c r="J560" s="14">
        <v>46190</v>
      </c>
      <c r="K560" s="14">
        <v>46194</v>
      </c>
      <c r="L560" s="15" t="s">
        <v>21</v>
      </c>
      <c r="M560" s="13"/>
      <c r="N560" s="16" t="s">
        <v>1530</v>
      </c>
    </row>
    <row r="561" spans="1:14" ht="25.5" x14ac:dyDescent="0.25">
      <c r="A561" s="8" t="s">
        <v>16</v>
      </c>
      <c r="B561" s="13" t="s">
        <v>52</v>
      </c>
      <c r="C561" s="13" t="s">
        <v>595</v>
      </c>
      <c r="D561" s="8">
        <v>622</v>
      </c>
      <c r="E561" s="13" t="s">
        <v>684</v>
      </c>
      <c r="F561" s="8" t="s">
        <v>72</v>
      </c>
      <c r="G561" s="13"/>
      <c r="H561" s="8" t="s">
        <v>329</v>
      </c>
      <c r="I561" s="13" t="s">
        <v>290</v>
      </c>
      <c r="J561" s="14">
        <v>46190</v>
      </c>
      <c r="K561" s="14">
        <v>46192</v>
      </c>
      <c r="L561" s="15" t="s">
        <v>21</v>
      </c>
      <c r="M561" s="13"/>
      <c r="N561" s="16" t="s">
        <v>685</v>
      </c>
    </row>
    <row r="562" spans="1:14" ht="24" x14ac:dyDescent="0.25">
      <c r="A562" s="8" t="s">
        <v>16</v>
      </c>
      <c r="B562" s="13" t="s">
        <v>52</v>
      </c>
      <c r="C562" s="13" t="s">
        <v>412</v>
      </c>
      <c r="D562" s="8">
        <v>624</v>
      </c>
      <c r="E562" s="13" t="s">
        <v>477</v>
      </c>
      <c r="F562" s="8" t="s">
        <v>92</v>
      </c>
      <c r="G562" s="13"/>
      <c r="H562" s="8"/>
      <c r="I562" s="13" t="s">
        <v>75</v>
      </c>
      <c r="J562" s="14">
        <v>46190</v>
      </c>
      <c r="K562" s="14">
        <v>46190</v>
      </c>
      <c r="L562" s="15" t="s">
        <v>21</v>
      </c>
      <c r="M562" s="13"/>
      <c r="N562" s="16" t="s">
        <v>478</v>
      </c>
    </row>
    <row r="563" spans="1:14" ht="24" x14ac:dyDescent="0.25">
      <c r="A563" s="8" t="s">
        <v>16</v>
      </c>
      <c r="B563" s="13" t="s">
        <v>52</v>
      </c>
      <c r="C563" s="13" t="s">
        <v>412</v>
      </c>
      <c r="D563" s="8">
        <v>625</v>
      </c>
      <c r="E563" s="13" t="s">
        <v>479</v>
      </c>
      <c r="F563" s="8" t="s">
        <v>92</v>
      </c>
      <c r="G563" s="13"/>
      <c r="H563" s="8"/>
      <c r="I563" s="13" t="s">
        <v>75</v>
      </c>
      <c r="J563" s="14">
        <v>46190</v>
      </c>
      <c r="K563" s="14">
        <v>46190</v>
      </c>
      <c r="L563" s="15" t="s">
        <v>21</v>
      </c>
      <c r="M563" s="13"/>
      <c r="N563" s="16" t="s">
        <v>480</v>
      </c>
    </row>
    <row r="564" spans="1:14" ht="24" x14ac:dyDescent="0.25">
      <c r="A564" s="8" t="s">
        <v>16</v>
      </c>
      <c r="B564" s="13" t="s">
        <v>52</v>
      </c>
      <c r="C564" s="13" t="s">
        <v>412</v>
      </c>
      <c r="D564" s="8">
        <v>626</v>
      </c>
      <c r="E564" s="13" t="s">
        <v>479</v>
      </c>
      <c r="F564" s="8" t="s">
        <v>92</v>
      </c>
      <c r="G564" s="13"/>
      <c r="H564" s="8"/>
      <c r="I564" s="13" t="s">
        <v>75</v>
      </c>
      <c r="J564" s="14">
        <v>46190</v>
      </c>
      <c r="K564" s="14">
        <v>46190</v>
      </c>
      <c r="L564" s="15" t="s">
        <v>21</v>
      </c>
      <c r="M564" s="13"/>
      <c r="N564" s="16" t="s">
        <v>481</v>
      </c>
    </row>
    <row r="565" spans="1:14" ht="24" x14ac:dyDescent="0.25">
      <c r="A565" s="8" t="s">
        <v>16</v>
      </c>
      <c r="B565" s="13" t="s">
        <v>52</v>
      </c>
      <c r="C565" s="13" t="s">
        <v>412</v>
      </c>
      <c r="D565" s="8">
        <v>627</v>
      </c>
      <c r="E565" s="13" t="s">
        <v>482</v>
      </c>
      <c r="F565" s="8" t="s">
        <v>92</v>
      </c>
      <c r="G565" s="13"/>
      <c r="H565" s="8"/>
      <c r="I565" s="13" t="s">
        <v>75</v>
      </c>
      <c r="J565" s="14">
        <v>46190</v>
      </c>
      <c r="K565" s="14">
        <v>46190</v>
      </c>
      <c r="L565" s="15" t="s">
        <v>21</v>
      </c>
      <c r="M565" s="13"/>
      <c r="N565" s="16" t="s">
        <v>483</v>
      </c>
    </row>
    <row r="566" spans="1:14" ht="24" x14ac:dyDescent="0.25">
      <c r="A566" s="8" t="s">
        <v>16</v>
      </c>
      <c r="B566" s="13" t="s">
        <v>52</v>
      </c>
      <c r="C566" s="13" t="s">
        <v>412</v>
      </c>
      <c r="D566" s="8">
        <v>628</v>
      </c>
      <c r="E566" s="13" t="s">
        <v>484</v>
      </c>
      <c r="F566" s="8" t="s">
        <v>92</v>
      </c>
      <c r="G566" s="13"/>
      <c r="H566" s="8"/>
      <c r="I566" s="13" t="s">
        <v>75</v>
      </c>
      <c r="J566" s="14">
        <v>46190</v>
      </c>
      <c r="K566" s="14">
        <v>46190</v>
      </c>
      <c r="L566" s="15" t="s">
        <v>21</v>
      </c>
      <c r="M566" s="13"/>
      <c r="N566" s="16" t="s">
        <v>485</v>
      </c>
    </row>
    <row r="567" spans="1:14" ht="24" x14ac:dyDescent="0.25">
      <c r="A567" s="8" t="s">
        <v>16</v>
      </c>
      <c r="B567" s="13" t="s">
        <v>52</v>
      </c>
      <c r="C567" s="13" t="s">
        <v>279</v>
      </c>
      <c r="D567" s="8">
        <v>629</v>
      </c>
      <c r="E567" s="13" t="s">
        <v>326</v>
      </c>
      <c r="F567" s="8" t="s">
        <v>92</v>
      </c>
      <c r="G567" s="13"/>
      <c r="H567" s="8"/>
      <c r="I567" s="13" t="s">
        <v>75</v>
      </c>
      <c r="J567" s="14">
        <v>46190</v>
      </c>
      <c r="K567" s="14">
        <v>46190</v>
      </c>
      <c r="L567" s="15" t="s">
        <v>21</v>
      </c>
      <c r="M567" s="13"/>
      <c r="N567" s="16" t="s">
        <v>327</v>
      </c>
    </row>
    <row r="568" spans="1:14" ht="24" x14ac:dyDescent="0.25">
      <c r="A568" s="8" t="s">
        <v>16</v>
      </c>
      <c r="B568" s="13" t="s">
        <v>52</v>
      </c>
      <c r="C568" s="13" t="s">
        <v>279</v>
      </c>
      <c r="D568" s="8">
        <v>630</v>
      </c>
      <c r="E568" s="13" t="s">
        <v>328</v>
      </c>
      <c r="F568" s="8" t="s">
        <v>92</v>
      </c>
      <c r="G568" s="13"/>
      <c r="H568" s="8" t="s">
        <v>329</v>
      </c>
      <c r="I568" s="13" t="s">
        <v>75</v>
      </c>
      <c r="J568" s="14">
        <v>46190</v>
      </c>
      <c r="K568" s="14">
        <v>46190</v>
      </c>
      <c r="L568" s="15" t="s">
        <v>21</v>
      </c>
      <c r="M568" s="13"/>
      <c r="N568" s="16" t="s">
        <v>330</v>
      </c>
    </row>
    <row r="569" spans="1:14" ht="24" x14ac:dyDescent="0.25">
      <c r="A569" s="8" t="s">
        <v>16</v>
      </c>
      <c r="B569" s="13" t="s">
        <v>52</v>
      </c>
      <c r="C569" s="13" t="s">
        <v>335</v>
      </c>
      <c r="D569" s="8">
        <v>631</v>
      </c>
      <c r="E569" s="13" t="s">
        <v>361</v>
      </c>
      <c r="F569" s="8" t="s">
        <v>92</v>
      </c>
      <c r="G569" s="13"/>
      <c r="H569" s="8" t="s">
        <v>329</v>
      </c>
      <c r="I569" s="13" t="s">
        <v>75</v>
      </c>
      <c r="J569" s="14">
        <v>46190</v>
      </c>
      <c r="K569" s="14">
        <v>46190</v>
      </c>
      <c r="L569" s="15" t="s">
        <v>21</v>
      </c>
      <c r="M569" s="13"/>
      <c r="N569" s="16" t="s">
        <v>362</v>
      </c>
    </row>
    <row r="570" spans="1:14" ht="24" x14ac:dyDescent="0.25">
      <c r="A570" s="8" t="s">
        <v>16</v>
      </c>
      <c r="B570" s="13" t="s">
        <v>52</v>
      </c>
      <c r="C570" s="13" t="s">
        <v>279</v>
      </c>
      <c r="D570" s="8">
        <v>632</v>
      </c>
      <c r="E570" s="13" t="s">
        <v>331</v>
      </c>
      <c r="F570" s="8" t="s">
        <v>92</v>
      </c>
      <c r="G570" s="13"/>
      <c r="H570" s="8" t="s">
        <v>329</v>
      </c>
      <c r="I570" s="13" t="s">
        <v>75</v>
      </c>
      <c r="J570" s="14">
        <v>46190</v>
      </c>
      <c r="K570" s="14">
        <v>46190</v>
      </c>
      <c r="L570" s="15" t="s">
        <v>21</v>
      </c>
      <c r="M570" s="13"/>
      <c r="N570" s="16" t="s">
        <v>332</v>
      </c>
    </row>
    <row r="571" spans="1:14" ht="24" x14ac:dyDescent="0.25">
      <c r="A571" s="8" t="s">
        <v>16</v>
      </c>
      <c r="B571" s="13" t="s">
        <v>52</v>
      </c>
      <c r="C571" s="13" t="s">
        <v>412</v>
      </c>
      <c r="D571" s="8">
        <v>633</v>
      </c>
      <c r="E571" s="13" t="s">
        <v>475</v>
      </c>
      <c r="F571" s="8" t="s">
        <v>92</v>
      </c>
      <c r="G571" s="13"/>
      <c r="H571" s="8"/>
      <c r="I571" s="13" t="s">
        <v>75</v>
      </c>
      <c r="J571" s="14">
        <v>46190</v>
      </c>
      <c r="K571" s="14">
        <v>46190</v>
      </c>
      <c r="L571" s="15" t="s">
        <v>21</v>
      </c>
      <c r="M571" s="13"/>
      <c r="N571" s="16" t="s">
        <v>486</v>
      </c>
    </row>
    <row r="572" spans="1:14" ht="24" x14ac:dyDescent="0.25">
      <c r="A572" s="8" t="s">
        <v>16</v>
      </c>
      <c r="B572" s="13" t="s">
        <v>52</v>
      </c>
      <c r="C572" s="13" t="s">
        <v>412</v>
      </c>
      <c r="D572" s="8">
        <v>634</v>
      </c>
      <c r="E572" s="13" t="s">
        <v>487</v>
      </c>
      <c r="F572" s="8" t="s">
        <v>92</v>
      </c>
      <c r="G572" s="13"/>
      <c r="H572" s="8" t="s">
        <v>329</v>
      </c>
      <c r="I572" s="13" t="s">
        <v>75</v>
      </c>
      <c r="J572" s="14">
        <v>46190</v>
      </c>
      <c r="K572" s="14">
        <v>46190</v>
      </c>
      <c r="L572" s="15" t="s">
        <v>21</v>
      </c>
      <c r="M572" s="13"/>
      <c r="N572" s="16" t="s">
        <v>488</v>
      </c>
    </row>
    <row r="573" spans="1:14" ht="24" x14ac:dyDescent="0.25">
      <c r="A573" s="8" t="s">
        <v>16</v>
      </c>
      <c r="B573" s="13" t="s">
        <v>52</v>
      </c>
      <c r="C573" s="13" t="s">
        <v>335</v>
      </c>
      <c r="D573" s="8">
        <v>635</v>
      </c>
      <c r="E573" s="13" t="s">
        <v>363</v>
      </c>
      <c r="F573" s="8" t="s">
        <v>92</v>
      </c>
      <c r="G573" s="13"/>
      <c r="H573" s="8" t="s">
        <v>329</v>
      </c>
      <c r="I573" s="13" t="s">
        <v>75</v>
      </c>
      <c r="J573" s="14">
        <v>46190</v>
      </c>
      <c r="K573" s="14">
        <v>46190</v>
      </c>
      <c r="L573" s="15" t="s">
        <v>21</v>
      </c>
      <c r="M573" s="13"/>
      <c r="N573" s="16" t="s">
        <v>364</v>
      </c>
    </row>
    <row r="574" spans="1:14" ht="24" x14ac:dyDescent="0.25">
      <c r="A574" s="8" t="s">
        <v>16</v>
      </c>
      <c r="B574" s="13" t="s">
        <v>52</v>
      </c>
      <c r="C574" s="13" t="s">
        <v>279</v>
      </c>
      <c r="D574" s="8">
        <v>636</v>
      </c>
      <c r="E574" s="13" t="s">
        <v>333</v>
      </c>
      <c r="F574" s="8" t="s">
        <v>92</v>
      </c>
      <c r="G574" s="13"/>
      <c r="H574" s="8" t="s">
        <v>329</v>
      </c>
      <c r="I574" s="13" t="s">
        <v>75</v>
      </c>
      <c r="J574" s="14">
        <v>46190</v>
      </c>
      <c r="K574" s="14">
        <v>46190</v>
      </c>
      <c r="L574" s="15" t="s">
        <v>21</v>
      </c>
      <c r="M574" s="13"/>
      <c r="N574" s="16" t="s">
        <v>334</v>
      </c>
    </row>
    <row r="575" spans="1:14" ht="24" x14ac:dyDescent="0.25">
      <c r="A575" s="8" t="s">
        <v>16</v>
      </c>
      <c r="B575" s="13" t="s">
        <v>52</v>
      </c>
      <c r="C575" s="13" t="s">
        <v>412</v>
      </c>
      <c r="D575" s="8">
        <v>637</v>
      </c>
      <c r="E575" s="13" t="s">
        <v>489</v>
      </c>
      <c r="F575" s="8" t="s">
        <v>92</v>
      </c>
      <c r="G575" s="13"/>
      <c r="H575" s="8" t="s">
        <v>329</v>
      </c>
      <c r="I575" s="13" t="s">
        <v>75</v>
      </c>
      <c r="J575" s="14">
        <v>46190</v>
      </c>
      <c r="K575" s="14">
        <v>46190</v>
      </c>
      <c r="L575" s="15" t="s">
        <v>21</v>
      </c>
      <c r="M575" s="13"/>
      <c r="N575" s="16" t="s">
        <v>490</v>
      </c>
    </row>
    <row r="576" spans="1:14" ht="24" x14ac:dyDescent="0.25">
      <c r="A576" s="8" t="s">
        <v>16</v>
      </c>
      <c r="B576" s="13" t="s">
        <v>52</v>
      </c>
      <c r="C576" s="13" t="s">
        <v>412</v>
      </c>
      <c r="D576" s="8">
        <v>638</v>
      </c>
      <c r="E576" s="13" t="s">
        <v>489</v>
      </c>
      <c r="F576" s="8" t="s">
        <v>92</v>
      </c>
      <c r="G576" s="13"/>
      <c r="H576" s="8" t="s">
        <v>329</v>
      </c>
      <c r="I576" s="13" t="s">
        <v>75</v>
      </c>
      <c r="J576" s="14">
        <v>46190</v>
      </c>
      <c r="K576" s="14">
        <v>46190</v>
      </c>
      <c r="L576" s="15" t="s">
        <v>21</v>
      </c>
      <c r="M576" s="13"/>
      <c r="N576" s="16" t="s">
        <v>491</v>
      </c>
    </row>
    <row r="577" spans="1:14" ht="24" x14ac:dyDescent="0.25">
      <c r="A577" s="8" t="s">
        <v>16</v>
      </c>
      <c r="B577" s="13" t="s">
        <v>52</v>
      </c>
      <c r="C577" s="13" t="s">
        <v>335</v>
      </c>
      <c r="D577" s="8">
        <v>639</v>
      </c>
      <c r="E577" s="13" t="s">
        <v>365</v>
      </c>
      <c r="F577" s="8" t="s">
        <v>92</v>
      </c>
      <c r="G577" s="13"/>
      <c r="H577" s="8" t="s">
        <v>329</v>
      </c>
      <c r="I577" s="13" t="s">
        <v>75</v>
      </c>
      <c r="J577" s="14">
        <v>46190</v>
      </c>
      <c r="K577" s="14">
        <v>46190</v>
      </c>
      <c r="L577" s="15" t="s">
        <v>21</v>
      </c>
      <c r="M577" s="13"/>
      <c r="N577" s="16" t="s">
        <v>366</v>
      </c>
    </row>
    <row r="578" spans="1:14" ht="24" x14ac:dyDescent="0.25">
      <c r="A578" s="8" t="s">
        <v>16</v>
      </c>
      <c r="B578" s="13" t="s">
        <v>52</v>
      </c>
      <c r="C578" s="13" t="s">
        <v>335</v>
      </c>
      <c r="D578" s="8">
        <v>640</v>
      </c>
      <c r="E578" s="13" t="s">
        <v>367</v>
      </c>
      <c r="F578" s="8" t="s">
        <v>92</v>
      </c>
      <c r="G578" s="13"/>
      <c r="H578" s="8" t="s">
        <v>329</v>
      </c>
      <c r="I578" s="13" t="s">
        <v>75</v>
      </c>
      <c r="J578" s="14">
        <v>46190</v>
      </c>
      <c r="K578" s="14">
        <v>46190</v>
      </c>
      <c r="L578" s="15" t="s">
        <v>21</v>
      </c>
      <c r="M578" s="13"/>
      <c r="N578" s="16" t="s">
        <v>368</v>
      </c>
    </row>
    <row r="579" spans="1:14" ht="24" x14ac:dyDescent="0.25">
      <c r="A579" s="8" t="s">
        <v>16</v>
      </c>
      <c r="B579" s="13" t="s">
        <v>52</v>
      </c>
      <c r="C579" s="13" t="s">
        <v>412</v>
      </c>
      <c r="D579" s="8">
        <v>641</v>
      </c>
      <c r="E579" s="13" t="s">
        <v>492</v>
      </c>
      <c r="F579" s="8" t="s">
        <v>72</v>
      </c>
      <c r="G579" s="13"/>
      <c r="H579" s="8"/>
      <c r="I579" s="13" t="s">
        <v>290</v>
      </c>
      <c r="J579" s="14">
        <v>46190</v>
      </c>
      <c r="K579" s="14">
        <v>46193</v>
      </c>
      <c r="L579" s="15" t="s">
        <v>21</v>
      </c>
      <c r="M579" s="13"/>
      <c r="N579" s="16" t="s">
        <v>493</v>
      </c>
    </row>
    <row r="580" spans="1:14" ht="24" x14ac:dyDescent="0.25">
      <c r="A580" s="8" t="s">
        <v>16</v>
      </c>
      <c r="B580" s="13" t="s">
        <v>52</v>
      </c>
      <c r="C580" s="13" t="s">
        <v>412</v>
      </c>
      <c r="D580" s="8">
        <v>642</v>
      </c>
      <c r="E580" s="13" t="s">
        <v>494</v>
      </c>
      <c r="F580" s="8" t="s">
        <v>72</v>
      </c>
      <c r="G580" s="13"/>
      <c r="H580" s="8"/>
      <c r="I580" s="13" t="s">
        <v>290</v>
      </c>
      <c r="J580" s="14">
        <v>46190</v>
      </c>
      <c r="K580" s="14">
        <v>46190</v>
      </c>
      <c r="L580" s="15" t="s">
        <v>21</v>
      </c>
      <c r="M580" s="13"/>
      <c r="N580" s="16" t="s">
        <v>495</v>
      </c>
    </row>
    <row r="581" spans="1:14" ht="24" x14ac:dyDescent="0.25">
      <c r="A581" s="8" t="s">
        <v>16</v>
      </c>
      <c r="B581" s="13" t="s">
        <v>52</v>
      </c>
      <c r="C581" s="13" t="s">
        <v>412</v>
      </c>
      <c r="D581" s="8">
        <v>643</v>
      </c>
      <c r="E581" s="13" t="s">
        <v>496</v>
      </c>
      <c r="F581" s="8" t="s">
        <v>72</v>
      </c>
      <c r="G581" s="13"/>
      <c r="H581" s="8"/>
      <c r="I581" s="13" t="s">
        <v>290</v>
      </c>
      <c r="J581" s="14">
        <v>46190</v>
      </c>
      <c r="K581" s="14">
        <v>46193</v>
      </c>
      <c r="L581" s="15" t="s">
        <v>21</v>
      </c>
      <c r="M581" s="13"/>
      <c r="N581" s="16" t="s">
        <v>497</v>
      </c>
    </row>
    <row r="582" spans="1:14" ht="24" x14ac:dyDescent="0.25">
      <c r="A582" s="8" t="s">
        <v>16</v>
      </c>
      <c r="B582" s="13" t="s">
        <v>52</v>
      </c>
      <c r="C582" s="13" t="s">
        <v>412</v>
      </c>
      <c r="D582" s="8">
        <v>644</v>
      </c>
      <c r="E582" s="13" t="s">
        <v>498</v>
      </c>
      <c r="F582" s="8" t="s">
        <v>72</v>
      </c>
      <c r="G582" s="13"/>
      <c r="H582" s="8"/>
      <c r="I582" s="13" t="s">
        <v>290</v>
      </c>
      <c r="J582" s="14">
        <v>46190</v>
      </c>
      <c r="K582" s="14">
        <v>46191</v>
      </c>
      <c r="L582" s="15" t="s">
        <v>21</v>
      </c>
      <c r="M582" s="13"/>
      <c r="N582" s="16" t="s">
        <v>499</v>
      </c>
    </row>
    <row r="583" spans="1:14" ht="24" x14ac:dyDescent="0.25">
      <c r="A583" s="8" t="s">
        <v>16</v>
      </c>
      <c r="B583" s="13" t="s">
        <v>52</v>
      </c>
      <c r="C583" s="13" t="s">
        <v>412</v>
      </c>
      <c r="D583" s="8">
        <v>645</v>
      </c>
      <c r="E583" s="13" t="s">
        <v>500</v>
      </c>
      <c r="F583" s="8" t="s">
        <v>72</v>
      </c>
      <c r="G583" s="13"/>
      <c r="H583" s="8"/>
      <c r="I583" s="13" t="s">
        <v>290</v>
      </c>
      <c r="J583" s="14">
        <v>46190</v>
      </c>
      <c r="K583" s="14">
        <v>46193</v>
      </c>
      <c r="L583" s="15" t="s">
        <v>21</v>
      </c>
      <c r="M583" s="13"/>
      <c r="N583" s="16" t="s">
        <v>501</v>
      </c>
    </row>
    <row r="584" spans="1:14" ht="24" x14ac:dyDescent="0.25">
      <c r="A584" s="8" t="s">
        <v>16</v>
      </c>
      <c r="B584" s="13" t="s">
        <v>52</v>
      </c>
      <c r="C584" s="13" t="s">
        <v>412</v>
      </c>
      <c r="D584" s="8">
        <v>646</v>
      </c>
      <c r="E584" s="13" t="s">
        <v>502</v>
      </c>
      <c r="F584" s="8" t="s">
        <v>72</v>
      </c>
      <c r="G584" s="13"/>
      <c r="H584" s="8"/>
      <c r="I584" s="13" t="s">
        <v>290</v>
      </c>
      <c r="J584" s="14">
        <v>46190</v>
      </c>
      <c r="K584" s="14">
        <v>46191</v>
      </c>
      <c r="L584" s="15" t="s">
        <v>21</v>
      </c>
      <c r="M584" s="13"/>
      <c r="N584" s="16" t="s">
        <v>503</v>
      </c>
    </row>
    <row r="585" spans="1:14" ht="24" x14ac:dyDescent="0.25">
      <c r="A585" s="8" t="s">
        <v>16</v>
      </c>
      <c r="B585" s="13" t="s">
        <v>52</v>
      </c>
      <c r="C585" s="13" t="s">
        <v>412</v>
      </c>
      <c r="D585" s="8">
        <v>647</v>
      </c>
      <c r="E585" s="13" t="s">
        <v>504</v>
      </c>
      <c r="F585" s="8" t="s">
        <v>72</v>
      </c>
      <c r="G585" s="13"/>
      <c r="H585" s="8"/>
      <c r="I585" s="13" t="s">
        <v>290</v>
      </c>
      <c r="J585" s="14">
        <v>46190</v>
      </c>
      <c r="K585" s="14">
        <v>46191</v>
      </c>
      <c r="L585" s="15" t="s">
        <v>21</v>
      </c>
      <c r="M585" s="13"/>
      <c r="N585" s="16" t="s">
        <v>505</v>
      </c>
    </row>
    <row r="586" spans="1:14" ht="24" x14ac:dyDescent="0.25">
      <c r="A586" s="8" t="s">
        <v>16</v>
      </c>
      <c r="B586" s="13" t="s">
        <v>52</v>
      </c>
      <c r="C586" s="13" t="s">
        <v>412</v>
      </c>
      <c r="D586" s="8">
        <v>648</v>
      </c>
      <c r="E586" s="13" t="s">
        <v>506</v>
      </c>
      <c r="F586" s="8" t="s">
        <v>72</v>
      </c>
      <c r="G586" s="13"/>
      <c r="H586" s="8"/>
      <c r="I586" s="13" t="s">
        <v>290</v>
      </c>
      <c r="J586" s="14">
        <v>46190</v>
      </c>
      <c r="K586" s="14">
        <v>46193</v>
      </c>
      <c r="L586" s="15" t="s">
        <v>21</v>
      </c>
      <c r="M586" s="13"/>
      <c r="N586" s="16" t="s">
        <v>507</v>
      </c>
    </row>
    <row r="587" spans="1:14" ht="24" x14ac:dyDescent="0.25">
      <c r="A587" s="8" t="s">
        <v>16</v>
      </c>
      <c r="B587" s="13" t="s">
        <v>52</v>
      </c>
      <c r="C587" s="13" t="s">
        <v>412</v>
      </c>
      <c r="D587" s="8">
        <v>649</v>
      </c>
      <c r="E587" s="13" t="s">
        <v>508</v>
      </c>
      <c r="F587" s="8" t="s">
        <v>92</v>
      </c>
      <c r="G587" s="13"/>
      <c r="H587" s="8"/>
      <c r="I587" s="13" t="s">
        <v>75</v>
      </c>
      <c r="J587" s="14">
        <v>46190</v>
      </c>
      <c r="K587" s="14">
        <v>46193</v>
      </c>
      <c r="L587" s="15" t="s">
        <v>21</v>
      </c>
      <c r="M587" s="13"/>
      <c r="N587" s="16" t="s">
        <v>509</v>
      </c>
    </row>
    <row r="588" spans="1:14" ht="24" x14ac:dyDescent="0.25">
      <c r="A588" s="8" t="s">
        <v>16</v>
      </c>
      <c r="B588" s="13" t="s">
        <v>52</v>
      </c>
      <c r="C588" s="13" t="s">
        <v>412</v>
      </c>
      <c r="D588" s="8">
        <v>650</v>
      </c>
      <c r="E588" s="13" t="s">
        <v>510</v>
      </c>
      <c r="F588" s="8" t="s">
        <v>72</v>
      </c>
      <c r="G588" s="13"/>
      <c r="H588" s="8"/>
      <c r="I588" s="13" t="s">
        <v>290</v>
      </c>
      <c r="J588" s="14">
        <v>46190</v>
      </c>
      <c r="K588" s="14">
        <v>46191</v>
      </c>
      <c r="L588" s="15" t="s">
        <v>21</v>
      </c>
      <c r="M588" s="13"/>
      <c r="N588" s="16" t="s">
        <v>511</v>
      </c>
    </row>
    <row r="589" spans="1:14" ht="24" x14ac:dyDescent="0.25">
      <c r="A589" s="8" t="s">
        <v>16</v>
      </c>
      <c r="B589" s="13" t="s">
        <v>52</v>
      </c>
      <c r="C589" s="13" t="s">
        <v>412</v>
      </c>
      <c r="D589" s="8">
        <v>651</v>
      </c>
      <c r="E589" s="13" t="s">
        <v>512</v>
      </c>
      <c r="F589" s="8" t="s">
        <v>72</v>
      </c>
      <c r="G589" s="13"/>
      <c r="H589" s="8"/>
      <c r="I589" s="13" t="s">
        <v>290</v>
      </c>
      <c r="J589" s="14">
        <v>46190</v>
      </c>
      <c r="K589" s="14">
        <v>46193</v>
      </c>
      <c r="L589" s="15" t="s">
        <v>21</v>
      </c>
      <c r="M589" s="13"/>
      <c r="N589" s="16" t="s">
        <v>513</v>
      </c>
    </row>
    <row r="590" spans="1:14" ht="24" x14ac:dyDescent="0.25">
      <c r="A590" s="8" t="s">
        <v>16</v>
      </c>
      <c r="B590" s="13" t="s">
        <v>52</v>
      </c>
      <c r="C590" s="13" t="s">
        <v>412</v>
      </c>
      <c r="D590" s="8">
        <v>652</v>
      </c>
      <c r="E590" s="13" t="s">
        <v>514</v>
      </c>
      <c r="F590" s="8" t="s">
        <v>92</v>
      </c>
      <c r="G590" s="13"/>
      <c r="H590" s="8"/>
      <c r="I590" s="13" t="s">
        <v>75</v>
      </c>
      <c r="J590" s="14">
        <v>46190</v>
      </c>
      <c r="K590" s="14">
        <v>46193</v>
      </c>
      <c r="L590" s="15" t="s">
        <v>21</v>
      </c>
      <c r="M590" s="13"/>
      <c r="N590" s="16" t="s">
        <v>515</v>
      </c>
    </row>
    <row r="591" spans="1:14" ht="24" x14ac:dyDescent="0.25">
      <c r="A591" s="8" t="s">
        <v>16</v>
      </c>
      <c r="B591" s="13" t="s">
        <v>52</v>
      </c>
      <c r="C591" s="13" t="s">
        <v>412</v>
      </c>
      <c r="D591" s="8">
        <v>653</v>
      </c>
      <c r="E591" s="13" t="s">
        <v>516</v>
      </c>
      <c r="F591" s="8" t="s">
        <v>92</v>
      </c>
      <c r="G591" s="13"/>
      <c r="H591" s="8"/>
      <c r="I591" s="13" t="s">
        <v>75</v>
      </c>
      <c r="J591" s="14">
        <v>46190</v>
      </c>
      <c r="K591" s="14">
        <v>46190</v>
      </c>
      <c r="L591" s="15" t="s">
        <v>21</v>
      </c>
      <c r="M591" s="13"/>
      <c r="N591" s="16" t="s">
        <v>517</v>
      </c>
    </row>
    <row r="592" spans="1:14" ht="24" x14ac:dyDescent="0.25">
      <c r="A592" s="8" t="s">
        <v>16</v>
      </c>
      <c r="B592" s="13" t="s">
        <v>52</v>
      </c>
      <c r="C592" s="13" t="s">
        <v>412</v>
      </c>
      <c r="D592" s="8">
        <v>654</v>
      </c>
      <c r="E592" s="13" t="s">
        <v>518</v>
      </c>
      <c r="F592" s="8" t="s">
        <v>92</v>
      </c>
      <c r="G592" s="13"/>
      <c r="H592" s="8"/>
      <c r="I592" s="13" t="s">
        <v>75</v>
      </c>
      <c r="J592" s="14">
        <v>46190</v>
      </c>
      <c r="K592" s="14">
        <v>46190</v>
      </c>
      <c r="L592" s="15" t="s">
        <v>21</v>
      </c>
      <c r="M592" s="13"/>
      <c r="N592" s="16" t="s">
        <v>519</v>
      </c>
    </row>
    <row r="593" spans="1:14" ht="24" x14ac:dyDescent="0.25">
      <c r="A593" s="8" t="s">
        <v>16</v>
      </c>
      <c r="B593" s="13" t="s">
        <v>52</v>
      </c>
      <c r="C593" s="13" t="s">
        <v>412</v>
      </c>
      <c r="D593" s="8">
        <v>655</v>
      </c>
      <c r="E593" s="13" t="s">
        <v>520</v>
      </c>
      <c r="F593" s="8" t="s">
        <v>72</v>
      </c>
      <c r="G593" s="13"/>
      <c r="H593" s="8"/>
      <c r="I593" s="13" t="s">
        <v>290</v>
      </c>
      <c r="J593" s="14">
        <v>46190</v>
      </c>
      <c r="K593" s="14">
        <v>46193</v>
      </c>
      <c r="L593" s="15" t="s">
        <v>21</v>
      </c>
      <c r="M593" s="13"/>
      <c r="N593" s="16" t="s">
        <v>521</v>
      </c>
    </row>
    <row r="594" spans="1:14" ht="24" x14ac:dyDescent="0.25">
      <c r="A594" s="8" t="s">
        <v>16</v>
      </c>
      <c r="B594" s="13" t="s">
        <v>52</v>
      </c>
      <c r="C594" s="13" t="s">
        <v>412</v>
      </c>
      <c r="D594" s="8">
        <v>656</v>
      </c>
      <c r="E594" s="13" t="s">
        <v>522</v>
      </c>
      <c r="F594" s="8" t="s">
        <v>72</v>
      </c>
      <c r="G594" s="13"/>
      <c r="H594" s="8"/>
      <c r="I594" s="13" t="s">
        <v>290</v>
      </c>
      <c r="J594" s="14">
        <v>46190</v>
      </c>
      <c r="K594" s="14">
        <v>46190</v>
      </c>
      <c r="L594" s="15" t="s">
        <v>21</v>
      </c>
      <c r="M594" s="13"/>
      <c r="N594" s="16" t="s">
        <v>523</v>
      </c>
    </row>
    <row r="595" spans="1:14" ht="24" x14ac:dyDescent="0.25">
      <c r="A595" s="8" t="s">
        <v>16</v>
      </c>
      <c r="B595" s="13" t="s">
        <v>52</v>
      </c>
      <c r="C595" s="13" t="s">
        <v>412</v>
      </c>
      <c r="D595" s="8">
        <v>657</v>
      </c>
      <c r="E595" s="13" t="s">
        <v>524</v>
      </c>
      <c r="F595" s="8" t="s">
        <v>72</v>
      </c>
      <c r="G595" s="13"/>
      <c r="H595" s="8"/>
      <c r="I595" s="13" t="s">
        <v>290</v>
      </c>
      <c r="J595" s="14">
        <v>46190</v>
      </c>
      <c r="K595" s="14">
        <v>46193</v>
      </c>
      <c r="L595" s="15" t="s">
        <v>21</v>
      </c>
      <c r="M595" s="13"/>
      <c r="N595" s="16" t="s">
        <v>525</v>
      </c>
    </row>
    <row r="596" spans="1:14" ht="24" x14ac:dyDescent="0.25">
      <c r="A596" s="8" t="s">
        <v>16</v>
      </c>
      <c r="B596" s="13" t="s">
        <v>52</v>
      </c>
      <c r="C596" s="13" t="s">
        <v>412</v>
      </c>
      <c r="D596" s="8">
        <v>658</v>
      </c>
      <c r="E596" s="13" t="s">
        <v>526</v>
      </c>
      <c r="F596" s="8" t="s">
        <v>72</v>
      </c>
      <c r="G596" s="13"/>
      <c r="H596" s="8"/>
      <c r="I596" s="13" t="s">
        <v>290</v>
      </c>
      <c r="J596" s="14">
        <v>46190</v>
      </c>
      <c r="K596" s="14">
        <v>46194</v>
      </c>
      <c r="L596" s="15" t="s">
        <v>21</v>
      </c>
      <c r="M596" s="13"/>
      <c r="N596" s="16" t="s">
        <v>527</v>
      </c>
    </row>
    <row r="597" spans="1:14" ht="24" x14ac:dyDescent="0.25">
      <c r="A597" s="8" t="s">
        <v>16</v>
      </c>
      <c r="B597" s="13" t="s">
        <v>52</v>
      </c>
      <c r="C597" s="13" t="s">
        <v>412</v>
      </c>
      <c r="D597" s="8">
        <v>659</v>
      </c>
      <c r="E597" s="13" t="s">
        <v>528</v>
      </c>
      <c r="F597" s="8" t="s">
        <v>92</v>
      </c>
      <c r="G597" s="13"/>
      <c r="H597" s="8"/>
      <c r="I597" s="13" t="s">
        <v>75</v>
      </c>
      <c r="J597" s="14">
        <v>46190</v>
      </c>
      <c r="K597" s="14">
        <v>46191</v>
      </c>
      <c r="L597" s="15" t="s">
        <v>21</v>
      </c>
      <c r="M597" s="13"/>
      <c r="N597" s="16" t="s">
        <v>529</v>
      </c>
    </row>
    <row r="598" spans="1:14" ht="24" x14ac:dyDescent="0.25">
      <c r="A598" s="8" t="s">
        <v>16</v>
      </c>
      <c r="B598" s="13" t="s">
        <v>52</v>
      </c>
      <c r="C598" s="13" t="s">
        <v>412</v>
      </c>
      <c r="D598" s="8">
        <v>660</v>
      </c>
      <c r="E598" s="13" t="s">
        <v>530</v>
      </c>
      <c r="F598" s="8" t="s">
        <v>92</v>
      </c>
      <c r="G598" s="13"/>
      <c r="H598" s="8"/>
      <c r="I598" s="13" t="s">
        <v>75</v>
      </c>
      <c r="J598" s="14">
        <v>46190</v>
      </c>
      <c r="K598" s="14">
        <v>46190</v>
      </c>
      <c r="L598" s="15" t="s">
        <v>21</v>
      </c>
      <c r="M598" s="13"/>
      <c r="N598" s="16" t="s">
        <v>531</v>
      </c>
    </row>
    <row r="599" spans="1:14" ht="24" x14ac:dyDescent="0.25">
      <c r="A599" s="8" t="s">
        <v>16</v>
      </c>
      <c r="B599" s="13" t="s">
        <v>52</v>
      </c>
      <c r="C599" s="13" t="s">
        <v>412</v>
      </c>
      <c r="D599" s="8">
        <v>661</v>
      </c>
      <c r="E599" s="13" t="s">
        <v>532</v>
      </c>
      <c r="F599" s="8" t="s">
        <v>92</v>
      </c>
      <c r="G599" s="13"/>
      <c r="H599" s="8"/>
      <c r="I599" s="13" t="s">
        <v>75</v>
      </c>
      <c r="J599" s="14">
        <v>46190</v>
      </c>
      <c r="K599" s="14">
        <v>46193</v>
      </c>
      <c r="L599" s="15" t="s">
        <v>21</v>
      </c>
      <c r="M599" s="13"/>
      <c r="N599" s="16" t="s">
        <v>533</v>
      </c>
    </row>
    <row r="600" spans="1:14" ht="24" x14ac:dyDescent="0.25">
      <c r="A600" s="8" t="s">
        <v>16</v>
      </c>
      <c r="B600" s="13" t="s">
        <v>52</v>
      </c>
      <c r="C600" s="13" t="s">
        <v>412</v>
      </c>
      <c r="D600" s="8">
        <v>662</v>
      </c>
      <c r="E600" s="13" t="s">
        <v>534</v>
      </c>
      <c r="F600" s="8" t="s">
        <v>92</v>
      </c>
      <c r="G600" s="13"/>
      <c r="H600" s="8"/>
      <c r="I600" s="13" t="s">
        <v>75</v>
      </c>
      <c r="J600" s="14">
        <v>46190</v>
      </c>
      <c r="K600" s="14">
        <v>46190</v>
      </c>
      <c r="L600" s="15" t="s">
        <v>21</v>
      </c>
      <c r="M600" s="13"/>
      <c r="N600" s="16" t="s">
        <v>535</v>
      </c>
    </row>
    <row r="601" spans="1:14" ht="24" x14ac:dyDescent="0.25">
      <c r="A601" s="8" t="s">
        <v>16</v>
      </c>
      <c r="B601" s="13" t="s">
        <v>52</v>
      </c>
      <c r="C601" s="13" t="s">
        <v>412</v>
      </c>
      <c r="D601" s="8">
        <v>663</v>
      </c>
      <c r="E601" s="13" t="s">
        <v>536</v>
      </c>
      <c r="F601" s="8" t="s">
        <v>72</v>
      </c>
      <c r="G601" s="13"/>
      <c r="H601" s="8"/>
      <c r="I601" s="13" t="s">
        <v>290</v>
      </c>
      <c r="J601" s="14">
        <v>46190</v>
      </c>
      <c r="K601" s="14">
        <v>46191</v>
      </c>
      <c r="L601" s="15" t="s">
        <v>21</v>
      </c>
      <c r="M601" s="13"/>
      <c r="N601" s="16" t="s">
        <v>537</v>
      </c>
    </row>
    <row r="602" spans="1:14" ht="24" x14ac:dyDescent="0.25">
      <c r="A602" s="8" t="s">
        <v>16</v>
      </c>
      <c r="B602" s="13" t="s">
        <v>52</v>
      </c>
      <c r="C602" s="13" t="s">
        <v>412</v>
      </c>
      <c r="D602" s="8">
        <v>664</v>
      </c>
      <c r="E602" s="13" t="s">
        <v>538</v>
      </c>
      <c r="F602" s="8" t="s">
        <v>92</v>
      </c>
      <c r="G602" s="13"/>
      <c r="H602" s="8"/>
      <c r="I602" s="13" t="s">
        <v>75</v>
      </c>
      <c r="J602" s="14">
        <v>46190</v>
      </c>
      <c r="K602" s="14">
        <v>46193</v>
      </c>
      <c r="L602" s="15" t="s">
        <v>21</v>
      </c>
      <c r="M602" s="13"/>
      <c r="N602" s="16" t="s">
        <v>539</v>
      </c>
    </row>
    <row r="603" spans="1:14" ht="24" x14ac:dyDescent="0.25">
      <c r="A603" s="8" t="s">
        <v>16</v>
      </c>
      <c r="B603" s="13" t="s">
        <v>52</v>
      </c>
      <c r="C603" s="13" t="s">
        <v>412</v>
      </c>
      <c r="D603" s="8">
        <v>665</v>
      </c>
      <c r="E603" s="13" t="s">
        <v>540</v>
      </c>
      <c r="F603" s="8" t="s">
        <v>92</v>
      </c>
      <c r="G603" s="13"/>
      <c r="H603" s="8"/>
      <c r="I603" s="13" t="s">
        <v>75</v>
      </c>
      <c r="J603" s="14">
        <v>46190</v>
      </c>
      <c r="K603" s="14">
        <v>46190</v>
      </c>
      <c r="L603" s="15" t="s">
        <v>21</v>
      </c>
      <c r="M603" s="13"/>
      <c r="N603" s="16" t="s">
        <v>541</v>
      </c>
    </row>
    <row r="604" spans="1:14" ht="24" x14ac:dyDescent="0.25">
      <c r="A604" s="8" t="s">
        <v>16</v>
      </c>
      <c r="B604" s="13" t="s">
        <v>52</v>
      </c>
      <c r="C604" s="13" t="s">
        <v>412</v>
      </c>
      <c r="D604" s="8">
        <v>666</v>
      </c>
      <c r="E604" s="13" t="s">
        <v>542</v>
      </c>
      <c r="F604" s="8" t="s">
        <v>72</v>
      </c>
      <c r="G604" s="13"/>
      <c r="H604" s="8"/>
      <c r="I604" s="13" t="s">
        <v>290</v>
      </c>
      <c r="J604" s="14">
        <v>46190</v>
      </c>
      <c r="K604" s="14">
        <v>46191</v>
      </c>
      <c r="L604" s="15" t="s">
        <v>21</v>
      </c>
      <c r="M604" s="13"/>
      <c r="N604" s="16" t="s">
        <v>543</v>
      </c>
    </row>
    <row r="605" spans="1:14" ht="24" x14ac:dyDescent="0.25">
      <c r="A605" s="8" t="s">
        <v>16</v>
      </c>
      <c r="B605" s="13" t="s">
        <v>52</v>
      </c>
      <c r="C605" s="13" t="s">
        <v>412</v>
      </c>
      <c r="D605" s="8">
        <v>667</v>
      </c>
      <c r="E605" s="13" t="s">
        <v>544</v>
      </c>
      <c r="F605" s="8" t="s">
        <v>72</v>
      </c>
      <c r="G605" s="13"/>
      <c r="H605" s="8"/>
      <c r="I605" s="13" t="s">
        <v>290</v>
      </c>
      <c r="J605" s="14">
        <v>46190</v>
      </c>
      <c r="K605" s="14">
        <v>46191</v>
      </c>
      <c r="L605" s="15" t="s">
        <v>21</v>
      </c>
      <c r="M605" s="13"/>
      <c r="N605" s="16" t="s">
        <v>545</v>
      </c>
    </row>
    <row r="606" spans="1:14" ht="24" x14ac:dyDescent="0.25">
      <c r="A606" s="8" t="s">
        <v>16</v>
      </c>
      <c r="B606" s="13" t="s">
        <v>52</v>
      </c>
      <c r="C606" s="13" t="s">
        <v>412</v>
      </c>
      <c r="D606" s="8">
        <v>668</v>
      </c>
      <c r="E606" s="13" t="s">
        <v>546</v>
      </c>
      <c r="F606" s="8" t="s">
        <v>92</v>
      </c>
      <c r="G606" s="13"/>
      <c r="H606" s="8" t="s">
        <v>329</v>
      </c>
      <c r="I606" s="13" t="s">
        <v>75</v>
      </c>
      <c r="J606" s="14">
        <v>46190</v>
      </c>
      <c r="K606" s="14">
        <v>46190</v>
      </c>
      <c r="L606" s="15" t="s">
        <v>21</v>
      </c>
      <c r="M606" s="13"/>
      <c r="N606" s="16" t="s">
        <v>547</v>
      </c>
    </row>
    <row r="607" spans="1:14" ht="24" x14ac:dyDescent="0.25">
      <c r="A607" s="8" t="s">
        <v>16</v>
      </c>
      <c r="B607" s="13" t="s">
        <v>52</v>
      </c>
      <c r="C607" s="13" t="s">
        <v>335</v>
      </c>
      <c r="D607" s="8">
        <v>669</v>
      </c>
      <c r="E607" s="13" t="s">
        <v>369</v>
      </c>
      <c r="F607" s="8" t="s">
        <v>92</v>
      </c>
      <c r="G607" s="13"/>
      <c r="H607" s="8" t="s">
        <v>329</v>
      </c>
      <c r="I607" s="13" t="s">
        <v>75</v>
      </c>
      <c r="J607" s="14">
        <v>46190</v>
      </c>
      <c r="K607" s="14">
        <v>46190</v>
      </c>
      <c r="L607" s="15" t="s">
        <v>21</v>
      </c>
      <c r="M607" s="13"/>
      <c r="N607" s="16" t="s">
        <v>370</v>
      </c>
    </row>
    <row r="608" spans="1:14" ht="24" x14ac:dyDescent="0.25">
      <c r="A608" s="8" t="s">
        <v>16</v>
      </c>
      <c r="B608" s="13" t="s">
        <v>52</v>
      </c>
      <c r="C608" s="13" t="s">
        <v>335</v>
      </c>
      <c r="D608" s="8">
        <v>670</v>
      </c>
      <c r="E608" s="13" t="s">
        <v>371</v>
      </c>
      <c r="F608" s="8" t="s">
        <v>92</v>
      </c>
      <c r="G608" s="13"/>
      <c r="H608" s="8" t="s">
        <v>329</v>
      </c>
      <c r="I608" s="13" t="s">
        <v>75</v>
      </c>
      <c r="J608" s="14">
        <v>46190</v>
      </c>
      <c r="K608" s="14">
        <v>46190</v>
      </c>
      <c r="L608" s="15" t="s">
        <v>21</v>
      </c>
      <c r="M608" s="13"/>
      <c r="N608" s="16" t="s">
        <v>372</v>
      </c>
    </row>
    <row r="609" spans="1:14" ht="24" x14ac:dyDescent="0.25">
      <c r="A609" s="8" t="s">
        <v>16</v>
      </c>
      <c r="B609" s="13" t="s">
        <v>52</v>
      </c>
      <c r="C609" s="13" t="s">
        <v>335</v>
      </c>
      <c r="D609" s="8">
        <v>671</v>
      </c>
      <c r="E609" s="13" t="s">
        <v>373</v>
      </c>
      <c r="F609" s="8" t="s">
        <v>92</v>
      </c>
      <c r="G609" s="13"/>
      <c r="H609" s="8" t="s">
        <v>329</v>
      </c>
      <c r="I609" s="13" t="s">
        <v>75</v>
      </c>
      <c r="J609" s="14">
        <v>46190</v>
      </c>
      <c r="K609" s="14">
        <v>46190</v>
      </c>
      <c r="L609" s="15" t="s">
        <v>21</v>
      </c>
      <c r="M609" s="13"/>
      <c r="N609" s="16" t="s">
        <v>374</v>
      </c>
    </row>
    <row r="610" spans="1:14" ht="24" x14ac:dyDescent="0.25">
      <c r="A610" s="8" t="s">
        <v>16</v>
      </c>
      <c r="B610" s="13" t="s">
        <v>52</v>
      </c>
      <c r="C610" s="13" t="s">
        <v>335</v>
      </c>
      <c r="D610" s="8">
        <v>672</v>
      </c>
      <c r="E610" s="13" t="s">
        <v>375</v>
      </c>
      <c r="F610" s="8" t="s">
        <v>92</v>
      </c>
      <c r="G610" s="13"/>
      <c r="H610" s="8" t="s">
        <v>329</v>
      </c>
      <c r="I610" s="13" t="s">
        <v>75</v>
      </c>
      <c r="J610" s="14">
        <v>46190</v>
      </c>
      <c r="K610" s="14">
        <v>46193</v>
      </c>
      <c r="L610" s="15" t="s">
        <v>21</v>
      </c>
      <c r="M610" s="13"/>
      <c r="N610" s="16" t="s">
        <v>376</v>
      </c>
    </row>
    <row r="611" spans="1:14" ht="24" x14ac:dyDescent="0.25">
      <c r="A611" s="8" t="s">
        <v>16</v>
      </c>
      <c r="B611" s="13" t="s">
        <v>52</v>
      </c>
      <c r="C611" s="13" t="s">
        <v>335</v>
      </c>
      <c r="D611" s="8">
        <v>673</v>
      </c>
      <c r="E611" s="13" t="s">
        <v>377</v>
      </c>
      <c r="F611" s="8" t="s">
        <v>92</v>
      </c>
      <c r="G611" s="13"/>
      <c r="H611" s="8" t="s">
        <v>329</v>
      </c>
      <c r="I611" s="13" t="s">
        <v>75</v>
      </c>
      <c r="J611" s="14">
        <v>46190</v>
      </c>
      <c r="K611" s="14">
        <v>46190</v>
      </c>
      <c r="L611" s="15" t="s">
        <v>21</v>
      </c>
      <c r="M611" s="13"/>
      <c r="N611" s="16" t="s">
        <v>378</v>
      </c>
    </row>
    <row r="612" spans="1:14" ht="24" x14ac:dyDescent="0.25">
      <c r="A612" s="8" t="s">
        <v>16</v>
      </c>
      <c r="B612" s="13" t="s">
        <v>52</v>
      </c>
      <c r="C612" s="13" t="s">
        <v>335</v>
      </c>
      <c r="D612" s="8">
        <v>674</v>
      </c>
      <c r="E612" s="13" t="s">
        <v>379</v>
      </c>
      <c r="F612" s="8" t="s">
        <v>92</v>
      </c>
      <c r="G612" s="13"/>
      <c r="H612" s="8" t="s">
        <v>329</v>
      </c>
      <c r="I612" s="13" t="s">
        <v>75</v>
      </c>
      <c r="J612" s="14">
        <v>46190</v>
      </c>
      <c r="K612" s="14">
        <v>46192</v>
      </c>
      <c r="L612" s="15" t="s">
        <v>21</v>
      </c>
      <c r="M612" s="13"/>
      <c r="N612" s="16" t="s">
        <v>380</v>
      </c>
    </row>
    <row r="613" spans="1:14" ht="24" x14ac:dyDescent="0.25">
      <c r="A613" s="8" t="s">
        <v>16</v>
      </c>
      <c r="B613" s="13" t="s">
        <v>52</v>
      </c>
      <c r="C613" s="13" t="s">
        <v>335</v>
      </c>
      <c r="D613" s="8">
        <v>675</v>
      </c>
      <c r="E613" s="13" t="s">
        <v>381</v>
      </c>
      <c r="F613" s="8" t="s">
        <v>92</v>
      </c>
      <c r="G613" s="13"/>
      <c r="H613" s="8" t="s">
        <v>329</v>
      </c>
      <c r="I613" s="13" t="s">
        <v>75</v>
      </c>
      <c r="J613" s="14">
        <v>46190</v>
      </c>
      <c r="K613" s="14">
        <v>46192</v>
      </c>
      <c r="L613" s="15" t="s">
        <v>21</v>
      </c>
      <c r="M613" s="13"/>
      <c r="N613" s="16" t="s">
        <v>382</v>
      </c>
    </row>
    <row r="614" spans="1:14" ht="24" x14ac:dyDescent="0.25">
      <c r="A614" s="8" t="s">
        <v>16</v>
      </c>
      <c r="B614" s="13" t="s">
        <v>52</v>
      </c>
      <c r="C614" s="13" t="s">
        <v>412</v>
      </c>
      <c r="D614" s="8">
        <v>676</v>
      </c>
      <c r="E614" s="13" t="s">
        <v>548</v>
      </c>
      <c r="F614" s="8" t="s">
        <v>72</v>
      </c>
      <c r="G614" s="13"/>
      <c r="H614" s="8"/>
      <c r="I614" s="13" t="s">
        <v>290</v>
      </c>
      <c r="J614" s="14">
        <v>46190</v>
      </c>
      <c r="K614" s="14">
        <v>46194</v>
      </c>
      <c r="L614" s="15" t="s">
        <v>21</v>
      </c>
      <c r="M614" s="13"/>
      <c r="N614" s="16" t="s">
        <v>549</v>
      </c>
    </row>
    <row r="615" spans="1:14" ht="24" x14ac:dyDescent="0.25">
      <c r="A615" s="8" t="s">
        <v>16</v>
      </c>
      <c r="B615" s="13" t="s">
        <v>52</v>
      </c>
      <c r="C615" s="13" t="s">
        <v>412</v>
      </c>
      <c r="D615" s="8">
        <v>677</v>
      </c>
      <c r="E615" s="13" t="s">
        <v>550</v>
      </c>
      <c r="F615" s="8" t="s">
        <v>92</v>
      </c>
      <c r="G615" s="13"/>
      <c r="H615" s="8"/>
      <c r="I615" s="13" t="s">
        <v>75</v>
      </c>
      <c r="J615" s="14">
        <v>46190</v>
      </c>
      <c r="K615" s="14">
        <v>46193</v>
      </c>
      <c r="L615" s="15" t="s">
        <v>21</v>
      </c>
      <c r="M615" s="13"/>
      <c r="N615" s="16" t="s">
        <v>551</v>
      </c>
    </row>
    <row r="616" spans="1:14" ht="24" x14ac:dyDescent="0.25">
      <c r="A616" s="8" t="s">
        <v>16</v>
      </c>
      <c r="B616" s="13" t="s">
        <v>52</v>
      </c>
      <c r="C616" s="13" t="s">
        <v>412</v>
      </c>
      <c r="D616" s="8">
        <v>678</v>
      </c>
      <c r="E616" s="13" t="s">
        <v>552</v>
      </c>
      <c r="F616" s="8" t="s">
        <v>72</v>
      </c>
      <c r="G616" s="13"/>
      <c r="H616" s="8"/>
      <c r="I616" s="13" t="s">
        <v>290</v>
      </c>
      <c r="J616" s="14">
        <v>46190</v>
      </c>
      <c r="K616" s="14">
        <v>46193</v>
      </c>
      <c r="L616" s="15" t="s">
        <v>21</v>
      </c>
      <c r="M616" s="13"/>
      <c r="N616" s="16" t="s">
        <v>553</v>
      </c>
    </row>
    <row r="617" spans="1:14" ht="24" x14ac:dyDescent="0.25">
      <c r="A617" s="8" t="s">
        <v>16</v>
      </c>
      <c r="B617" s="13" t="s">
        <v>52</v>
      </c>
      <c r="C617" s="13" t="s">
        <v>412</v>
      </c>
      <c r="D617" s="8">
        <v>679</v>
      </c>
      <c r="E617" s="13" t="s">
        <v>554</v>
      </c>
      <c r="F617" s="8" t="s">
        <v>72</v>
      </c>
      <c r="G617" s="13"/>
      <c r="H617" s="8"/>
      <c r="I617" s="13" t="s">
        <v>290</v>
      </c>
      <c r="J617" s="14">
        <v>46190</v>
      </c>
      <c r="K617" s="14">
        <v>46194</v>
      </c>
      <c r="L617" s="15" t="s">
        <v>21</v>
      </c>
      <c r="M617" s="13"/>
      <c r="N617" s="16" t="s">
        <v>555</v>
      </c>
    </row>
    <row r="618" spans="1:14" ht="24" x14ac:dyDescent="0.25">
      <c r="A618" s="8" t="s">
        <v>16</v>
      </c>
      <c r="B618" s="13" t="s">
        <v>52</v>
      </c>
      <c r="C618" s="13" t="s">
        <v>412</v>
      </c>
      <c r="D618" s="8">
        <v>680</v>
      </c>
      <c r="E618" s="13" t="s">
        <v>556</v>
      </c>
      <c r="F618" s="8" t="s">
        <v>72</v>
      </c>
      <c r="G618" s="13"/>
      <c r="H618" s="8"/>
      <c r="I618" s="13" t="s">
        <v>290</v>
      </c>
      <c r="J618" s="14">
        <v>46190</v>
      </c>
      <c r="K618" s="14">
        <v>46193</v>
      </c>
      <c r="L618" s="15" t="s">
        <v>21</v>
      </c>
      <c r="M618" s="13"/>
      <c r="N618" s="16" t="s">
        <v>557</v>
      </c>
    </row>
    <row r="619" spans="1:14" ht="24" x14ac:dyDescent="0.25">
      <c r="A619" s="8" t="s">
        <v>16</v>
      </c>
      <c r="B619" s="13" t="s">
        <v>52</v>
      </c>
      <c r="C619" s="13" t="s">
        <v>412</v>
      </c>
      <c r="D619" s="8">
        <v>681</v>
      </c>
      <c r="E619" s="13" t="s">
        <v>558</v>
      </c>
      <c r="F619" s="8" t="s">
        <v>72</v>
      </c>
      <c r="G619" s="13"/>
      <c r="H619" s="8"/>
      <c r="I619" s="13" t="s">
        <v>290</v>
      </c>
      <c r="J619" s="14">
        <v>46190</v>
      </c>
      <c r="K619" s="14">
        <v>46193</v>
      </c>
      <c r="L619" s="15" t="s">
        <v>21</v>
      </c>
      <c r="M619" s="13"/>
      <c r="N619" s="16" t="s">
        <v>559</v>
      </c>
    </row>
    <row r="620" spans="1:14" ht="24" x14ac:dyDescent="0.25">
      <c r="A620" s="8" t="s">
        <v>16</v>
      </c>
      <c r="B620" s="13" t="s">
        <v>52</v>
      </c>
      <c r="C620" s="13" t="s">
        <v>412</v>
      </c>
      <c r="D620" s="8">
        <v>682</v>
      </c>
      <c r="E620" s="13" t="s">
        <v>560</v>
      </c>
      <c r="F620" s="8" t="s">
        <v>72</v>
      </c>
      <c r="G620" s="13"/>
      <c r="H620" s="8"/>
      <c r="I620" s="13" t="s">
        <v>290</v>
      </c>
      <c r="J620" s="14">
        <v>46190</v>
      </c>
      <c r="K620" s="14">
        <v>46193</v>
      </c>
      <c r="L620" s="15" t="s">
        <v>21</v>
      </c>
      <c r="M620" s="13"/>
      <c r="N620" s="16" t="s">
        <v>561</v>
      </c>
    </row>
    <row r="621" spans="1:14" ht="24" x14ac:dyDescent="0.25">
      <c r="A621" s="8" t="s">
        <v>16</v>
      </c>
      <c r="B621" s="13" t="s">
        <v>52</v>
      </c>
      <c r="C621" s="13" t="s">
        <v>412</v>
      </c>
      <c r="D621" s="8">
        <v>683</v>
      </c>
      <c r="E621" s="13" t="s">
        <v>562</v>
      </c>
      <c r="F621" s="8" t="s">
        <v>72</v>
      </c>
      <c r="G621" s="13"/>
      <c r="H621" s="8"/>
      <c r="I621" s="13" t="s">
        <v>290</v>
      </c>
      <c r="J621" s="14">
        <v>46190</v>
      </c>
      <c r="K621" s="14">
        <v>46193</v>
      </c>
      <c r="L621" s="15" t="s">
        <v>21</v>
      </c>
      <c r="M621" s="13"/>
      <c r="N621" s="16" t="s">
        <v>563</v>
      </c>
    </row>
    <row r="622" spans="1:14" ht="24" x14ac:dyDescent="0.25">
      <c r="A622" s="8" t="s">
        <v>16</v>
      </c>
      <c r="B622" s="13" t="s">
        <v>52</v>
      </c>
      <c r="C622" s="13" t="s">
        <v>412</v>
      </c>
      <c r="D622" s="8">
        <v>684</v>
      </c>
      <c r="E622" s="13" t="s">
        <v>564</v>
      </c>
      <c r="F622" s="8" t="s">
        <v>72</v>
      </c>
      <c r="G622" s="13"/>
      <c r="H622" s="8"/>
      <c r="I622" s="13" t="s">
        <v>290</v>
      </c>
      <c r="J622" s="14">
        <v>46190</v>
      </c>
      <c r="K622" s="14">
        <v>46191</v>
      </c>
      <c r="L622" s="15" t="s">
        <v>21</v>
      </c>
      <c r="M622" s="13"/>
      <c r="N622" s="16" t="s">
        <v>565</v>
      </c>
    </row>
    <row r="623" spans="1:14" ht="24" x14ac:dyDescent="0.25">
      <c r="A623" s="8" t="s">
        <v>16</v>
      </c>
      <c r="B623" s="13" t="s">
        <v>52</v>
      </c>
      <c r="C623" s="13" t="s">
        <v>412</v>
      </c>
      <c r="D623" s="8">
        <v>685</v>
      </c>
      <c r="E623" s="13" t="s">
        <v>566</v>
      </c>
      <c r="F623" s="8" t="s">
        <v>92</v>
      </c>
      <c r="G623" s="13"/>
      <c r="H623" s="8"/>
      <c r="I623" s="13" t="s">
        <v>75</v>
      </c>
      <c r="J623" s="14">
        <v>46190</v>
      </c>
      <c r="K623" s="14">
        <v>46193</v>
      </c>
      <c r="L623" s="15" t="s">
        <v>21</v>
      </c>
      <c r="M623" s="13"/>
      <c r="N623" s="16" t="s">
        <v>567</v>
      </c>
    </row>
    <row r="624" spans="1:14" ht="24" x14ac:dyDescent="0.25">
      <c r="A624" s="8" t="s">
        <v>16</v>
      </c>
      <c r="B624" s="13" t="s">
        <v>52</v>
      </c>
      <c r="C624" s="13" t="s">
        <v>412</v>
      </c>
      <c r="D624" s="8">
        <v>686</v>
      </c>
      <c r="E624" s="13" t="s">
        <v>568</v>
      </c>
      <c r="F624" s="8" t="s">
        <v>72</v>
      </c>
      <c r="G624" s="13"/>
      <c r="H624" s="8"/>
      <c r="I624" s="13" t="s">
        <v>290</v>
      </c>
      <c r="J624" s="14">
        <v>46190</v>
      </c>
      <c r="K624" s="14">
        <v>46191</v>
      </c>
      <c r="L624" s="15" t="s">
        <v>21</v>
      </c>
      <c r="M624" s="13"/>
      <c r="N624" s="16" t="s">
        <v>569</v>
      </c>
    </row>
    <row r="625" spans="1:14" ht="24" x14ac:dyDescent="0.25">
      <c r="A625" s="8" t="s">
        <v>16</v>
      </c>
      <c r="B625" s="13" t="s">
        <v>52</v>
      </c>
      <c r="C625" s="13" t="s">
        <v>412</v>
      </c>
      <c r="D625" s="8">
        <v>687</v>
      </c>
      <c r="E625" s="13" t="s">
        <v>570</v>
      </c>
      <c r="F625" s="8" t="s">
        <v>72</v>
      </c>
      <c r="G625" s="13"/>
      <c r="H625" s="8"/>
      <c r="I625" s="13" t="s">
        <v>290</v>
      </c>
      <c r="J625" s="14">
        <v>46190</v>
      </c>
      <c r="K625" s="14">
        <v>46194</v>
      </c>
      <c r="L625" s="15" t="s">
        <v>21</v>
      </c>
      <c r="M625" s="13"/>
      <c r="N625" s="16" t="s">
        <v>571</v>
      </c>
    </row>
    <row r="626" spans="1:14" ht="24" x14ac:dyDescent="0.25">
      <c r="A626" s="8" t="s">
        <v>16</v>
      </c>
      <c r="B626" s="13" t="s">
        <v>52</v>
      </c>
      <c r="C626" s="13" t="s">
        <v>412</v>
      </c>
      <c r="D626" s="8">
        <v>688</v>
      </c>
      <c r="E626" s="13" t="s">
        <v>572</v>
      </c>
      <c r="F626" s="8" t="s">
        <v>92</v>
      </c>
      <c r="G626" s="13"/>
      <c r="H626" s="8"/>
      <c r="I626" s="13" t="s">
        <v>75</v>
      </c>
      <c r="J626" s="14">
        <v>46190</v>
      </c>
      <c r="K626" s="14">
        <v>46192</v>
      </c>
      <c r="L626" s="15" t="s">
        <v>21</v>
      </c>
      <c r="M626" s="13"/>
      <c r="N626" s="16" t="s">
        <v>573</v>
      </c>
    </row>
    <row r="627" spans="1:14" ht="24" x14ac:dyDescent="0.25">
      <c r="A627" s="8" t="s">
        <v>16</v>
      </c>
      <c r="B627" s="13" t="s">
        <v>52</v>
      </c>
      <c r="C627" s="13" t="s">
        <v>335</v>
      </c>
      <c r="D627" s="8">
        <v>689</v>
      </c>
      <c r="E627" s="13" t="s">
        <v>383</v>
      </c>
      <c r="F627" s="8" t="s">
        <v>92</v>
      </c>
      <c r="G627" s="13"/>
      <c r="H627" s="8" t="s">
        <v>329</v>
      </c>
      <c r="I627" s="13" t="s">
        <v>75</v>
      </c>
      <c r="J627" s="14">
        <v>46191</v>
      </c>
      <c r="K627" s="14">
        <v>46192</v>
      </c>
      <c r="L627" s="15" t="s">
        <v>21</v>
      </c>
      <c r="M627" s="13"/>
      <c r="N627" s="16" t="s">
        <v>384</v>
      </c>
    </row>
    <row r="628" spans="1:14" ht="24" x14ac:dyDescent="0.25">
      <c r="A628" s="8" t="s">
        <v>16</v>
      </c>
      <c r="B628" s="13" t="s">
        <v>52</v>
      </c>
      <c r="C628" s="13" t="s">
        <v>335</v>
      </c>
      <c r="D628" s="8">
        <v>690</v>
      </c>
      <c r="E628" s="13" t="s">
        <v>385</v>
      </c>
      <c r="F628" s="8" t="s">
        <v>92</v>
      </c>
      <c r="G628" s="13"/>
      <c r="H628" s="8"/>
      <c r="I628" s="13" t="s">
        <v>75</v>
      </c>
      <c r="J628" s="14">
        <v>46191</v>
      </c>
      <c r="K628" s="14">
        <v>46191</v>
      </c>
      <c r="L628" s="15" t="s">
        <v>21</v>
      </c>
      <c r="M628" s="13"/>
      <c r="N628" s="16" t="s">
        <v>386</v>
      </c>
    </row>
    <row r="629" spans="1:14" ht="25.5" x14ac:dyDescent="0.25">
      <c r="A629" s="8" t="s">
        <v>16</v>
      </c>
      <c r="B629" s="13" t="s">
        <v>52</v>
      </c>
      <c r="C629" s="13" t="s">
        <v>335</v>
      </c>
      <c r="D629" s="8">
        <v>691</v>
      </c>
      <c r="E629" s="13" t="s">
        <v>387</v>
      </c>
      <c r="F629" s="8" t="s">
        <v>92</v>
      </c>
      <c r="G629" s="13"/>
      <c r="H629" s="8" t="s">
        <v>329</v>
      </c>
      <c r="I629" s="13" t="s">
        <v>75</v>
      </c>
      <c r="J629" s="14">
        <v>46191</v>
      </c>
      <c r="K629" s="14">
        <v>46192</v>
      </c>
      <c r="L629" s="15" t="s">
        <v>21</v>
      </c>
      <c r="M629" s="13"/>
      <c r="N629" s="16" t="s">
        <v>388</v>
      </c>
    </row>
    <row r="630" spans="1:14" ht="24" x14ac:dyDescent="0.25">
      <c r="A630" s="8" t="s">
        <v>16</v>
      </c>
      <c r="B630" s="13" t="s">
        <v>52</v>
      </c>
      <c r="C630" s="13" t="s">
        <v>335</v>
      </c>
      <c r="D630" s="8">
        <v>692</v>
      </c>
      <c r="E630" s="13" t="s">
        <v>389</v>
      </c>
      <c r="F630" s="8" t="s">
        <v>92</v>
      </c>
      <c r="G630" s="13"/>
      <c r="H630" s="8" t="s">
        <v>329</v>
      </c>
      <c r="I630" s="13" t="s">
        <v>75</v>
      </c>
      <c r="J630" s="14">
        <v>46191</v>
      </c>
      <c r="K630" s="14">
        <v>46192</v>
      </c>
      <c r="L630" s="15" t="s">
        <v>21</v>
      </c>
      <c r="M630" s="13"/>
      <c r="N630" s="16" t="s">
        <v>390</v>
      </c>
    </row>
    <row r="631" spans="1:14" ht="24" x14ac:dyDescent="0.25">
      <c r="A631" s="8" t="s">
        <v>16</v>
      </c>
      <c r="B631" s="13" t="s">
        <v>52</v>
      </c>
      <c r="C631" s="13" t="s">
        <v>335</v>
      </c>
      <c r="D631" s="8">
        <v>693</v>
      </c>
      <c r="E631" s="13" t="s">
        <v>391</v>
      </c>
      <c r="F631" s="8" t="s">
        <v>92</v>
      </c>
      <c r="G631" s="13"/>
      <c r="H631" s="8" t="s">
        <v>329</v>
      </c>
      <c r="I631" s="13" t="s">
        <v>75</v>
      </c>
      <c r="J631" s="14">
        <v>46191</v>
      </c>
      <c r="K631" s="14">
        <v>46192</v>
      </c>
      <c r="L631" s="15" t="s">
        <v>21</v>
      </c>
      <c r="M631" s="13"/>
      <c r="N631" s="16" t="s">
        <v>392</v>
      </c>
    </row>
    <row r="632" spans="1:14" ht="24" x14ac:dyDescent="0.25">
      <c r="A632" s="8" t="s">
        <v>16</v>
      </c>
      <c r="B632" s="13" t="s">
        <v>52</v>
      </c>
      <c r="C632" s="13" t="s">
        <v>335</v>
      </c>
      <c r="D632" s="8">
        <v>694</v>
      </c>
      <c r="E632" s="13" t="s">
        <v>393</v>
      </c>
      <c r="F632" s="8" t="s">
        <v>92</v>
      </c>
      <c r="G632" s="13"/>
      <c r="H632" s="8"/>
      <c r="I632" s="13" t="s">
        <v>75</v>
      </c>
      <c r="J632" s="14">
        <v>46191</v>
      </c>
      <c r="K632" s="14">
        <v>46191</v>
      </c>
      <c r="L632" s="15" t="s">
        <v>21</v>
      </c>
      <c r="M632" s="13"/>
      <c r="N632" s="16" t="s">
        <v>394</v>
      </c>
    </row>
    <row r="633" spans="1:14" ht="24" x14ac:dyDescent="0.25">
      <c r="A633" s="8" t="s">
        <v>16</v>
      </c>
      <c r="B633" s="13" t="s">
        <v>52</v>
      </c>
      <c r="C633" s="13" t="s">
        <v>335</v>
      </c>
      <c r="D633" s="8">
        <v>695</v>
      </c>
      <c r="E633" s="13" t="s">
        <v>395</v>
      </c>
      <c r="F633" s="8" t="s">
        <v>92</v>
      </c>
      <c r="G633" s="13"/>
      <c r="H633" s="8" t="s">
        <v>329</v>
      </c>
      <c r="I633" s="13" t="s">
        <v>75</v>
      </c>
      <c r="J633" s="14">
        <v>46191</v>
      </c>
      <c r="K633" s="14">
        <v>46191</v>
      </c>
      <c r="L633" s="15" t="s">
        <v>21</v>
      </c>
      <c r="M633" s="13"/>
      <c r="N633" s="16" t="s">
        <v>396</v>
      </c>
    </row>
    <row r="634" spans="1:14" ht="24" x14ac:dyDescent="0.25">
      <c r="A634" s="8" t="s">
        <v>16</v>
      </c>
      <c r="B634" s="13" t="s">
        <v>52</v>
      </c>
      <c r="C634" s="13" t="s">
        <v>335</v>
      </c>
      <c r="D634" s="8">
        <v>696</v>
      </c>
      <c r="E634" s="13" t="s">
        <v>397</v>
      </c>
      <c r="F634" s="8" t="s">
        <v>92</v>
      </c>
      <c r="G634" s="13"/>
      <c r="H634" s="8" t="s">
        <v>329</v>
      </c>
      <c r="I634" s="13" t="s">
        <v>75</v>
      </c>
      <c r="J634" s="14">
        <v>46191</v>
      </c>
      <c r="K634" s="14">
        <v>46191</v>
      </c>
      <c r="L634" s="15" t="s">
        <v>21</v>
      </c>
      <c r="M634" s="13"/>
      <c r="N634" s="16" t="s">
        <v>398</v>
      </c>
    </row>
    <row r="635" spans="1:14" ht="24" x14ac:dyDescent="0.25">
      <c r="A635" s="8" t="s">
        <v>16</v>
      </c>
      <c r="B635" s="13" t="s">
        <v>52</v>
      </c>
      <c r="C635" s="13" t="s">
        <v>412</v>
      </c>
      <c r="D635" s="8">
        <v>697</v>
      </c>
      <c r="E635" s="13" t="s">
        <v>574</v>
      </c>
      <c r="F635" s="8" t="s">
        <v>92</v>
      </c>
      <c r="G635" s="13"/>
      <c r="H635" s="8"/>
      <c r="I635" s="13" t="s">
        <v>75</v>
      </c>
      <c r="J635" s="14">
        <v>46191</v>
      </c>
      <c r="K635" s="14">
        <v>46191</v>
      </c>
      <c r="L635" s="15" t="s">
        <v>21</v>
      </c>
      <c r="M635" s="13"/>
      <c r="N635" s="16" t="s">
        <v>575</v>
      </c>
    </row>
    <row r="636" spans="1:14" ht="24" x14ac:dyDescent="0.25">
      <c r="A636" s="8" t="s">
        <v>16</v>
      </c>
      <c r="B636" s="13" t="s">
        <v>52</v>
      </c>
      <c r="C636" s="13" t="s">
        <v>412</v>
      </c>
      <c r="D636" s="8">
        <v>698</v>
      </c>
      <c r="E636" s="13" t="s">
        <v>576</v>
      </c>
      <c r="F636" s="8" t="s">
        <v>92</v>
      </c>
      <c r="G636" s="13"/>
      <c r="H636" s="8"/>
      <c r="I636" s="13" t="s">
        <v>75</v>
      </c>
      <c r="J636" s="14">
        <v>46191</v>
      </c>
      <c r="K636" s="14">
        <v>46191</v>
      </c>
      <c r="L636" s="15" t="s">
        <v>21</v>
      </c>
      <c r="M636" s="13"/>
      <c r="N636" s="16" t="s">
        <v>577</v>
      </c>
    </row>
    <row r="637" spans="1:14" ht="24" x14ac:dyDescent="0.25">
      <c r="A637" s="8" t="s">
        <v>16</v>
      </c>
      <c r="B637" s="13" t="s">
        <v>52</v>
      </c>
      <c r="C637" s="13" t="s">
        <v>412</v>
      </c>
      <c r="D637" s="8">
        <v>699</v>
      </c>
      <c r="E637" s="13" t="s">
        <v>484</v>
      </c>
      <c r="F637" s="8" t="s">
        <v>92</v>
      </c>
      <c r="G637" s="13"/>
      <c r="H637" s="8"/>
      <c r="I637" s="13" t="s">
        <v>75</v>
      </c>
      <c r="J637" s="14">
        <v>46191</v>
      </c>
      <c r="K637" s="14">
        <v>46191</v>
      </c>
      <c r="L637" s="15" t="s">
        <v>21</v>
      </c>
      <c r="M637" s="13"/>
      <c r="N637" s="16" t="s">
        <v>578</v>
      </c>
    </row>
    <row r="638" spans="1:14" ht="24" x14ac:dyDescent="0.25">
      <c r="A638" s="8" t="s">
        <v>16</v>
      </c>
      <c r="B638" s="13" t="s">
        <v>52</v>
      </c>
      <c r="C638" s="13" t="s">
        <v>335</v>
      </c>
      <c r="D638" s="8">
        <v>700</v>
      </c>
      <c r="E638" s="13" t="s">
        <v>399</v>
      </c>
      <c r="F638" s="8" t="s">
        <v>92</v>
      </c>
      <c r="G638" s="13"/>
      <c r="H638" s="8" t="s">
        <v>329</v>
      </c>
      <c r="I638" s="13" t="s">
        <v>75</v>
      </c>
      <c r="J638" s="14">
        <v>46191</v>
      </c>
      <c r="K638" s="14">
        <v>46191</v>
      </c>
      <c r="L638" s="15" t="s">
        <v>21</v>
      </c>
      <c r="M638" s="13"/>
      <c r="N638" s="16" t="s">
        <v>400</v>
      </c>
    </row>
    <row r="639" spans="1:14" ht="24" x14ac:dyDescent="0.25">
      <c r="A639" s="8" t="s">
        <v>16</v>
      </c>
      <c r="B639" s="13" t="s">
        <v>52</v>
      </c>
      <c r="C639" s="13" t="s">
        <v>412</v>
      </c>
      <c r="D639" s="8">
        <v>701</v>
      </c>
      <c r="E639" s="13" t="s">
        <v>579</v>
      </c>
      <c r="F639" s="8" t="s">
        <v>92</v>
      </c>
      <c r="G639" s="13"/>
      <c r="H639" s="8"/>
      <c r="I639" s="13" t="s">
        <v>75</v>
      </c>
      <c r="J639" s="14">
        <v>46191</v>
      </c>
      <c r="K639" s="14">
        <v>46191</v>
      </c>
      <c r="L639" s="15" t="s">
        <v>21</v>
      </c>
      <c r="M639" s="13"/>
      <c r="N639" s="16" t="s">
        <v>580</v>
      </c>
    </row>
    <row r="640" spans="1:14" ht="24" x14ac:dyDescent="0.25">
      <c r="A640" s="8" t="s">
        <v>16</v>
      </c>
      <c r="B640" s="13" t="s">
        <v>52</v>
      </c>
      <c r="C640" s="13" t="s">
        <v>412</v>
      </c>
      <c r="D640" s="8">
        <v>702</v>
      </c>
      <c r="E640" s="13" t="s">
        <v>581</v>
      </c>
      <c r="F640" s="8" t="s">
        <v>92</v>
      </c>
      <c r="G640" s="13"/>
      <c r="H640" s="8"/>
      <c r="I640" s="13" t="s">
        <v>75</v>
      </c>
      <c r="J640" s="14">
        <v>46191</v>
      </c>
      <c r="K640" s="14">
        <v>46191</v>
      </c>
      <c r="L640" s="15" t="s">
        <v>21</v>
      </c>
      <c r="M640" s="13"/>
      <c r="N640" s="16" t="s">
        <v>582</v>
      </c>
    </row>
    <row r="641" spans="1:14" ht="24" x14ac:dyDescent="0.25">
      <c r="A641" s="8" t="s">
        <v>16</v>
      </c>
      <c r="B641" s="13" t="s">
        <v>52</v>
      </c>
      <c r="C641" s="13" t="s">
        <v>412</v>
      </c>
      <c r="D641" s="8">
        <v>703</v>
      </c>
      <c r="E641" s="13" t="s">
        <v>583</v>
      </c>
      <c r="F641" s="8" t="s">
        <v>92</v>
      </c>
      <c r="G641" s="13"/>
      <c r="H641" s="8"/>
      <c r="I641" s="13" t="s">
        <v>75</v>
      </c>
      <c r="J641" s="14">
        <v>46191</v>
      </c>
      <c r="K641" s="14">
        <v>46191</v>
      </c>
      <c r="L641" s="15" t="s">
        <v>21</v>
      </c>
      <c r="M641" s="13"/>
      <c r="N641" s="16" t="s">
        <v>584</v>
      </c>
    </row>
    <row r="642" spans="1:14" ht="24" x14ac:dyDescent="0.25">
      <c r="A642" s="8" t="s">
        <v>16</v>
      </c>
      <c r="B642" s="13" t="s">
        <v>52</v>
      </c>
      <c r="C642" s="13" t="s">
        <v>412</v>
      </c>
      <c r="D642" s="8">
        <v>705</v>
      </c>
      <c r="E642" s="13" t="s">
        <v>585</v>
      </c>
      <c r="F642" s="8" t="s">
        <v>92</v>
      </c>
      <c r="G642" s="13"/>
      <c r="H642" s="8"/>
      <c r="I642" s="13" t="s">
        <v>75</v>
      </c>
      <c r="J642" s="14">
        <v>46191</v>
      </c>
      <c r="K642" s="14">
        <v>46193</v>
      </c>
      <c r="L642" s="17" t="s">
        <v>23</v>
      </c>
      <c r="M642" s="13" t="s">
        <v>402</v>
      </c>
      <c r="N642" s="16" t="s">
        <v>586</v>
      </c>
    </row>
    <row r="643" spans="1:14" ht="24" x14ac:dyDescent="0.25">
      <c r="A643" s="8" t="s">
        <v>16</v>
      </c>
      <c r="B643" s="13" t="s">
        <v>52</v>
      </c>
      <c r="C643" s="13" t="s">
        <v>412</v>
      </c>
      <c r="D643" s="8">
        <v>706</v>
      </c>
      <c r="E643" s="13" t="s">
        <v>587</v>
      </c>
      <c r="F643" s="8" t="s">
        <v>92</v>
      </c>
      <c r="G643" s="13"/>
      <c r="H643" s="8"/>
      <c r="I643" s="13" t="s">
        <v>75</v>
      </c>
      <c r="J643" s="14">
        <v>46191</v>
      </c>
      <c r="K643" s="14">
        <v>46193</v>
      </c>
      <c r="L643" s="17" t="s">
        <v>23</v>
      </c>
      <c r="M643" s="13" t="s">
        <v>402</v>
      </c>
      <c r="N643" s="16" t="s">
        <v>588</v>
      </c>
    </row>
    <row r="644" spans="1:14" ht="24" x14ac:dyDescent="0.25">
      <c r="A644" s="8" t="s">
        <v>16</v>
      </c>
      <c r="B644" s="13" t="s">
        <v>52</v>
      </c>
      <c r="C644" s="13" t="s">
        <v>412</v>
      </c>
      <c r="D644" s="8">
        <v>707</v>
      </c>
      <c r="E644" s="13" t="s">
        <v>589</v>
      </c>
      <c r="F644" s="8" t="s">
        <v>92</v>
      </c>
      <c r="G644" s="13"/>
      <c r="H644" s="8"/>
      <c r="I644" s="13" t="s">
        <v>75</v>
      </c>
      <c r="J644" s="14">
        <v>46191</v>
      </c>
      <c r="K644" s="14">
        <v>46193</v>
      </c>
      <c r="L644" s="17" t="s">
        <v>23</v>
      </c>
      <c r="M644" s="13" t="s">
        <v>402</v>
      </c>
      <c r="N644" s="16" t="s">
        <v>590</v>
      </c>
    </row>
    <row r="645" spans="1:14" ht="24" x14ac:dyDescent="0.25">
      <c r="A645" s="8" t="s">
        <v>16</v>
      </c>
      <c r="B645" s="13" t="s">
        <v>52</v>
      </c>
      <c r="C645" s="13" t="s">
        <v>412</v>
      </c>
      <c r="D645" s="8">
        <v>708</v>
      </c>
      <c r="E645" s="13" t="s">
        <v>591</v>
      </c>
      <c r="F645" s="8" t="s">
        <v>92</v>
      </c>
      <c r="G645" s="13"/>
      <c r="H645" s="8"/>
      <c r="I645" s="13" t="s">
        <v>75</v>
      </c>
      <c r="J645" s="14">
        <v>46191</v>
      </c>
      <c r="K645" s="14">
        <v>46192</v>
      </c>
      <c r="L645" s="15" t="s">
        <v>21</v>
      </c>
      <c r="M645" s="13"/>
      <c r="N645" s="16" t="s">
        <v>592</v>
      </c>
    </row>
    <row r="646" spans="1:14" ht="24" x14ac:dyDescent="0.25">
      <c r="A646" s="8" t="s">
        <v>16</v>
      </c>
      <c r="B646" s="13" t="s">
        <v>52</v>
      </c>
      <c r="C646" s="13" t="s">
        <v>412</v>
      </c>
      <c r="D646" s="8">
        <v>709</v>
      </c>
      <c r="E646" s="13" t="s">
        <v>593</v>
      </c>
      <c r="F646" s="8" t="s">
        <v>92</v>
      </c>
      <c r="G646" s="13"/>
      <c r="H646" s="8"/>
      <c r="I646" s="13" t="s">
        <v>75</v>
      </c>
      <c r="J646" s="14">
        <v>46191</v>
      </c>
      <c r="K646" s="14">
        <v>46192</v>
      </c>
      <c r="L646" s="15" t="s">
        <v>21</v>
      </c>
      <c r="M646" s="13"/>
      <c r="N646" s="16" t="s">
        <v>594</v>
      </c>
    </row>
    <row r="647" spans="1:14" ht="24" x14ac:dyDescent="0.25">
      <c r="A647" s="8" t="s">
        <v>16</v>
      </c>
      <c r="B647" s="13" t="s">
        <v>52</v>
      </c>
      <c r="C647" s="13" t="s">
        <v>335</v>
      </c>
      <c r="D647" s="8">
        <v>712</v>
      </c>
      <c r="E647" s="13" t="s">
        <v>401</v>
      </c>
      <c r="F647" s="8" t="s">
        <v>92</v>
      </c>
      <c r="G647" s="13"/>
      <c r="H647" s="8" t="s">
        <v>329</v>
      </c>
      <c r="I647" s="13" t="s">
        <v>75</v>
      </c>
      <c r="J647" s="14">
        <v>46191</v>
      </c>
      <c r="K647" s="14">
        <v>46193</v>
      </c>
      <c r="L647" s="17" t="s">
        <v>23</v>
      </c>
      <c r="M647" s="13" t="s">
        <v>402</v>
      </c>
      <c r="N647" s="16" t="s">
        <v>403</v>
      </c>
    </row>
    <row r="648" spans="1:14" ht="24" x14ac:dyDescent="0.25">
      <c r="A648" s="8" t="s">
        <v>16</v>
      </c>
      <c r="B648" s="13" t="s">
        <v>52</v>
      </c>
      <c r="C648" s="13" t="s">
        <v>335</v>
      </c>
      <c r="D648" s="8">
        <v>713</v>
      </c>
      <c r="E648" s="13" t="s">
        <v>404</v>
      </c>
      <c r="F648" s="8" t="s">
        <v>92</v>
      </c>
      <c r="G648" s="13"/>
      <c r="H648" s="8" t="s">
        <v>329</v>
      </c>
      <c r="I648" s="13" t="s">
        <v>75</v>
      </c>
      <c r="J648" s="14">
        <v>46191</v>
      </c>
      <c r="K648" s="14">
        <v>46193</v>
      </c>
      <c r="L648" s="15" t="s">
        <v>21</v>
      </c>
      <c r="M648" s="13"/>
      <c r="N648" s="16" t="s">
        <v>405</v>
      </c>
    </row>
    <row r="649" spans="1:14" ht="25.5" x14ac:dyDescent="0.25">
      <c r="A649" s="8" t="s">
        <v>16</v>
      </c>
      <c r="B649" s="13" t="s">
        <v>52</v>
      </c>
      <c r="C649" s="13" t="s">
        <v>335</v>
      </c>
      <c r="D649" s="8">
        <v>714</v>
      </c>
      <c r="E649" s="13" t="s">
        <v>406</v>
      </c>
      <c r="F649" s="8" t="s">
        <v>92</v>
      </c>
      <c r="G649" s="13"/>
      <c r="H649" s="8"/>
      <c r="I649" s="13" t="s">
        <v>75</v>
      </c>
      <c r="J649" s="14">
        <v>46191</v>
      </c>
      <c r="K649" s="14">
        <v>46192</v>
      </c>
      <c r="L649" s="15" t="s">
        <v>21</v>
      </c>
      <c r="M649" s="13"/>
      <c r="N649" s="16" t="s">
        <v>407</v>
      </c>
    </row>
    <row r="650" spans="1:14" ht="24" x14ac:dyDescent="0.25">
      <c r="A650" s="8" t="s">
        <v>16</v>
      </c>
      <c r="B650" s="13" t="s">
        <v>52</v>
      </c>
      <c r="C650" s="13" t="s">
        <v>335</v>
      </c>
      <c r="D650" s="8">
        <v>715</v>
      </c>
      <c r="E650" s="13" t="s">
        <v>408</v>
      </c>
      <c r="F650" s="8" t="s">
        <v>92</v>
      </c>
      <c r="G650" s="13"/>
      <c r="H650" s="8" t="s">
        <v>329</v>
      </c>
      <c r="I650" s="13" t="s">
        <v>75</v>
      </c>
      <c r="J650" s="14">
        <v>46191</v>
      </c>
      <c r="K650" s="14">
        <v>46192</v>
      </c>
      <c r="L650" s="15" t="s">
        <v>21</v>
      </c>
      <c r="M650" s="13"/>
      <c r="N650" s="16" t="s">
        <v>409</v>
      </c>
    </row>
    <row r="651" spans="1:14" ht="24" x14ac:dyDescent="0.25">
      <c r="A651" s="8" t="s">
        <v>16</v>
      </c>
      <c r="B651" s="13" t="s">
        <v>52</v>
      </c>
      <c r="C651" s="13" t="s">
        <v>335</v>
      </c>
      <c r="D651" s="8">
        <v>716</v>
      </c>
      <c r="E651" s="13" t="s">
        <v>410</v>
      </c>
      <c r="F651" s="8" t="s">
        <v>72</v>
      </c>
      <c r="G651" s="13"/>
      <c r="H651" s="8"/>
      <c r="I651" s="13" t="s">
        <v>290</v>
      </c>
      <c r="J651" s="14">
        <v>46192</v>
      </c>
      <c r="K651" s="14">
        <v>46192</v>
      </c>
      <c r="L651" s="15" t="s">
        <v>21</v>
      </c>
      <c r="M651" s="13"/>
      <c r="N651" s="16" t="s">
        <v>411</v>
      </c>
    </row>
    <row r="652" spans="1:14" ht="24" x14ac:dyDescent="0.25">
      <c r="A652" s="8" t="s">
        <v>18</v>
      </c>
      <c r="B652" s="13" t="s">
        <v>52</v>
      </c>
      <c r="C652" s="13" t="s">
        <v>595</v>
      </c>
      <c r="D652" s="8">
        <v>719</v>
      </c>
      <c r="E652" s="13" t="s">
        <v>829</v>
      </c>
      <c r="F652" s="8" t="s">
        <v>72</v>
      </c>
      <c r="G652" s="13"/>
      <c r="H652" s="8"/>
      <c r="I652" s="13" t="s">
        <v>75</v>
      </c>
      <c r="J652" s="14">
        <v>46194</v>
      </c>
      <c r="K652" s="14">
        <v>46200</v>
      </c>
      <c r="L652" s="15" t="s">
        <v>21</v>
      </c>
      <c r="M652" s="13"/>
      <c r="N652" s="16" t="s">
        <v>830</v>
      </c>
    </row>
    <row r="653" spans="1:14" ht="24" x14ac:dyDescent="0.25">
      <c r="A653" s="8" t="s">
        <v>18</v>
      </c>
      <c r="B653" s="13" t="s">
        <v>52</v>
      </c>
      <c r="C653" s="13" t="s">
        <v>595</v>
      </c>
      <c r="D653" s="8">
        <v>720</v>
      </c>
      <c r="E653" s="13" t="s">
        <v>831</v>
      </c>
      <c r="F653" s="8" t="s">
        <v>72</v>
      </c>
      <c r="G653" s="13"/>
      <c r="H653" s="8"/>
      <c r="I653" s="13" t="s">
        <v>75</v>
      </c>
      <c r="J653" s="14">
        <v>46194</v>
      </c>
      <c r="K653" s="14">
        <v>46200</v>
      </c>
      <c r="L653" s="15" t="s">
        <v>21</v>
      </c>
      <c r="M653" s="13"/>
      <c r="N653" s="16" t="s">
        <v>832</v>
      </c>
    </row>
    <row r="654" spans="1:14" ht="24" x14ac:dyDescent="0.25">
      <c r="A654" s="8" t="s">
        <v>18</v>
      </c>
      <c r="B654" s="13" t="s">
        <v>52</v>
      </c>
      <c r="C654" s="13" t="s">
        <v>595</v>
      </c>
      <c r="D654" s="8">
        <v>721</v>
      </c>
      <c r="E654" s="13" t="s">
        <v>833</v>
      </c>
      <c r="F654" s="8" t="s">
        <v>72</v>
      </c>
      <c r="G654" s="13"/>
      <c r="H654" s="8"/>
      <c r="I654" s="13" t="s">
        <v>75</v>
      </c>
      <c r="J654" s="14">
        <v>46194</v>
      </c>
      <c r="K654" s="14">
        <v>46200</v>
      </c>
      <c r="L654" s="15" t="s">
        <v>21</v>
      </c>
      <c r="M654" s="13"/>
      <c r="N654" s="16" t="s">
        <v>834</v>
      </c>
    </row>
    <row r="655" spans="1:14" ht="24" x14ac:dyDescent="0.25">
      <c r="A655" s="8" t="s">
        <v>18</v>
      </c>
      <c r="B655" s="13" t="s">
        <v>52</v>
      </c>
      <c r="C655" s="13" t="s">
        <v>595</v>
      </c>
      <c r="D655" s="8">
        <v>722</v>
      </c>
      <c r="E655" s="13" t="s">
        <v>835</v>
      </c>
      <c r="F655" s="8" t="s">
        <v>72</v>
      </c>
      <c r="G655" s="13"/>
      <c r="H655" s="8"/>
      <c r="I655" s="13" t="s">
        <v>75</v>
      </c>
      <c r="J655" s="14">
        <v>46194</v>
      </c>
      <c r="K655" s="14">
        <v>46200</v>
      </c>
      <c r="L655" s="15" t="s">
        <v>21</v>
      </c>
      <c r="M655" s="13"/>
      <c r="N655" s="16" t="s">
        <v>836</v>
      </c>
    </row>
    <row r="656" spans="1:14" ht="24" x14ac:dyDescent="0.25">
      <c r="A656" s="8" t="s">
        <v>18</v>
      </c>
      <c r="B656" s="13" t="s">
        <v>52</v>
      </c>
      <c r="C656" s="13" t="s">
        <v>595</v>
      </c>
      <c r="D656" s="8">
        <v>723</v>
      </c>
      <c r="E656" s="13" t="s">
        <v>837</v>
      </c>
      <c r="F656" s="8" t="s">
        <v>72</v>
      </c>
      <c r="G656" s="13"/>
      <c r="H656" s="8"/>
      <c r="I656" s="13" t="s">
        <v>75</v>
      </c>
      <c r="J656" s="14">
        <v>46194</v>
      </c>
      <c r="K656" s="14">
        <v>46200</v>
      </c>
      <c r="L656" s="15" t="s">
        <v>21</v>
      </c>
      <c r="M656" s="13"/>
      <c r="N656" s="16" t="s">
        <v>838</v>
      </c>
    </row>
    <row r="657" spans="1:14" ht="24" x14ac:dyDescent="0.25">
      <c r="A657" s="8" t="s">
        <v>18</v>
      </c>
      <c r="B657" s="13" t="s">
        <v>52</v>
      </c>
      <c r="C657" s="13" t="s">
        <v>595</v>
      </c>
      <c r="D657" s="8">
        <v>724</v>
      </c>
      <c r="E657" s="13" t="s">
        <v>839</v>
      </c>
      <c r="F657" s="8" t="s">
        <v>72</v>
      </c>
      <c r="G657" s="13"/>
      <c r="H657" s="8"/>
      <c r="I657" s="13" t="s">
        <v>75</v>
      </c>
      <c r="J657" s="14">
        <v>46194</v>
      </c>
      <c r="K657" s="14">
        <v>46200</v>
      </c>
      <c r="L657" s="15" t="s">
        <v>21</v>
      </c>
      <c r="M657" s="13"/>
      <c r="N657" s="16" t="s">
        <v>840</v>
      </c>
    </row>
    <row r="658" spans="1:14" ht="25.5" x14ac:dyDescent="0.25">
      <c r="A658" s="8" t="s">
        <v>842</v>
      </c>
      <c r="B658" s="13"/>
      <c r="C658" s="13" t="s">
        <v>595</v>
      </c>
      <c r="D658" s="8">
        <v>725</v>
      </c>
      <c r="E658" s="13" t="s">
        <v>1531</v>
      </c>
      <c r="F658" s="8" t="s">
        <v>72</v>
      </c>
      <c r="G658" s="13"/>
      <c r="H658" s="8"/>
      <c r="I658" s="13" t="s">
        <v>75</v>
      </c>
      <c r="J658" s="14">
        <v>46195</v>
      </c>
      <c r="K658" s="14">
        <v>46199</v>
      </c>
      <c r="L658" s="15" t="s">
        <v>21</v>
      </c>
      <c r="M658" s="13"/>
      <c r="N658" s="16" t="s">
        <v>1532</v>
      </c>
    </row>
    <row r="659" spans="1:14" ht="24" x14ac:dyDescent="0.25">
      <c r="A659" s="8" t="s">
        <v>18</v>
      </c>
      <c r="B659" s="13" t="s">
        <v>52</v>
      </c>
      <c r="C659" s="13" t="s">
        <v>412</v>
      </c>
      <c r="D659" s="8">
        <v>726</v>
      </c>
      <c r="E659" s="13" t="s">
        <v>773</v>
      </c>
      <c r="F659" s="8" t="s">
        <v>92</v>
      </c>
      <c r="G659" s="13"/>
      <c r="H659" s="8" t="s">
        <v>329</v>
      </c>
      <c r="I659" s="13" t="s">
        <v>75</v>
      </c>
      <c r="J659" s="14">
        <v>46195</v>
      </c>
      <c r="K659" s="14">
        <v>46195</v>
      </c>
      <c r="L659" s="15" t="s">
        <v>21</v>
      </c>
      <c r="M659" s="13"/>
      <c r="N659" s="16" t="s">
        <v>774</v>
      </c>
    </row>
    <row r="660" spans="1:14" ht="24" x14ac:dyDescent="0.25">
      <c r="A660" s="8" t="s">
        <v>18</v>
      </c>
      <c r="B660" s="13" t="s">
        <v>52</v>
      </c>
      <c r="C660" s="13" t="s">
        <v>412</v>
      </c>
      <c r="D660" s="8">
        <v>727</v>
      </c>
      <c r="E660" s="13" t="s">
        <v>775</v>
      </c>
      <c r="F660" s="8" t="s">
        <v>92</v>
      </c>
      <c r="G660" s="13"/>
      <c r="H660" s="8"/>
      <c r="I660" s="13" t="s">
        <v>75</v>
      </c>
      <c r="J660" s="14">
        <v>46195</v>
      </c>
      <c r="K660" s="14">
        <v>46195</v>
      </c>
      <c r="L660" s="15" t="s">
        <v>21</v>
      </c>
      <c r="M660" s="13"/>
      <c r="N660" s="16" t="s">
        <v>776</v>
      </c>
    </row>
    <row r="661" spans="1:14" ht="24" x14ac:dyDescent="0.25">
      <c r="A661" s="8" t="s">
        <v>18</v>
      </c>
      <c r="B661" s="13" t="s">
        <v>52</v>
      </c>
      <c r="C661" s="13" t="s">
        <v>279</v>
      </c>
      <c r="D661" s="8">
        <v>728</v>
      </c>
      <c r="E661" s="13" t="s">
        <v>686</v>
      </c>
      <c r="F661" s="8" t="s">
        <v>92</v>
      </c>
      <c r="G661" s="13"/>
      <c r="H661" s="8"/>
      <c r="I661" s="13" t="s">
        <v>75</v>
      </c>
      <c r="J661" s="14">
        <v>46195</v>
      </c>
      <c r="K661" s="14">
        <v>46195</v>
      </c>
      <c r="L661" s="17" t="s">
        <v>23</v>
      </c>
      <c r="M661" s="13" t="s">
        <v>200</v>
      </c>
      <c r="N661" s="16" t="s">
        <v>687</v>
      </c>
    </row>
    <row r="662" spans="1:14" ht="24" x14ac:dyDescent="0.25">
      <c r="A662" s="8" t="s">
        <v>18</v>
      </c>
      <c r="B662" s="13" t="s">
        <v>52</v>
      </c>
      <c r="C662" s="13" t="s">
        <v>335</v>
      </c>
      <c r="D662" s="8">
        <v>729</v>
      </c>
      <c r="E662" s="13" t="s">
        <v>696</v>
      </c>
      <c r="F662" s="8" t="s">
        <v>92</v>
      </c>
      <c r="G662" s="13"/>
      <c r="H662" s="8" t="s">
        <v>329</v>
      </c>
      <c r="I662" s="13" t="s">
        <v>75</v>
      </c>
      <c r="J662" s="14">
        <v>46195</v>
      </c>
      <c r="K662" s="14">
        <v>46195</v>
      </c>
      <c r="L662" s="15" t="s">
        <v>21</v>
      </c>
      <c r="M662" s="13"/>
      <c r="N662" s="16" t="s">
        <v>697</v>
      </c>
    </row>
    <row r="663" spans="1:14" ht="25.5" x14ac:dyDescent="0.25">
      <c r="A663" s="8" t="s">
        <v>18</v>
      </c>
      <c r="B663" s="13" t="s">
        <v>52</v>
      </c>
      <c r="C663" s="13" t="s">
        <v>335</v>
      </c>
      <c r="D663" s="8">
        <v>730</v>
      </c>
      <c r="E663" s="13" t="s">
        <v>698</v>
      </c>
      <c r="F663" s="8" t="s">
        <v>92</v>
      </c>
      <c r="G663" s="13"/>
      <c r="H663" s="8"/>
      <c r="I663" s="13" t="s">
        <v>75</v>
      </c>
      <c r="J663" s="14">
        <v>46195</v>
      </c>
      <c r="K663" s="14">
        <v>46196</v>
      </c>
      <c r="L663" s="15" t="s">
        <v>21</v>
      </c>
      <c r="M663" s="13"/>
      <c r="N663" s="16" t="s">
        <v>699</v>
      </c>
    </row>
    <row r="664" spans="1:14" ht="24" x14ac:dyDescent="0.25">
      <c r="A664" s="8" t="s">
        <v>18</v>
      </c>
      <c r="B664" s="13" t="s">
        <v>52</v>
      </c>
      <c r="C664" s="13" t="s">
        <v>335</v>
      </c>
      <c r="D664" s="8">
        <v>731</v>
      </c>
      <c r="E664" s="13" t="s">
        <v>700</v>
      </c>
      <c r="F664" s="8" t="s">
        <v>92</v>
      </c>
      <c r="G664" s="13"/>
      <c r="H664" s="8" t="s">
        <v>329</v>
      </c>
      <c r="I664" s="13" t="s">
        <v>75</v>
      </c>
      <c r="J664" s="14">
        <v>46195</v>
      </c>
      <c r="K664" s="14">
        <v>46195</v>
      </c>
      <c r="L664" s="15" t="s">
        <v>21</v>
      </c>
      <c r="M664" s="13"/>
      <c r="N664" s="16" t="s">
        <v>701</v>
      </c>
    </row>
    <row r="665" spans="1:14" ht="24" x14ac:dyDescent="0.25">
      <c r="A665" s="8" t="s">
        <v>18</v>
      </c>
      <c r="B665" s="13" t="s">
        <v>52</v>
      </c>
      <c r="C665" s="13" t="s">
        <v>335</v>
      </c>
      <c r="D665" s="8">
        <v>732</v>
      </c>
      <c r="E665" s="13" t="s">
        <v>702</v>
      </c>
      <c r="F665" s="8" t="s">
        <v>92</v>
      </c>
      <c r="G665" s="13"/>
      <c r="H665" s="8" t="s">
        <v>329</v>
      </c>
      <c r="I665" s="13" t="s">
        <v>75</v>
      </c>
      <c r="J665" s="14">
        <v>46195</v>
      </c>
      <c r="K665" s="14">
        <v>46195</v>
      </c>
      <c r="L665" s="15" t="s">
        <v>21</v>
      </c>
      <c r="M665" s="13"/>
      <c r="N665" s="16" t="s">
        <v>703</v>
      </c>
    </row>
    <row r="666" spans="1:14" ht="24" x14ac:dyDescent="0.25">
      <c r="A666" s="8" t="s">
        <v>18</v>
      </c>
      <c r="B666" s="13" t="s">
        <v>52</v>
      </c>
      <c r="C666" s="13" t="s">
        <v>412</v>
      </c>
      <c r="D666" s="8">
        <v>733</v>
      </c>
      <c r="E666" s="13" t="s">
        <v>777</v>
      </c>
      <c r="F666" s="8" t="s">
        <v>92</v>
      </c>
      <c r="G666" s="13"/>
      <c r="H666" s="8" t="s">
        <v>329</v>
      </c>
      <c r="I666" s="13" t="s">
        <v>75</v>
      </c>
      <c r="J666" s="14">
        <v>46195</v>
      </c>
      <c r="K666" s="14">
        <v>46199</v>
      </c>
      <c r="L666" s="15" t="s">
        <v>21</v>
      </c>
      <c r="M666" s="13"/>
      <c r="N666" s="16" t="s">
        <v>778</v>
      </c>
    </row>
    <row r="667" spans="1:14" ht="24" x14ac:dyDescent="0.25">
      <c r="A667" s="8" t="s">
        <v>18</v>
      </c>
      <c r="B667" s="13" t="s">
        <v>52</v>
      </c>
      <c r="C667" s="13" t="s">
        <v>279</v>
      </c>
      <c r="D667" s="8">
        <v>734</v>
      </c>
      <c r="E667" s="13" t="s">
        <v>688</v>
      </c>
      <c r="F667" s="8" t="s">
        <v>92</v>
      </c>
      <c r="G667" s="13"/>
      <c r="H667" s="8" t="s">
        <v>329</v>
      </c>
      <c r="I667" s="13" t="s">
        <v>75</v>
      </c>
      <c r="J667" s="14">
        <v>46195</v>
      </c>
      <c r="K667" s="14">
        <v>46195</v>
      </c>
      <c r="L667" s="15" t="s">
        <v>21</v>
      </c>
      <c r="M667" s="13"/>
      <c r="N667" s="16" t="s">
        <v>689</v>
      </c>
    </row>
    <row r="668" spans="1:14" ht="24" x14ac:dyDescent="0.25">
      <c r="A668" s="8" t="s">
        <v>18</v>
      </c>
      <c r="B668" s="13" t="s">
        <v>52</v>
      </c>
      <c r="C668" s="13" t="s">
        <v>412</v>
      </c>
      <c r="D668" s="8">
        <v>735</v>
      </c>
      <c r="E668" s="13" t="s">
        <v>779</v>
      </c>
      <c r="F668" s="8" t="s">
        <v>92</v>
      </c>
      <c r="G668" s="13"/>
      <c r="H668" s="8" t="s">
        <v>329</v>
      </c>
      <c r="I668" s="13" t="s">
        <v>75</v>
      </c>
      <c r="J668" s="14">
        <v>46195</v>
      </c>
      <c r="K668" s="14">
        <v>46197</v>
      </c>
      <c r="L668" s="15" t="s">
        <v>21</v>
      </c>
      <c r="M668" s="13"/>
      <c r="N668" s="16" t="s">
        <v>780</v>
      </c>
    </row>
    <row r="669" spans="1:14" ht="24" x14ac:dyDescent="0.25">
      <c r="A669" s="8" t="s">
        <v>18</v>
      </c>
      <c r="B669" s="13" t="s">
        <v>52</v>
      </c>
      <c r="C669" s="13" t="s">
        <v>412</v>
      </c>
      <c r="D669" s="8">
        <v>736</v>
      </c>
      <c r="E669" s="13" t="s">
        <v>773</v>
      </c>
      <c r="F669" s="8" t="s">
        <v>92</v>
      </c>
      <c r="G669" s="13"/>
      <c r="H669" s="8" t="s">
        <v>329</v>
      </c>
      <c r="I669" s="13" t="s">
        <v>75</v>
      </c>
      <c r="J669" s="14">
        <v>46195</v>
      </c>
      <c r="K669" s="14">
        <v>46195</v>
      </c>
      <c r="L669" s="15" t="s">
        <v>21</v>
      </c>
      <c r="M669" s="13"/>
      <c r="N669" s="16" t="s">
        <v>781</v>
      </c>
    </row>
    <row r="670" spans="1:14" ht="24" x14ac:dyDescent="0.25">
      <c r="A670" s="8" t="s">
        <v>18</v>
      </c>
      <c r="B670" s="13" t="s">
        <v>52</v>
      </c>
      <c r="C670" s="13" t="s">
        <v>279</v>
      </c>
      <c r="D670" s="8">
        <v>737</v>
      </c>
      <c r="E670" s="13" t="s">
        <v>690</v>
      </c>
      <c r="F670" s="8" t="s">
        <v>92</v>
      </c>
      <c r="G670" s="13"/>
      <c r="H670" s="8"/>
      <c r="I670" s="13" t="s">
        <v>75</v>
      </c>
      <c r="J670" s="14">
        <v>46195</v>
      </c>
      <c r="K670" s="14">
        <v>46195</v>
      </c>
      <c r="L670" s="15" t="s">
        <v>21</v>
      </c>
      <c r="M670" s="13"/>
      <c r="N670" s="16" t="s">
        <v>691</v>
      </c>
    </row>
    <row r="671" spans="1:14" ht="24" x14ac:dyDescent="0.25">
      <c r="A671" s="8" t="s">
        <v>18</v>
      </c>
      <c r="B671" s="13" t="s">
        <v>52</v>
      </c>
      <c r="C671" s="13" t="s">
        <v>412</v>
      </c>
      <c r="D671" s="8">
        <v>738</v>
      </c>
      <c r="E671" s="13" t="s">
        <v>782</v>
      </c>
      <c r="F671" s="8" t="s">
        <v>92</v>
      </c>
      <c r="G671" s="13"/>
      <c r="H671" s="8"/>
      <c r="I671" s="13" t="s">
        <v>75</v>
      </c>
      <c r="J671" s="14">
        <v>46196</v>
      </c>
      <c r="K671" s="14">
        <v>46196</v>
      </c>
      <c r="L671" s="15" t="s">
        <v>21</v>
      </c>
      <c r="M671" s="13"/>
      <c r="N671" s="16" t="s">
        <v>783</v>
      </c>
    </row>
    <row r="672" spans="1:14" ht="24" x14ac:dyDescent="0.25">
      <c r="A672" s="8" t="s">
        <v>18</v>
      </c>
      <c r="B672" s="13" t="s">
        <v>52</v>
      </c>
      <c r="C672" s="13" t="s">
        <v>412</v>
      </c>
      <c r="D672" s="8">
        <v>739</v>
      </c>
      <c r="E672" s="13" t="s">
        <v>784</v>
      </c>
      <c r="F672" s="8" t="s">
        <v>92</v>
      </c>
      <c r="G672" s="13"/>
      <c r="H672" s="8"/>
      <c r="I672" s="13" t="s">
        <v>75</v>
      </c>
      <c r="J672" s="14">
        <v>46196</v>
      </c>
      <c r="K672" s="14">
        <v>46196</v>
      </c>
      <c r="L672" s="15" t="s">
        <v>21</v>
      </c>
      <c r="M672" s="13"/>
      <c r="N672" s="16" t="s">
        <v>785</v>
      </c>
    </row>
    <row r="673" spans="1:14" ht="24" x14ac:dyDescent="0.25">
      <c r="A673" s="8" t="s">
        <v>18</v>
      </c>
      <c r="B673" s="13" t="s">
        <v>52</v>
      </c>
      <c r="C673" s="13" t="s">
        <v>412</v>
      </c>
      <c r="D673" s="8">
        <v>740</v>
      </c>
      <c r="E673" s="13" t="s">
        <v>786</v>
      </c>
      <c r="F673" s="8" t="s">
        <v>92</v>
      </c>
      <c r="G673" s="13"/>
      <c r="H673" s="8"/>
      <c r="I673" s="13" t="s">
        <v>75</v>
      </c>
      <c r="J673" s="14">
        <v>46196</v>
      </c>
      <c r="K673" s="14">
        <v>46196</v>
      </c>
      <c r="L673" s="15" t="s">
        <v>21</v>
      </c>
      <c r="M673" s="13"/>
      <c r="N673" s="16" t="s">
        <v>787</v>
      </c>
    </row>
    <row r="674" spans="1:14" ht="24" x14ac:dyDescent="0.25">
      <c r="A674" s="8" t="s">
        <v>18</v>
      </c>
      <c r="B674" s="13" t="s">
        <v>52</v>
      </c>
      <c r="C674" s="13" t="s">
        <v>412</v>
      </c>
      <c r="D674" s="8">
        <v>741</v>
      </c>
      <c r="E674" s="13" t="s">
        <v>788</v>
      </c>
      <c r="F674" s="8" t="s">
        <v>92</v>
      </c>
      <c r="G674" s="13"/>
      <c r="H674" s="8"/>
      <c r="I674" s="13" t="s">
        <v>75</v>
      </c>
      <c r="J674" s="14">
        <v>46196</v>
      </c>
      <c r="K674" s="14">
        <v>46196</v>
      </c>
      <c r="L674" s="15" t="s">
        <v>21</v>
      </c>
      <c r="M674" s="13"/>
      <c r="N674" s="16" t="s">
        <v>789</v>
      </c>
    </row>
    <row r="675" spans="1:14" ht="24" x14ac:dyDescent="0.25">
      <c r="A675" s="8" t="s">
        <v>18</v>
      </c>
      <c r="B675" s="13" t="s">
        <v>52</v>
      </c>
      <c r="C675" s="13" t="s">
        <v>412</v>
      </c>
      <c r="D675" s="8">
        <v>742</v>
      </c>
      <c r="E675" s="13" t="s">
        <v>790</v>
      </c>
      <c r="F675" s="8" t="s">
        <v>92</v>
      </c>
      <c r="G675" s="13"/>
      <c r="H675" s="8"/>
      <c r="I675" s="13" t="s">
        <v>75</v>
      </c>
      <c r="J675" s="14">
        <v>46196</v>
      </c>
      <c r="K675" s="14">
        <v>46196</v>
      </c>
      <c r="L675" s="15" t="s">
        <v>21</v>
      </c>
      <c r="M675" s="13"/>
      <c r="N675" s="16" t="s">
        <v>791</v>
      </c>
    </row>
    <row r="676" spans="1:14" ht="24" x14ac:dyDescent="0.25">
      <c r="A676" s="8" t="s">
        <v>18</v>
      </c>
      <c r="B676" s="13" t="s">
        <v>52</v>
      </c>
      <c r="C676" s="13" t="s">
        <v>412</v>
      </c>
      <c r="D676" s="8">
        <v>743</v>
      </c>
      <c r="E676" s="13" t="s">
        <v>792</v>
      </c>
      <c r="F676" s="8" t="s">
        <v>92</v>
      </c>
      <c r="G676" s="13"/>
      <c r="H676" s="8" t="s">
        <v>329</v>
      </c>
      <c r="I676" s="13" t="s">
        <v>290</v>
      </c>
      <c r="J676" s="14">
        <v>46196</v>
      </c>
      <c r="K676" s="14">
        <v>46199</v>
      </c>
      <c r="L676" s="15" t="s">
        <v>21</v>
      </c>
      <c r="M676" s="13"/>
      <c r="N676" s="16" t="s">
        <v>793</v>
      </c>
    </row>
    <row r="677" spans="1:14" ht="24" x14ac:dyDescent="0.25">
      <c r="A677" s="8" t="s">
        <v>18</v>
      </c>
      <c r="B677" s="13" t="s">
        <v>52</v>
      </c>
      <c r="C677" s="13" t="s">
        <v>279</v>
      </c>
      <c r="D677" s="8">
        <v>744</v>
      </c>
      <c r="E677" s="13" t="s">
        <v>692</v>
      </c>
      <c r="F677" s="8" t="s">
        <v>92</v>
      </c>
      <c r="G677" s="13"/>
      <c r="H677" s="8" t="s">
        <v>329</v>
      </c>
      <c r="I677" s="13" t="s">
        <v>75</v>
      </c>
      <c r="J677" s="14">
        <v>46196</v>
      </c>
      <c r="K677" s="14">
        <v>46196</v>
      </c>
      <c r="L677" s="15" t="s">
        <v>21</v>
      </c>
      <c r="M677" s="13"/>
      <c r="N677" s="16" t="s">
        <v>693</v>
      </c>
    </row>
    <row r="678" spans="1:14" ht="25.5" x14ac:dyDescent="0.25">
      <c r="A678" s="8" t="s">
        <v>18</v>
      </c>
      <c r="B678" s="13" t="s">
        <v>52</v>
      </c>
      <c r="C678" s="13" t="s">
        <v>412</v>
      </c>
      <c r="D678" s="8">
        <v>745</v>
      </c>
      <c r="E678" s="13" t="s">
        <v>794</v>
      </c>
      <c r="F678" s="8" t="s">
        <v>92</v>
      </c>
      <c r="G678" s="13"/>
      <c r="H678" s="8"/>
      <c r="I678" s="13" t="s">
        <v>75</v>
      </c>
      <c r="J678" s="14">
        <v>46196</v>
      </c>
      <c r="K678" s="14">
        <v>46196</v>
      </c>
      <c r="L678" s="15" t="s">
        <v>21</v>
      </c>
      <c r="M678" s="13"/>
      <c r="N678" s="16" t="s">
        <v>795</v>
      </c>
    </row>
    <row r="679" spans="1:14" ht="24" x14ac:dyDescent="0.25">
      <c r="A679" s="8" t="s">
        <v>18</v>
      </c>
      <c r="B679" s="13" t="s">
        <v>52</v>
      </c>
      <c r="C679" s="13" t="s">
        <v>412</v>
      </c>
      <c r="D679" s="8">
        <v>746</v>
      </c>
      <c r="E679" s="13" t="s">
        <v>796</v>
      </c>
      <c r="F679" s="8" t="s">
        <v>92</v>
      </c>
      <c r="G679" s="13"/>
      <c r="H679" s="8"/>
      <c r="I679" s="13" t="s">
        <v>75</v>
      </c>
      <c r="J679" s="14">
        <v>46196</v>
      </c>
      <c r="K679" s="14">
        <v>46196</v>
      </c>
      <c r="L679" s="15" t="s">
        <v>21</v>
      </c>
      <c r="M679" s="13"/>
      <c r="N679" s="16" t="s">
        <v>797</v>
      </c>
    </row>
    <row r="680" spans="1:14" ht="24" x14ac:dyDescent="0.25">
      <c r="A680" s="8" t="s">
        <v>18</v>
      </c>
      <c r="B680" s="13" t="s">
        <v>52</v>
      </c>
      <c r="C680" s="13" t="s">
        <v>412</v>
      </c>
      <c r="D680" s="8">
        <v>747</v>
      </c>
      <c r="E680" s="13" t="s">
        <v>798</v>
      </c>
      <c r="F680" s="8" t="s">
        <v>92</v>
      </c>
      <c r="G680" s="13"/>
      <c r="H680" s="8"/>
      <c r="I680" s="13" t="s">
        <v>75</v>
      </c>
      <c r="J680" s="14">
        <v>46196</v>
      </c>
      <c r="K680" s="14">
        <v>46196</v>
      </c>
      <c r="L680" s="15" t="s">
        <v>21</v>
      </c>
      <c r="M680" s="13"/>
      <c r="N680" s="16" t="s">
        <v>799</v>
      </c>
    </row>
    <row r="681" spans="1:14" ht="24" x14ac:dyDescent="0.25">
      <c r="A681" s="8" t="s">
        <v>18</v>
      </c>
      <c r="B681" s="13" t="s">
        <v>52</v>
      </c>
      <c r="C681" s="13" t="s">
        <v>335</v>
      </c>
      <c r="D681" s="8">
        <v>748</v>
      </c>
      <c r="E681" s="13" t="s">
        <v>704</v>
      </c>
      <c r="F681" s="8" t="s">
        <v>92</v>
      </c>
      <c r="G681" s="13"/>
      <c r="H681" s="8"/>
      <c r="I681" s="13" t="s">
        <v>75</v>
      </c>
      <c r="J681" s="14">
        <v>46196</v>
      </c>
      <c r="K681" s="14">
        <v>46196</v>
      </c>
      <c r="L681" s="15" t="s">
        <v>21</v>
      </c>
      <c r="M681" s="13"/>
      <c r="N681" s="16" t="s">
        <v>705</v>
      </c>
    </row>
    <row r="682" spans="1:14" ht="24" x14ac:dyDescent="0.25">
      <c r="A682" s="8" t="s">
        <v>18</v>
      </c>
      <c r="B682" s="13" t="s">
        <v>52</v>
      </c>
      <c r="C682" s="13" t="s">
        <v>335</v>
      </c>
      <c r="D682" s="8">
        <v>749</v>
      </c>
      <c r="E682" s="13" t="s">
        <v>706</v>
      </c>
      <c r="F682" s="8" t="s">
        <v>92</v>
      </c>
      <c r="G682" s="13"/>
      <c r="H682" s="8"/>
      <c r="I682" s="13" t="s">
        <v>75</v>
      </c>
      <c r="J682" s="14">
        <v>46196</v>
      </c>
      <c r="K682" s="14">
        <v>46196</v>
      </c>
      <c r="L682" s="15" t="s">
        <v>21</v>
      </c>
      <c r="M682" s="13"/>
      <c r="N682" s="16" t="s">
        <v>707</v>
      </c>
    </row>
    <row r="683" spans="1:14" ht="25.5" x14ac:dyDescent="0.25">
      <c r="A683" s="8" t="s">
        <v>18</v>
      </c>
      <c r="B683" s="13" t="s">
        <v>52</v>
      </c>
      <c r="C683" s="13" t="s">
        <v>335</v>
      </c>
      <c r="D683" s="8">
        <v>750</v>
      </c>
      <c r="E683" s="13" t="s">
        <v>708</v>
      </c>
      <c r="F683" s="8" t="s">
        <v>92</v>
      </c>
      <c r="G683" s="13"/>
      <c r="H683" s="8"/>
      <c r="I683" s="13" t="s">
        <v>75</v>
      </c>
      <c r="J683" s="14">
        <v>46196</v>
      </c>
      <c r="K683" s="14">
        <v>46196</v>
      </c>
      <c r="L683" s="15" t="s">
        <v>21</v>
      </c>
      <c r="M683" s="13"/>
      <c r="N683" s="16" t="s">
        <v>709</v>
      </c>
    </row>
    <row r="684" spans="1:14" ht="24" x14ac:dyDescent="0.25">
      <c r="A684" s="8" t="s">
        <v>18</v>
      </c>
      <c r="B684" s="13" t="s">
        <v>52</v>
      </c>
      <c r="C684" s="13" t="s">
        <v>335</v>
      </c>
      <c r="D684" s="8">
        <v>751</v>
      </c>
      <c r="E684" s="13" t="s">
        <v>710</v>
      </c>
      <c r="F684" s="8" t="s">
        <v>92</v>
      </c>
      <c r="G684" s="13"/>
      <c r="H684" s="8"/>
      <c r="I684" s="13" t="s">
        <v>75</v>
      </c>
      <c r="J684" s="14">
        <v>46196</v>
      </c>
      <c r="K684" s="14">
        <v>46196</v>
      </c>
      <c r="L684" s="15" t="s">
        <v>21</v>
      </c>
      <c r="M684" s="13"/>
      <c r="N684" s="16" t="s">
        <v>711</v>
      </c>
    </row>
    <row r="685" spans="1:14" ht="24" x14ac:dyDescent="0.25">
      <c r="A685" s="8" t="s">
        <v>842</v>
      </c>
      <c r="B685" s="13"/>
      <c r="C685" s="13" t="s">
        <v>595</v>
      </c>
      <c r="D685" s="8">
        <v>752</v>
      </c>
      <c r="E685" s="13" t="s">
        <v>1533</v>
      </c>
      <c r="F685" s="8" t="s">
        <v>92</v>
      </c>
      <c r="G685" s="13"/>
      <c r="H685" s="8"/>
      <c r="I685" s="13" t="s">
        <v>75</v>
      </c>
      <c r="J685" s="14">
        <v>46196</v>
      </c>
      <c r="K685" s="14">
        <v>46196</v>
      </c>
      <c r="L685" s="15" t="s">
        <v>21</v>
      </c>
      <c r="M685" s="13"/>
      <c r="N685" s="16" t="s">
        <v>1534</v>
      </c>
    </row>
    <row r="686" spans="1:14" ht="24" x14ac:dyDescent="0.25">
      <c r="A686" s="8" t="s">
        <v>842</v>
      </c>
      <c r="B686" s="13"/>
      <c r="C686" s="13" t="s">
        <v>595</v>
      </c>
      <c r="D686" s="8">
        <v>753</v>
      </c>
      <c r="E686" s="13" t="s">
        <v>1443</v>
      </c>
      <c r="F686" s="8" t="s">
        <v>92</v>
      </c>
      <c r="G686" s="13"/>
      <c r="H686" s="8"/>
      <c r="I686" s="13" t="s">
        <v>75</v>
      </c>
      <c r="J686" s="14">
        <v>46196</v>
      </c>
      <c r="K686" s="14">
        <v>46196</v>
      </c>
      <c r="L686" s="15" t="s">
        <v>21</v>
      </c>
      <c r="M686" s="13"/>
      <c r="N686" s="16" t="s">
        <v>1535</v>
      </c>
    </row>
    <row r="687" spans="1:14" ht="24" x14ac:dyDescent="0.25">
      <c r="A687" s="8" t="s">
        <v>842</v>
      </c>
      <c r="B687" s="13"/>
      <c r="C687" s="13" t="s">
        <v>595</v>
      </c>
      <c r="D687" s="8">
        <v>754</v>
      </c>
      <c r="E687" s="13" t="s">
        <v>1536</v>
      </c>
      <c r="F687" s="8" t="s">
        <v>92</v>
      </c>
      <c r="G687" s="13"/>
      <c r="H687" s="8"/>
      <c r="I687" s="13" t="s">
        <v>75</v>
      </c>
      <c r="J687" s="14">
        <v>46196</v>
      </c>
      <c r="K687" s="14">
        <v>46196</v>
      </c>
      <c r="L687" s="15" t="s">
        <v>21</v>
      </c>
      <c r="M687" s="13"/>
      <c r="N687" s="16" t="s">
        <v>1537</v>
      </c>
    </row>
    <row r="688" spans="1:14" ht="24" x14ac:dyDescent="0.25">
      <c r="A688" s="8" t="s">
        <v>18</v>
      </c>
      <c r="B688" s="13" t="s">
        <v>52</v>
      </c>
      <c r="C688" s="13" t="s">
        <v>412</v>
      </c>
      <c r="D688" s="8">
        <v>755</v>
      </c>
      <c r="E688" s="13" t="s">
        <v>800</v>
      </c>
      <c r="F688" s="8" t="s">
        <v>72</v>
      </c>
      <c r="G688" s="13"/>
      <c r="H688" s="8"/>
      <c r="I688" s="13" t="s">
        <v>290</v>
      </c>
      <c r="J688" s="14">
        <v>46196</v>
      </c>
      <c r="K688" s="14">
        <v>46199</v>
      </c>
      <c r="L688" s="15" t="s">
        <v>21</v>
      </c>
      <c r="M688" s="13"/>
      <c r="N688" s="16" t="s">
        <v>801</v>
      </c>
    </row>
    <row r="689" spans="1:14" ht="25.5" x14ac:dyDescent="0.25">
      <c r="A689" s="8" t="s">
        <v>842</v>
      </c>
      <c r="B689" s="13"/>
      <c r="C689" s="13" t="s">
        <v>335</v>
      </c>
      <c r="D689" s="8">
        <v>756</v>
      </c>
      <c r="E689" s="13" t="s">
        <v>708</v>
      </c>
      <c r="F689" s="8" t="s">
        <v>92</v>
      </c>
      <c r="G689" s="13"/>
      <c r="H689" s="8"/>
      <c r="I689" s="13" t="s">
        <v>75</v>
      </c>
      <c r="J689" s="14">
        <v>46196</v>
      </c>
      <c r="K689" s="14">
        <v>46196</v>
      </c>
      <c r="L689" s="15" t="s">
        <v>21</v>
      </c>
      <c r="M689" s="13"/>
      <c r="N689" s="16" t="s">
        <v>1538</v>
      </c>
    </row>
    <row r="690" spans="1:14" ht="24" x14ac:dyDescent="0.25">
      <c r="A690" s="8" t="s">
        <v>842</v>
      </c>
      <c r="B690" s="13"/>
      <c r="C690" s="13" t="s">
        <v>335</v>
      </c>
      <c r="D690" s="8">
        <v>757</v>
      </c>
      <c r="E690" s="13" t="s">
        <v>706</v>
      </c>
      <c r="F690" s="8" t="s">
        <v>92</v>
      </c>
      <c r="G690" s="13"/>
      <c r="H690" s="8"/>
      <c r="I690" s="13" t="s">
        <v>75</v>
      </c>
      <c r="J690" s="14">
        <v>46196</v>
      </c>
      <c r="K690" s="14">
        <v>46196</v>
      </c>
      <c r="L690" s="15" t="s">
        <v>21</v>
      </c>
      <c r="M690" s="13"/>
      <c r="N690" s="16" t="s">
        <v>1539</v>
      </c>
    </row>
    <row r="691" spans="1:14" ht="24" x14ac:dyDescent="0.25">
      <c r="A691" s="8" t="s">
        <v>842</v>
      </c>
      <c r="B691" s="13"/>
      <c r="C691" s="13" t="s">
        <v>70</v>
      </c>
      <c r="D691" s="8">
        <v>758</v>
      </c>
      <c r="E691" s="13" t="s">
        <v>1540</v>
      </c>
      <c r="F691" s="8" t="s">
        <v>92</v>
      </c>
      <c r="G691" s="13"/>
      <c r="H691" s="8"/>
      <c r="I691" s="13" t="s">
        <v>75</v>
      </c>
      <c r="J691" s="14">
        <v>46196</v>
      </c>
      <c r="K691" s="14">
        <v>46196</v>
      </c>
      <c r="L691" s="15" t="s">
        <v>21</v>
      </c>
      <c r="M691" s="13"/>
      <c r="N691" s="16" t="s">
        <v>1541</v>
      </c>
    </row>
    <row r="692" spans="1:14" ht="24" x14ac:dyDescent="0.25">
      <c r="A692" s="8" t="s">
        <v>842</v>
      </c>
      <c r="B692" s="13"/>
      <c r="C692" s="13" t="s">
        <v>595</v>
      </c>
      <c r="D692" s="8">
        <v>759</v>
      </c>
      <c r="E692" s="13" t="s">
        <v>1542</v>
      </c>
      <c r="F692" s="8" t="s">
        <v>92</v>
      </c>
      <c r="G692" s="13"/>
      <c r="H692" s="8"/>
      <c r="I692" s="13" t="s">
        <v>75</v>
      </c>
      <c r="J692" s="14">
        <v>46196</v>
      </c>
      <c r="K692" s="14">
        <v>46196</v>
      </c>
      <c r="L692" s="15" t="s">
        <v>21</v>
      </c>
      <c r="M692" s="13"/>
      <c r="N692" s="16" t="s">
        <v>1543</v>
      </c>
    </row>
    <row r="693" spans="1:14" ht="24" x14ac:dyDescent="0.25">
      <c r="A693" s="8" t="s">
        <v>18</v>
      </c>
      <c r="B693" s="13" t="s">
        <v>52</v>
      </c>
      <c r="C693" s="13" t="s">
        <v>335</v>
      </c>
      <c r="D693" s="8">
        <v>760</v>
      </c>
      <c r="E693" s="13" t="s">
        <v>712</v>
      </c>
      <c r="F693" s="8" t="s">
        <v>92</v>
      </c>
      <c r="G693" s="13"/>
      <c r="H693" s="8" t="s">
        <v>329</v>
      </c>
      <c r="I693" s="13" t="s">
        <v>75</v>
      </c>
      <c r="J693" s="14">
        <v>46196</v>
      </c>
      <c r="K693" s="14">
        <v>46199</v>
      </c>
      <c r="L693" s="15" t="s">
        <v>21</v>
      </c>
      <c r="M693" s="13"/>
      <c r="N693" s="16" t="s">
        <v>713</v>
      </c>
    </row>
    <row r="694" spans="1:14" ht="24" x14ac:dyDescent="0.25">
      <c r="A694" s="8" t="s">
        <v>18</v>
      </c>
      <c r="B694" s="13" t="s">
        <v>52</v>
      </c>
      <c r="C694" s="13" t="s">
        <v>335</v>
      </c>
      <c r="D694" s="8">
        <v>761</v>
      </c>
      <c r="E694" s="13" t="s">
        <v>714</v>
      </c>
      <c r="F694" s="8" t="s">
        <v>92</v>
      </c>
      <c r="G694" s="13"/>
      <c r="H694" s="8" t="s">
        <v>329</v>
      </c>
      <c r="I694" s="13" t="s">
        <v>75</v>
      </c>
      <c r="J694" s="14">
        <v>46196</v>
      </c>
      <c r="K694" s="14">
        <v>46198</v>
      </c>
      <c r="L694" s="15" t="s">
        <v>21</v>
      </c>
      <c r="M694" s="13"/>
      <c r="N694" s="16" t="s">
        <v>715</v>
      </c>
    </row>
    <row r="695" spans="1:14" ht="24" x14ac:dyDescent="0.25">
      <c r="A695" s="8" t="s">
        <v>18</v>
      </c>
      <c r="B695" s="13" t="s">
        <v>52</v>
      </c>
      <c r="C695" s="13" t="s">
        <v>335</v>
      </c>
      <c r="D695" s="8">
        <v>762</v>
      </c>
      <c r="E695" s="13" t="s">
        <v>716</v>
      </c>
      <c r="F695" s="8" t="s">
        <v>92</v>
      </c>
      <c r="G695" s="13"/>
      <c r="H695" s="8" t="s">
        <v>329</v>
      </c>
      <c r="I695" s="13" t="s">
        <v>75</v>
      </c>
      <c r="J695" s="14">
        <v>46196</v>
      </c>
      <c r="K695" s="14">
        <v>46198</v>
      </c>
      <c r="L695" s="15" t="s">
        <v>21</v>
      </c>
      <c r="M695" s="13"/>
      <c r="N695" s="16" t="s">
        <v>717</v>
      </c>
    </row>
    <row r="696" spans="1:14" ht="24" x14ac:dyDescent="0.25">
      <c r="A696" s="8" t="s">
        <v>18</v>
      </c>
      <c r="B696" s="13" t="s">
        <v>52</v>
      </c>
      <c r="C696" s="13" t="s">
        <v>335</v>
      </c>
      <c r="D696" s="8">
        <v>763</v>
      </c>
      <c r="E696" s="13" t="s">
        <v>718</v>
      </c>
      <c r="F696" s="8" t="s">
        <v>92</v>
      </c>
      <c r="G696" s="13"/>
      <c r="H696" s="8" t="s">
        <v>329</v>
      </c>
      <c r="I696" s="13" t="s">
        <v>75</v>
      </c>
      <c r="J696" s="14">
        <v>46196</v>
      </c>
      <c r="K696" s="14">
        <v>46199</v>
      </c>
      <c r="L696" s="15" t="s">
        <v>21</v>
      </c>
      <c r="M696" s="13"/>
      <c r="N696" s="16" t="s">
        <v>719</v>
      </c>
    </row>
    <row r="697" spans="1:14" ht="24" x14ac:dyDescent="0.25">
      <c r="A697" s="8" t="s">
        <v>18</v>
      </c>
      <c r="B697" s="13" t="s">
        <v>52</v>
      </c>
      <c r="C697" s="13" t="s">
        <v>335</v>
      </c>
      <c r="D697" s="8">
        <v>764</v>
      </c>
      <c r="E697" s="13" t="s">
        <v>720</v>
      </c>
      <c r="F697" s="8" t="s">
        <v>92</v>
      </c>
      <c r="G697" s="13"/>
      <c r="H697" s="8" t="s">
        <v>329</v>
      </c>
      <c r="I697" s="13" t="s">
        <v>75</v>
      </c>
      <c r="J697" s="14">
        <v>46196</v>
      </c>
      <c r="K697" s="14">
        <v>46199</v>
      </c>
      <c r="L697" s="15" t="s">
        <v>21</v>
      </c>
      <c r="M697" s="13"/>
      <c r="N697" s="16" t="s">
        <v>721</v>
      </c>
    </row>
    <row r="698" spans="1:14" ht="24" x14ac:dyDescent="0.25">
      <c r="A698" s="8" t="s">
        <v>18</v>
      </c>
      <c r="B698" s="13" t="s">
        <v>52</v>
      </c>
      <c r="C698" s="13" t="s">
        <v>335</v>
      </c>
      <c r="D698" s="8">
        <v>765</v>
      </c>
      <c r="E698" s="13" t="s">
        <v>722</v>
      </c>
      <c r="F698" s="8" t="s">
        <v>92</v>
      </c>
      <c r="G698" s="13"/>
      <c r="H698" s="8" t="s">
        <v>329</v>
      </c>
      <c r="I698" s="13" t="s">
        <v>75</v>
      </c>
      <c r="J698" s="14">
        <v>46197</v>
      </c>
      <c r="K698" s="14">
        <v>46199</v>
      </c>
      <c r="L698" s="15" t="s">
        <v>21</v>
      </c>
      <c r="M698" s="13"/>
      <c r="N698" s="16" t="s">
        <v>723</v>
      </c>
    </row>
    <row r="699" spans="1:14" ht="24" x14ac:dyDescent="0.25">
      <c r="A699" s="8" t="s">
        <v>18</v>
      </c>
      <c r="B699" s="13" t="s">
        <v>52</v>
      </c>
      <c r="C699" s="13" t="s">
        <v>335</v>
      </c>
      <c r="D699" s="8">
        <v>766</v>
      </c>
      <c r="E699" s="13" t="s">
        <v>724</v>
      </c>
      <c r="F699" s="8" t="s">
        <v>92</v>
      </c>
      <c r="G699" s="13"/>
      <c r="H699" s="8" t="s">
        <v>329</v>
      </c>
      <c r="I699" s="13" t="s">
        <v>75</v>
      </c>
      <c r="J699" s="14">
        <v>46197</v>
      </c>
      <c r="K699" s="14">
        <v>46199</v>
      </c>
      <c r="L699" s="15" t="s">
        <v>21</v>
      </c>
      <c r="M699" s="13"/>
      <c r="N699" s="16" t="s">
        <v>725</v>
      </c>
    </row>
    <row r="700" spans="1:14" ht="24" x14ac:dyDescent="0.25">
      <c r="A700" s="8" t="s">
        <v>18</v>
      </c>
      <c r="B700" s="13" t="s">
        <v>52</v>
      </c>
      <c r="C700" s="13" t="s">
        <v>335</v>
      </c>
      <c r="D700" s="8">
        <v>767</v>
      </c>
      <c r="E700" s="13" t="s">
        <v>726</v>
      </c>
      <c r="F700" s="8" t="s">
        <v>92</v>
      </c>
      <c r="G700" s="13"/>
      <c r="H700" s="8" t="s">
        <v>329</v>
      </c>
      <c r="I700" s="13" t="s">
        <v>75</v>
      </c>
      <c r="J700" s="14">
        <v>46197</v>
      </c>
      <c r="K700" s="14">
        <v>46199</v>
      </c>
      <c r="L700" s="15" t="s">
        <v>21</v>
      </c>
      <c r="M700" s="13"/>
      <c r="N700" s="16" t="s">
        <v>727</v>
      </c>
    </row>
    <row r="701" spans="1:14" ht="24" x14ac:dyDescent="0.25">
      <c r="A701" s="8" t="s">
        <v>18</v>
      </c>
      <c r="B701" s="13" t="s">
        <v>52</v>
      </c>
      <c r="C701" s="13" t="s">
        <v>70</v>
      </c>
      <c r="D701" s="8">
        <v>768</v>
      </c>
      <c r="E701" s="13" t="s">
        <v>825</v>
      </c>
      <c r="F701" s="8" t="s">
        <v>92</v>
      </c>
      <c r="G701" s="13"/>
      <c r="H701" s="8"/>
      <c r="I701" s="13" t="s">
        <v>75</v>
      </c>
      <c r="J701" s="14">
        <v>46197</v>
      </c>
      <c r="K701" s="14">
        <v>46199</v>
      </c>
      <c r="L701" s="15" t="s">
        <v>21</v>
      </c>
      <c r="M701" s="13"/>
      <c r="N701" s="16" t="s">
        <v>826</v>
      </c>
    </row>
    <row r="702" spans="1:14" ht="24" x14ac:dyDescent="0.25">
      <c r="A702" s="8" t="s">
        <v>18</v>
      </c>
      <c r="B702" s="13" t="s">
        <v>52</v>
      </c>
      <c r="C702" s="13" t="s">
        <v>335</v>
      </c>
      <c r="D702" s="8">
        <v>769</v>
      </c>
      <c r="E702" s="13" t="s">
        <v>728</v>
      </c>
      <c r="F702" s="8" t="s">
        <v>92</v>
      </c>
      <c r="G702" s="13"/>
      <c r="H702" s="8" t="s">
        <v>329</v>
      </c>
      <c r="I702" s="13" t="s">
        <v>75</v>
      </c>
      <c r="J702" s="14">
        <v>46197</v>
      </c>
      <c r="K702" s="14">
        <v>46199</v>
      </c>
      <c r="L702" s="15" t="s">
        <v>21</v>
      </c>
      <c r="M702" s="13"/>
      <c r="N702" s="16" t="s">
        <v>729</v>
      </c>
    </row>
    <row r="703" spans="1:14" ht="24" x14ac:dyDescent="0.25">
      <c r="A703" s="8" t="s">
        <v>18</v>
      </c>
      <c r="B703" s="13" t="s">
        <v>52</v>
      </c>
      <c r="C703" s="13" t="s">
        <v>335</v>
      </c>
      <c r="D703" s="8">
        <v>770</v>
      </c>
      <c r="E703" s="13" t="s">
        <v>730</v>
      </c>
      <c r="F703" s="8" t="s">
        <v>92</v>
      </c>
      <c r="G703" s="13"/>
      <c r="H703" s="8" t="s">
        <v>329</v>
      </c>
      <c r="I703" s="13" t="s">
        <v>75</v>
      </c>
      <c r="J703" s="14">
        <v>46198</v>
      </c>
      <c r="K703" s="14">
        <v>46198</v>
      </c>
      <c r="L703" s="15" t="s">
        <v>21</v>
      </c>
      <c r="M703" s="13"/>
      <c r="N703" s="16" t="s">
        <v>731</v>
      </c>
    </row>
    <row r="704" spans="1:14" ht="24" x14ac:dyDescent="0.25">
      <c r="A704" s="8" t="s">
        <v>18</v>
      </c>
      <c r="B704" s="13" t="s">
        <v>52</v>
      </c>
      <c r="C704" s="13" t="s">
        <v>335</v>
      </c>
      <c r="D704" s="8">
        <v>771</v>
      </c>
      <c r="E704" s="13" t="s">
        <v>732</v>
      </c>
      <c r="F704" s="8" t="s">
        <v>92</v>
      </c>
      <c r="G704" s="13"/>
      <c r="H704" s="8" t="s">
        <v>329</v>
      </c>
      <c r="I704" s="13" t="s">
        <v>75</v>
      </c>
      <c r="J704" s="14">
        <v>46198</v>
      </c>
      <c r="K704" s="14">
        <v>46198</v>
      </c>
      <c r="L704" s="15" t="s">
        <v>21</v>
      </c>
      <c r="M704" s="13"/>
      <c r="N704" s="16" t="s">
        <v>733</v>
      </c>
    </row>
    <row r="705" spans="1:14" ht="24" x14ac:dyDescent="0.25">
      <c r="A705" s="8" t="s">
        <v>18</v>
      </c>
      <c r="B705" s="13" t="s">
        <v>52</v>
      </c>
      <c r="C705" s="13" t="s">
        <v>335</v>
      </c>
      <c r="D705" s="8">
        <v>772</v>
      </c>
      <c r="E705" s="13" t="s">
        <v>734</v>
      </c>
      <c r="F705" s="8" t="s">
        <v>92</v>
      </c>
      <c r="G705" s="13"/>
      <c r="H705" s="8" t="s">
        <v>329</v>
      </c>
      <c r="I705" s="13" t="s">
        <v>75</v>
      </c>
      <c r="J705" s="14">
        <v>46198</v>
      </c>
      <c r="K705" s="14">
        <v>46199</v>
      </c>
      <c r="L705" s="15" t="s">
        <v>21</v>
      </c>
      <c r="M705" s="13"/>
      <c r="N705" s="16" t="s">
        <v>735</v>
      </c>
    </row>
    <row r="706" spans="1:14" ht="24" x14ac:dyDescent="0.25">
      <c r="A706" s="8" t="s">
        <v>18</v>
      </c>
      <c r="B706" s="13" t="s">
        <v>52</v>
      </c>
      <c r="C706" s="13" t="s">
        <v>335</v>
      </c>
      <c r="D706" s="8">
        <v>773</v>
      </c>
      <c r="E706" s="13" t="s">
        <v>736</v>
      </c>
      <c r="F706" s="8" t="s">
        <v>92</v>
      </c>
      <c r="G706" s="13"/>
      <c r="H706" s="8" t="s">
        <v>329</v>
      </c>
      <c r="I706" s="13" t="s">
        <v>75</v>
      </c>
      <c r="J706" s="14">
        <v>46198</v>
      </c>
      <c r="K706" s="14">
        <v>46199</v>
      </c>
      <c r="L706" s="15" t="s">
        <v>21</v>
      </c>
      <c r="M706" s="13"/>
      <c r="N706" s="16" t="s">
        <v>737</v>
      </c>
    </row>
    <row r="707" spans="1:14" ht="24" x14ac:dyDescent="0.25">
      <c r="A707" s="8" t="s">
        <v>18</v>
      </c>
      <c r="B707" s="13" t="s">
        <v>52</v>
      </c>
      <c r="C707" s="13" t="s">
        <v>70</v>
      </c>
      <c r="D707" s="8">
        <v>774</v>
      </c>
      <c r="E707" s="13" t="s">
        <v>827</v>
      </c>
      <c r="F707" s="8" t="s">
        <v>92</v>
      </c>
      <c r="G707" s="13"/>
      <c r="H707" s="8"/>
      <c r="I707" s="13" t="s">
        <v>75</v>
      </c>
      <c r="J707" s="14">
        <v>46198</v>
      </c>
      <c r="K707" s="14">
        <v>46199</v>
      </c>
      <c r="L707" s="15" t="s">
        <v>21</v>
      </c>
      <c r="M707" s="13"/>
      <c r="N707" s="16" t="s">
        <v>828</v>
      </c>
    </row>
    <row r="708" spans="1:14" ht="24" x14ac:dyDescent="0.25">
      <c r="A708" s="8" t="s">
        <v>18</v>
      </c>
      <c r="B708" s="13" t="s">
        <v>52</v>
      </c>
      <c r="C708" s="13" t="s">
        <v>335</v>
      </c>
      <c r="D708" s="8">
        <v>775</v>
      </c>
      <c r="E708" s="13" t="s">
        <v>738</v>
      </c>
      <c r="F708" s="8" t="s">
        <v>92</v>
      </c>
      <c r="G708" s="13"/>
      <c r="H708" s="8" t="s">
        <v>329</v>
      </c>
      <c r="I708" s="13" t="s">
        <v>75</v>
      </c>
      <c r="J708" s="14">
        <v>46198</v>
      </c>
      <c r="K708" s="14">
        <v>46198</v>
      </c>
      <c r="L708" s="15" t="s">
        <v>21</v>
      </c>
      <c r="M708" s="13"/>
      <c r="N708" s="16" t="s">
        <v>739</v>
      </c>
    </row>
    <row r="709" spans="1:14" ht="24" x14ac:dyDescent="0.25">
      <c r="A709" s="8" t="s">
        <v>18</v>
      </c>
      <c r="B709" s="13" t="s">
        <v>52</v>
      </c>
      <c r="C709" s="13" t="s">
        <v>335</v>
      </c>
      <c r="D709" s="8">
        <v>776</v>
      </c>
      <c r="E709" s="13" t="s">
        <v>740</v>
      </c>
      <c r="F709" s="8" t="s">
        <v>92</v>
      </c>
      <c r="G709" s="13"/>
      <c r="H709" s="8" t="s">
        <v>329</v>
      </c>
      <c r="I709" s="13" t="s">
        <v>75</v>
      </c>
      <c r="J709" s="14">
        <v>46198</v>
      </c>
      <c r="K709" s="14">
        <v>46198</v>
      </c>
      <c r="L709" s="15" t="s">
        <v>21</v>
      </c>
      <c r="M709" s="13"/>
      <c r="N709" s="16" t="s">
        <v>741</v>
      </c>
    </row>
    <row r="710" spans="1:14" ht="24" x14ac:dyDescent="0.25">
      <c r="A710" s="8" t="s">
        <v>18</v>
      </c>
      <c r="B710" s="13" t="s">
        <v>52</v>
      </c>
      <c r="C710" s="13" t="s">
        <v>335</v>
      </c>
      <c r="D710" s="8">
        <v>777</v>
      </c>
      <c r="E710" s="13" t="s">
        <v>742</v>
      </c>
      <c r="F710" s="8" t="s">
        <v>92</v>
      </c>
      <c r="G710" s="13"/>
      <c r="H710" s="8" t="s">
        <v>329</v>
      </c>
      <c r="I710" s="13" t="s">
        <v>75</v>
      </c>
      <c r="J710" s="14">
        <v>46198</v>
      </c>
      <c r="K710" s="14">
        <v>46199</v>
      </c>
      <c r="L710" s="15" t="s">
        <v>21</v>
      </c>
      <c r="M710" s="13"/>
      <c r="N710" s="16" t="s">
        <v>743</v>
      </c>
    </row>
    <row r="711" spans="1:14" ht="24" x14ac:dyDescent="0.25">
      <c r="A711" s="8" t="s">
        <v>18</v>
      </c>
      <c r="B711" s="13" t="s">
        <v>52</v>
      </c>
      <c r="C711" s="13" t="s">
        <v>335</v>
      </c>
      <c r="D711" s="8">
        <v>778</v>
      </c>
      <c r="E711" s="13" t="s">
        <v>744</v>
      </c>
      <c r="F711" s="8" t="s">
        <v>92</v>
      </c>
      <c r="G711" s="13"/>
      <c r="H711" s="8" t="s">
        <v>329</v>
      </c>
      <c r="I711" s="13" t="s">
        <v>75</v>
      </c>
      <c r="J711" s="14">
        <v>46198</v>
      </c>
      <c r="K711" s="14">
        <v>46199</v>
      </c>
      <c r="L711" s="15" t="s">
        <v>21</v>
      </c>
      <c r="M711" s="13"/>
      <c r="N711" s="16" t="s">
        <v>745</v>
      </c>
    </row>
    <row r="712" spans="1:14" ht="24" x14ac:dyDescent="0.25">
      <c r="A712" s="8" t="s">
        <v>18</v>
      </c>
      <c r="B712" s="13" t="s">
        <v>52</v>
      </c>
      <c r="C712" s="13" t="s">
        <v>335</v>
      </c>
      <c r="D712" s="8">
        <v>779</v>
      </c>
      <c r="E712" s="13" t="s">
        <v>746</v>
      </c>
      <c r="F712" s="8" t="s">
        <v>92</v>
      </c>
      <c r="G712" s="13"/>
      <c r="H712" s="8" t="s">
        <v>329</v>
      </c>
      <c r="I712" s="13" t="s">
        <v>75</v>
      </c>
      <c r="J712" s="14">
        <v>46198</v>
      </c>
      <c r="K712" s="14">
        <v>46198</v>
      </c>
      <c r="L712" s="15" t="s">
        <v>21</v>
      </c>
      <c r="M712" s="13"/>
      <c r="N712" s="16" t="s">
        <v>747</v>
      </c>
    </row>
    <row r="713" spans="1:14" ht="24" x14ac:dyDescent="0.25">
      <c r="A713" s="8" t="s">
        <v>18</v>
      </c>
      <c r="B713" s="13" t="s">
        <v>52</v>
      </c>
      <c r="C713" s="13" t="s">
        <v>335</v>
      </c>
      <c r="D713" s="8">
        <v>780</v>
      </c>
      <c r="E713" s="13" t="s">
        <v>748</v>
      </c>
      <c r="F713" s="8" t="s">
        <v>92</v>
      </c>
      <c r="G713" s="13"/>
      <c r="H713" s="8" t="s">
        <v>329</v>
      </c>
      <c r="I713" s="13" t="s">
        <v>75</v>
      </c>
      <c r="J713" s="14">
        <v>46198</v>
      </c>
      <c r="K713" s="14">
        <v>46199</v>
      </c>
      <c r="L713" s="15" t="s">
        <v>21</v>
      </c>
      <c r="M713" s="13"/>
      <c r="N713" s="16" t="s">
        <v>749</v>
      </c>
    </row>
    <row r="714" spans="1:14" ht="24" x14ac:dyDescent="0.25">
      <c r="A714" s="8" t="s">
        <v>18</v>
      </c>
      <c r="B714" s="13" t="s">
        <v>52</v>
      </c>
      <c r="C714" s="13" t="s">
        <v>335</v>
      </c>
      <c r="D714" s="8">
        <v>781</v>
      </c>
      <c r="E714" s="13" t="s">
        <v>750</v>
      </c>
      <c r="F714" s="8" t="s">
        <v>92</v>
      </c>
      <c r="G714" s="13"/>
      <c r="H714" s="8" t="s">
        <v>329</v>
      </c>
      <c r="I714" s="13" t="s">
        <v>75</v>
      </c>
      <c r="J714" s="14">
        <v>46198</v>
      </c>
      <c r="K714" s="14">
        <v>46199</v>
      </c>
      <c r="L714" s="15" t="s">
        <v>21</v>
      </c>
      <c r="M714" s="13"/>
      <c r="N714" s="16" t="s">
        <v>751</v>
      </c>
    </row>
    <row r="715" spans="1:14" ht="24" x14ac:dyDescent="0.25">
      <c r="A715" s="8" t="s">
        <v>18</v>
      </c>
      <c r="B715" s="13" t="s">
        <v>52</v>
      </c>
      <c r="C715" s="13" t="s">
        <v>335</v>
      </c>
      <c r="D715" s="8">
        <v>782</v>
      </c>
      <c r="E715" s="13" t="s">
        <v>752</v>
      </c>
      <c r="F715" s="8" t="s">
        <v>92</v>
      </c>
      <c r="G715" s="13"/>
      <c r="H715" s="8" t="s">
        <v>329</v>
      </c>
      <c r="I715" s="13" t="s">
        <v>75</v>
      </c>
      <c r="J715" s="14">
        <v>46198</v>
      </c>
      <c r="K715" s="14">
        <v>46199</v>
      </c>
      <c r="L715" s="15" t="s">
        <v>21</v>
      </c>
      <c r="M715" s="13"/>
      <c r="N715" s="16" t="s">
        <v>753</v>
      </c>
    </row>
    <row r="716" spans="1:14" ht="24" x14ac:dyDescent="0.25">
      <c r="A716" s="8" t="s">
        <v>18</v>
      </c>
      <c r="B716" s="13" t="s">
        <v>52</v>
      </c>
      <c r="C716" s="13" t="s">
        <v>335</v>
      </c>
      <c r="D716" s="8">
        <v>783</v>
      </c>
      <c r="E716" s="13" t="s">
        <v>754</v>
      </c>
      <c r="F716" s="8" t="s">
        <v>92</v>
      </c>
      <c r="G716" s="13"/>
      <c r="H716" s="8" t="s">
        <v>329</v>
      </c>
      <c r="I716" s="13" t="s">
        <v>75</v>
      </c>
      <c r="J716" s="14">
        <v>46198</v>
      </c>
      <c r="K716" s="14">
        <v>46198</v>
      </c>
      <c r="L716" s="15" t="s">
        <v>21</v>
      </c>
      <c r="M716" s="13"/>
      <c r="N716" s="16" t="s">
        <v>755</v>
      </c>
    </row>
    <row r="717" spans="1:14" ht="24" x14ac:dyDescent="0.25">
      <c r="A717" s="8" t="s">
        <v>18</v>
      </c>
      <c r="B717" s="13" t="s">
        <v>52</v>
      </c>
      <c r="C717" s="13" t="s">
        <v>335</v>
      </c>
      <c r="D717" s="8">
        <v>784</v>
      </c>
      <c r="E717" s="13" t="s">
        <v>756</v>
      </c>
      <c r="F717" s="8" t="s">
        <v>92</v>
      </c>
      <c r="G717" s="13"/>
      <c r="H717" s="8" t="s">
        <v>329</v>
      </c>
      <c r="I717" s="13" t="s">
        <v>75</v>
      </c>
      <c r="J717" s="14">
        <v>46198</v>
      </c>
      <c r="K717" s="14">
        <v>46199</v>
      </c>
      <c r="L717" s="15" t="s">
        <v>21</v>
      </c>
      <c r="M717" s="13"/>
      <c r="N717" s="16" t="s">
        <v>757</v>
      </c>
    </row>
    <row r="718" spans="1:14" ht="24" x14ac:dyDescent="0.25">
      <c r="A718" s="8" t="s">
        <v>18</v>
      </c>
      <c r="B718" s="13" t="s">
        <v>52</v>
      </c>
      <c r="C718" s="13" t="s">
        <v>335</v>
      </c>
      <c r="D718" s="8">
        <v>785</v>
      </c>
      <c r="E718" s="13" t="s">
        <v>758</v>
      </c>
      <c r="F718" s="8" t="s">
        <v>92</v>
      </c>
      <c r="G718" s="13"/>
      <c r="H718" s="8" t="s">
        <v>329</v>
      </c>
      <c r="I718" s="13" t="s">
        <v>75</v>
      </c>
      <c r="J718" s="14">
        <v>46198</v>
      </c>
      <c r="K718" s="14">
        <v>46198</v>
      </c>
      <c r="L718" s="15" t="s">
        <v>21</v>
      </c>
      <c r="M718" s="13"/>
      <c r="N718" s="16" t="s">
        <v>759</v>
      </c>
    </row>
    <row r="719" spans="1:14" ht="24" x14ac:dyDescent="0.25">
      <c r="A719" s="8" t="s">
        <v>18</v>
      </c>
      <c r="B719" s="13" t="s">
        <v>52</v>
      </c>
      <c r="C719" s="13" t="s">
        <v>335</v>
      </c>
      <c r="D719" s="8">
        <v>786</v>
      </c>
      <c r="E719" s="13" t="s">
        <v>760</v>
      </c>
      <c r="F719" s="8" t="s">
        <v>72</v>
      </c>
      <c r="G719" s="13"/>
      <c r="H719" s="8" t="s">
        <v>329</v>
      </c>
      <c r="I719" s="13" t="s">
        <v>290</v>
      </c>
      <c r="J719" s="14">
        <v>46198</v>
      </c>
      <c r="K719" s="14">
        <v>46199</v>
      </c>
      <c r="L719" s="15" t="s">
        <v>21</v>
      </c>
      <c r="M719" s="13"/>
      <c r="N719" s="16" t="s">
        <v>761</v>
      </c>
    </row>
    <row r="720" spans="1:14" ht="24" x14ac:dyDescent="0.25">
      <c r="A720" s="8" t="s">
        <v>18</v>
      </c>
      <c r="B720" s="13" t="s">
        <v>52</v>
      </c>
      <c r="C720" s="13" t="s">
        <v>335</v>
      </c>
      <c r="D720" s="8">
        <v>787</v>
      </c>
      <c r="E720" s="13" t="s">
        <v>762</v>
      </c>
      <c r="F720" s="8" t="s">
        <v>92</v>
      </c>
      <c r="G720" s="13"/>
      <c r="H720" s="8" t="s">
        <v>329</v>
      </c>
      <c r="I720" s="13" t="s">
        <v>75</v>
      </c>
      <c r="J720" s="14">
        <v>46198</v>
      </c>
      <c r="K720" s="14">
        <v>46198</v>
      </c>
      <c r="L720" s="15" t="s">
        <v>21</v>
      </c>
      <c r="M720" s="13"/>
      <c r="N720" s="16" t="s">
        <v>763</v>
      </c>
    </row>
    <row r="721" spans="1:14" ht="24" x14ac:dyDescent="0.25">
      <c r="A721" s="8" t="s">
        <v>18</v>
      </c>
      <c r="B721" s="13" t="s">
        <v>52</v>
      </c>
      <c r="C721" s="13" t="s">
        <v>335</v>
      </c>
      <c r="D721" s="8">
        <v>788</v>
      </c>
      <c r="E721" s="13" t="s">
        <v>764</v>
      </c>
      <c r="F721" s="8" t="s">
        <v>72</v>
      </c>
      <c r="G721" s="13"/>
      <c r="H721" s="8" t="s">
        <v>329</v>
      </c>
      <c r="I721" s="13" t="s">
        <v>290</v>
      </c>
      <c r="J721" s="14">
        <v>46198</v>
      </c>
      <c r="K721" s="14">
        <v>46199</v>
      </c>
      <c r="L721" s="15" t="s">
        <v>21</v>
      </c>
      <c r="M721" s="13"/>
      <c r="N721" s="16" t="s">
        <v>765</v>
      </c>
    </row>
    <row r="722" spans="1:14" ht="24" x14ac:dyDescent="0.25">
      <c r="A722" s="8" t="s">
        <v>18</v>
      </c>
      <c r="B722" s="13" t="s">
        <v>52</v>
      </c>
      <c r="C722" s="13" t="s">
        <v>335</v>
      </c>
      <c r="D722" s="8">
        <v>789</v>
      </c>
      <c r="E722" s="13" t="s">
        <v>766</v>
      </c>
      <c r="F722" s="8" t="s">
        <v>92</v>
      </c>
      <c r="G722" s="13"/>
      <c r="H722" s="8" t="s">
        <v>329</v>
      </c>
      <c r="I722" s="13" t="s">
        <v>75</v>
      </c>
      <c r="J722" s="14">
        <v>46198</v>
      </c>
      <c r="K722" s="14">
        <v>46198</v>
      </c>
      <c r="L722" s="15" t="s">
        <v>21</v>
      </c>
      <c r="M722" s="13"/>
      <c r="N722" s="16" t="s">
        <v>767</v>
      </c>
    </row>
    <row r="723" spans="1:14" ht="24" x14ac:dyDescent="0.25">
      <c r="A723" s="8" t="s">
        <v>18</v>
      </c>
      <c r="B723" s="13" t="s">
        <v>52</v>
      </c>
      <c r="C723" s="13" t="s">
        <v>412</v>
      </c>
      <c r="D723" s="8">
        <v>790</v>
      </c>
      <c r="E723" s="13" t="s">
        <v>802</v>
      </c>
      <c r="F723" s="8" t="s">
        <v>92</v>
      </c>
      <c r="G723" s="13"/>
      <c r="H723" s="8" t="s">
        <v>329</v>
      </c>
      <c r="I723" s="13" t="s">
        <v>75</v>
      </c>
      <c r="J723" s="14">
        <v>46198</v>
      </c>
      <c r="K723" s="14">
        <v>46198</v>
      </c>
      <c r="L723" s="15" t="s">
        <v>21</v>
      </c>
      <c r="M723" s="13"/>
      <c r="N723" s="16" t="s">
        <v>803</v>
      </c>
    </row>
    <row r="724" spans="1:14" ht="24" x14ac:dyDescent="0.25">
      <c r="A724" s="8" t="s">
        <v>18</v>
      </c>
      <c r="B724" s="13" t="s">
        <v>52</v>
      </c>
      <c r="C724" s="13" t="s">
        <v>412</v>
      </c>
      <c r="D724" s="8">
        <v>791</v>
      </c>
      <c r="E724" s="13" t="s">
        <v>804</v>
      </c>
      <c r="F724" s="8" t="s">
        <v>92</v>
      </c>
      <c r="G724" s="13"/>
      <c r="H724" s="8" t="s">
        <v>329</v>
      </c>
      <c r="I724" s="13" t="s">
        <v>75</v>
      </c>
      <c r="J724" s="14">
        <v>46198</v>
      </c>
      <c r="K724" s="14">
        <v>46198</v>
      </c>
      <c r="L724" s="15" t="s">
        <v>21</v>
      </c>
      <c r="M724" s="13"/>
      <c r="N724" s="16" t="s">
        <v>805</v>
      </c>
    </row>
    <row r="725" spans="1:14" ht="24" x14ac:dyDescent="0.25">
      <c r="A725" s="8" t="s">
        <v>18</v>
      </c>
      <c r="B725" s="13" t="s">
        <v>52</v>
      </c>
      <c r="C725" s="13" t="s">
        <v>412</v>
      </c>
      <c r="D725" s="8">
        <v>792</v>
      </c>
      <c r="E725" s="13" t="s">
        <v>806</v>
      </c>
      <c r="F725" s="8" t="s">
        <v>92</v>
      </c>
      <c r="G725" s="13"/>
      <c r="H725" s="8" t="s">
        <v>329</v>
      </c>
      <c r="I725" s="13" t="s">
        <v>75</v>
      </c>
      <c r="J725" s="14">
        <v>46198</v>
      </c>
      <c r="K725" s="14">
        <v>46198</v>
      </c>
      <c r="L725" s="15" t="s">
        <v>21</v>
      </c>
      <c r="M725" s="13"/>
      <c r="N725" s="16" t="s">
        <v>807</v>
      </c>
    </row>
    <row r="726" spans="1:14" ht="24" x14ac:dyDescent="0.25">
      <c r="A726" s="8" t="s">
        <v>18</v>
      </c>
      <c r="B726" s="13" t="s">
        <v>52</v>
      </c>
      <c r="C726" s="13" t="s">
        <v>412</v>
      </c>
      <c r="D726" s="8">
        <v>793</v>
      </c>
      <c r="E726" s="13" t="s">
        <v>804</v>
      </c>
      <c r="F726" s="8" t="s">
        <v>92</v>
      </c>
      <c r="G726" s="13"/>
      <c r="H726" s="8" t="s">
        <v>329</v>
      </c>
      <c r="I726" s="13" t="s">
        <v>75</v>
      </c>
      <c r="J726" s="14">
        <v>46198</v>
      </c>
      <c r="K726" s="14">
        <v>46198</v>
      </c>
      <c r="L726" s="15" t="s">
        <v>21</v>
      </c>
      <c r="M726" s="13"/>
      <c r="N726" s="16" t="s">
        <v>808</v>
      </c>
    </row>
    <row r="727" spans="1:14" ht="24" x14ac:dyDescent="0.25">
      <c r="A727" s="8" t="s">
        <v>18</v>
      </c>
      <c r="B727" s="13" t="s">
        <v>52</v>
      </c>
      <c r="C727" s="13" t="s">
        <v>412</v>
      </c>
      <c r="D727" s="8">
        <v>794</v>
      </c>
      <c r="E727" s="13" t="s">
        <v>809</v>
      </c>
      <c r="F727" s="8" t="s">
        <v>92</v>
      </c>
      <c r="G727" s="13"/>
      <c r="H727" s="8" t="s">
        <v>329</v>
      </c>
      <c r="I727" s="13" t="s">
        <v>75</v>
      </c>
      <c r="J727" s="14">
        <v>46198</v>
      </c>
      <c r="K727" s="14">
        <v>46198</v>
      </c>
      <c r="L727" s="15" t="s">
        <v>21</v>
      </c>
      <c r="M727" s="13"/>
      <c r="N727" s="16" t="s">
        <v>810</v>
      </c>
    </row>
    <row r="728" spans="1:14" ht="24" x14ac:dyDescent="0.25">
      <c r="A728" s="8" t="s">
        <v>18</v>
      </c>
      <c r="B728" s="13" t="s">
        <v>52</v>
      </c>
      <c r="C728" s="13" t="s">
        <v>412</v>
      </c>
      <c r="D728" s="8">
        <v>795</v>
      </c>
      <c r="E728" s="13" t="s">
        <v>811</v>
      </c>
      <c r="F728" s="8" t="s">
        <v>92</v>
      </c>
      <c r="G728" s="13"/>
      <c r="H728" s="8" t="s">
        <v>329</v>
      </c>
      <c r="I728" s="13" t="s">
        <v>75</v>
      </c>
      <c r="J728" s="14">
        <v>46198</v>
      </c>
      <c r="K728" s="14">
        <v>46198</v>
      </c>
      <c r="L728" s="15" t="s">
        <v>21</v>
      </c>
      <c r="M728" s="13"/>
      <c r="N728" s="16" t="s">
        <v>812</v>
      </c>
    </row>
    <row r="729" spans="1:14" ht="24" x14ac:dyDescent="0.25">
      <c r="A729" s="8" t="s">
        <v>18</v>
      </c>
      <c r="B729" s="13" t="s">
        <v>52</v>
      </c>
      <c r="C729" s="13" t="s">
        <v>412</v>
      </c>
      <c r="D729" s="8">
        <v>796</v>
      </c>
      <c r="E729" s="13" t="s">
        <v>813</v>
      </c>
      <c r="F729" s="8" t="s">
        <v>92</v>
      </c>
      <c r="G729" s="13"/>
      <c r="H729" s="8"/>
      <c r="I729" s="13" t="s">
        <v>75</v>
      </c>
      <c r="J729" s="14">
        <v>46198</v>
      </c>
      <c r="K729" s="14">
        <v>46199</v>
      </c>
      <c r="L729" s="15" t="s">
        <v>21</v>
      </c>
      <c r="M729" s="13"/>
      <c r="N729" s="16" t="s">
        <v>814</v>
      </c>
    </row>
    <row r="730" spans="1:14" ht="24" x14ac:dyDescent="0.25">
      <c r="A730" s="8" t="s">
        <v>18</v>
      </c>
      <c r="B730" s="13" t="s">
        <v>52</v>
      </c>
      <c r="C730" s="13" t="s">
        <v>412</v>
      </c>
      <c r="D730" s="8">
        <v>797</v>
      </c>
      <c r="E730" s="13" t="s">
        <v>815</v>
      </c>
      <c r="F730" s="8" t="s">
        <v>92</v>
      </c>
      <c r="G730" s="13"/>
      <c r="H730" s="8"/>
      <c r="I730" s="13" t="s">
        <v>75</v>
      </c>
      <c r="J730" s="14">
        <v>46198</v>
      </c>
      <c r="K730" s="14">
        <v>46199</v>
      </c>
      <c r="L730" s="15" t="s">
        <v>21</v>
      </c>
      <c r="M730" s="13"/>
      <c r="N730" s="16" t="s">
        <v>816</v>
      </c>
    </row>
    <row r="731" spans="1:14" ht="24" x14ac:dyDescent="0.25">
      <c r="A731" s="8" t="s">
        <v>18</v>
      </c>
      <c r="B731" s="13" t="s">
        <v>52</v>
      </c>
      <c r="C731" s="13" t="s">
        <v>412</v>
      </c>
      <c r="D731" s="8">
        <v>798</v>
      </c>
      <c r="E731" s="13" t="s">
        <v>817</v>
      </c>
      <c r="F731" s="8" t="s">
        <v>92</v>
      </c>
      <c r="G731" s="13"/>
      <c r="H731" s="8" t="s">
        <v>329</v>
      </c>
      <c r="I731" s="13" t="s">
        <v>75</v>
      </c>
      <c r="J731" s="14">
        <v>46198</v>
      </c>
      <c r="K731" s="14">
        <v>46198</v>
      </c>
      <c r="L731" s="15" t="s">
        <v>21</v>
      </c>
      <c r="M731" s="13"/>
      <c r="N731" s="16" t="s">
        <v>818</v>
      </c>
    </row>
    <row r="732" spans="1:14" ht="24" x14ac:dyDescent="0.25">
      <c r="A732" s="8" t="s">
        <v>18</v>
      </c>
      <c r="B732" s="13" t="s">
        <v>52</v>
      </c>
      <c r="C732" s="13" t="s">
        <v>335</v>
      </c>
      <c r="D732" s="8">
        <v>799</v>
      </c>
      <c r="E732" s="13" t="s">
        <v>768</v>
      </c>
      <c r="F732" s="8" t="s">
        <v>92</v>
      </c>
      <c r="G732" s="13"/>
      <c r="H732" s="8"/>
      <c r="I732" s="13" t="s">
        <v>75</v>
      </c>
      <c r="J732" s="14">
        <v>46198</v>
      </c>
      <c r="K732" s="14">
        <v>46198</v>
      </c>
      <c r="L732" s="15" t="s">
        <v>21</v>
      </c>
      <c r="M732" s="13"/>
      <c r="N732" s="16" t="s">
        <v>769</v>
      </c>
    </row>
    <row r="733" spans="1:14" ht="24" x14ac:dyDescent="0.25">
      <c r="A733" s="8" t="s">
        <v>18</v>
      </c>
      <c r="B733" s="13" t="s">
        <v>52</v>
      </c>
      <c r="C733" s="13" t="s">
        <v>412</v>
      </c>
      <c r="D733" s="8">
        <v>800</v>
      </c>
      <c r="E733" s="13" t="s">
        <v>819</v>
      </c>
      <c r="F733" s="8" t="s">
        <v>92</v>
      </c>
      <c r="G733" s="13"/>
      <c r="H733" s="8" t="s">
        <v>329</v>
      </c>
      <c r="I733" s="13" t="s">
        <v>75</v>
      </c>
      <c r="J733" s="14">
        <v>46198</v>
      </c>
      <c r="K733" s="14">
        <v>46198</v>
      </c>
      <c r="L733" s="15" t="s">
        <v>21</v>
      </c>
      <c r="M733" s="13"/>
      <c r="N733" s="16" t="s">
        <v>820</v>
      </c>
    </row>
    <row r="734" spans="1:14" ht="25.5" x14ac:dyDescent="0.25">
      <c r="A734" s="8" t="s">
        <v>18</v>
      </c>
      <c r="B734" s="13" t="s">
        <v>52</v>
      </c>
      <c r="C734" s="13" t="s">
        <v>335</v>
      </c>
      <c r="D734" s="8">
        <v>801</v>
      </c>
      <c r="E734" s="13" t="s">
        <v>770</v>
      </c>
      <c r="F734" s="8" t="s">
        <v>92</v>
      </c>
      <c r="G734" s="13"/>
      <c r="H734" s="8" t="s">
        <v>329</v>
      </c>
      <c r="I734" s="13" t="s">
        <v>75</v>
      </c>
      <c r="J734" s="14">
        <v>46199</v>
      </c>
      <c r="K734" s="14">
        <v>46199</v>
      </c>
      <c r="L734" s="15" t="s">
        <v>21</v>
      </c>
      <c r="M734" s="13"/>
      <c r="N734" s="16" t="s">
        <v>771</v>
      </c>
    </row>
    <row r="735" spans="1:14" ht="24" x14ac:dyDescent="0.25">
      <c r="A735" s="8" t="s">
        <v>18</v>
      </c>
      <c r="B735" s="13" t="s">
        <v>52</v>
      </c>
      <c r="C735" s="13" t="s">
        <v>279</v>
      </c>
      <c r="D735" s="8">
        <v>802</v>
      </c>
      <c r="E735" s="13" t="s">
        <v>694</v>
      </c>
      <c r="F735" s="8" t="s">
        <v>92</v>
      </c>
      <c r="G735" s="13"/>
      <c r="H735" s="8" t="s">
        <v>329</v>
      </c>
      <c r="I735" s="13" t="s">
        <v>75</v>
      </c>
      <c r="J735" s="14">
        <v>46199</v>
      </c>
      <c r="K735" s="14">
        <v>46199</v>
      </c>
      <c r="L735" s="15" t="s">
        <v>21</v>
      </c>
      <c r="M735" s="13"/>
      <c r="N735" s="16" t="s">
        <v>695</v>
      </c>
    </row>
    <row r="736" spans="1:14" ht="25.5" x14ac:dyDescent="0.25">
      <c r="A736" s="8" t="s">
        <v>18</v>
      </c>
      <c r="B736" s="13" t="s">
        <v>52</v>
      </c>
      <c r="C736" s="13" t="s">
        <v>412</v>
      </c>
      <c r="D736" s="8">
        <v>803</v>
      </c>
      <c r="E736" s="13" t="s">
        <v>821</v>
      </c>
      <c r="F736" s="8" t="s">
        <v>72</v>
      </c>
      <c r="G736" s="13"/>
      <c r="H736" s="8"/>
      <c r="I736" s="13" t="s">
        <v>75</v>
      </c>
      <c r="J736" s="14">
        <v>46199</v>
      </c>
      <c r="K736" s="14">
        <v>46199</v>
      </c>
      <c r="L736" s="15" t="s">
        <v>21</v>
      </c>
      <c r="M736" s="13"/>
      <c r="N736" s="16" t="s">
        <v>822</v>
      </c>
    </row>
    <row r="737" spans="1:14" ht="24" x14ac:dyDescent="0.25">
      <c r="A737" s="8" t="s">
        <v>842</v>
      </c>
      <c r="B737" s="13"/>
      <c r="C737" s="13" t="s">
        <v>595</v>
      </c>
      <c r="D737" s="8">
        <v>804</v>
      </c>
      <c r="E737" s="13" t="s">
        <v>1544</v>
      </c>
      <c r="F737" s="8" t="s">
        <v>92</v>
      </c>
      <c r="G737" s="13"/>
      <c r="H737" s="8"/>
      <c r="I737" s="13" t="s">
        <v>75</v>
      </c>
      <c r="J737" s="14">
        <v>46199</v>
      </c>
      <c r="K737" s="14">
        <v>46199</v>
      </c>
      <c r="L737" s="15" t="s">
        <v>21</v>
      </c>
      <c r="M737" s="13"/>
      <c r="N737" s="16" t="s">
        <v>1545</v>
      </c>
    </row>
    <row r="738" spans="1:14" ht="24" x14ac:dyDescent="0.25">
      <c r="A738" s="8" t="s">
        <v>18</v>
      </c>
      <c r="B738" s="13" t="s">
        <v>52</v>
      </c>
      <c r="C738" s="13" t="s">
        <v>412</v>
      </c>
      <c r="D738" s="8">
        <v>805</v>
      </c>
      <c r="E738" s="13" t="s">
        <v>823</v>
      </c>
      <c r="F738" s="8" t="s">
        <v>92</v>
      </c>
      <c r="G738" s="13"/>
      <c r="H738" s="8" t="s">
        <v>329</v>
      </c>
      <c r="I738" s="13" t="s">
        <v>75</v>
      </c>
      <c r="J738" s="14">
        <v>46199</v>
      </c>
      <c r="K738" s="14">
        <v>46199</v>
      </c>
      <c r="L738" s="15" t="s">
        <v>21</v>
      </c>
      <c r="M738" s="13"/>
      <c r="N738" s="16" t="s">
        <v>824</v>
      </c>
    </row>
    <row r="739" spans="1:14" ht="24" x14ac:dyDescent="0.25">
      <c r="A739" s="8" t="s">
        <v>18</v>
      </c>
      <c r="B739" s="13" t="s">
        <v>52</v>
      </c>
      <c r="C739" s="13" t="s">
        <v>335</v>
      </c>
      <c r="D739" s="8">
        <v>806</v>
      </c>
      <c r="E739" s="13" t="s">
        <v>736</v>
      </c>
      <c r="F739" s="8" t="s">
        <v>92</v>
      </c>
      <c r="G739" s="13"/>
      <c r="H739" s="8" t="s">
        <v>329</v>
      </c>
      <c r="I739" s="13" t="s">
        <v>75</v>
      </c>
      <c r="J739" s="14">
        <v>46199</v>
      </c>
      <c r="K739" s="14">
        <v>46199</v>
      </c>
      <c r="L739" s="15" t="s">
        <v>21</v>
      </c>
      <c r="M739" s="13"/>
      <c r="N739" s="16" t="s">
        <v>772</v>
      </c>
    </row>
  </sheetData>
  <autoFilter ref="A3:N739" xr:uid="{00000000-0009-0000-0000-000003000000}"/>
  <mergeCells count="1">
    <mergeCell ref="A1:N1"/>
  </mergeCells>
  <hyperlinks>
    <hyperlink ref="N4" r:id="rId1" xr:uid="{00000000-0004-0000-0300-000000000000}"/>
    <hyperlink ref="N5" r:id="rId2" xr:uid="{00000000-0004-0000-0300-000001000000}"/>
    <hyperlink ref="N6" r:id="rId3" xr:uid="{00000000-0004-0000-0300-000002000000}"/>
    <hyperlink ref="N7" r:id="rId4" xr:uid="{00000000-0004-0000-0300-000003000000}"/>
    <hyperlink ref="N8" r:id="rId5" xr:uid="{00000000-0004-0000-0300-000004000000}"/>
    <hyperlink ref="N9" r:id="rId6" xr:uid="{00000000-0004-0000-0300-000005000000}"/>
    <hyperlink ref="N10" r:id="rId7" xr:uid="{00000000-0004-0000-0300-000006000000}"/>
    <hyperlink ref="N11" r:id="rId8" xr:uid="{00000000-0004-0000-0300-000007000000}"/>
    <hyperlink ref="N12" r:id="rId9" xr:uid="{00000000-0004-0000-0300-000008000000}"/>
    <hyperlink ref="N13" r:id="rId10" xr:uid="{00000000-0004-0000-0300-000009000000}"/>
    <hyperlink ref="N14" r:id="rId11" xr:uid="{00000000-0004-0000-0300-00000A000000}"/>
    <hyperlink ref="N15" r:id="rId12" xr:uid="{00000000-0004-0000-0300-00000B000000}"/>
    <hyperlink ref="N16" r:id="rId13" xr:uid="{00000000-0004-0000-0300-00000C000000}"/>
    <hyperlink ref="N17" r:id="rId14" xr:uid="{00000000-0004-0000-0300-00000D000000}"/>
    <hyperlink ref="N18" r:id="rId15" xr:uid="{00000000-0004-0000-0300-00000E000000}"/>
    <hyperlink ref="N19" r:id="rId16" xr:uid="{00000000-0004-0000-0300-00000F000000}"/>
    <hyperlink ref="N20" r:id="rId17" xr:uid="{00000000-0004-0000-0300-000010000000}"/>
    <hyperlink ref="N21" r:id="rId18" xr:uid="{00000000-0004-0000-0300-000011000000}"/>
    <hyperlink ref="N22" r:id="rId19" xr:uid="{00000000-0004-0000-0300-000012000000}"/>
    <hyperlink ref="N23" r:id="rId20" xr:uid="{00000000-0004-0000-0300-000013000000}"/>
    <hyperlink ref="N24" r:id="rId21" xr:uid="{00000000-0004-0000-0300-000014000000}"/>
    <hyperlink ref="N25" r:id="rId22" xr:uid="{00000000-0004-0000-0300-000015000000}"/>
    <hyperlink ref="N26" r:id="rId23" xr:uid="{00000000-0004-0000-0300-000016000000}"/>
    <hyperlink ref="N27" r:id="rId24" xr:uid="{00000000-0004-0000-0300-000017000000}"/>
    <hyperlink ref="N28" r:id="rId25" xr:uid="{00000000-0004-0000-0300-000018000000}"/>
    <hyperlink ref="N29" r:id="rId26" xr:uid="{00000000-0004-0000-0300-000019000000}"/>
    <hyperlink ref="N30" r:id="rId27" xr:uid="{00000000-0004-0000-0300-00001A000000}"/>
    <hyperlink ref="N31" r:id="rId28" xr:uid="{00000000-0004-0000-0300-00001B000000}"/>
    <hyperlink ref="N32" r:id="rId29" xr:uid="{00000000-0004-0000-0300-00001C000000}"/>
    <hyperlink ref="N33" r:id="rId30" xr:uid="{00000000-0004-0000-0300-00001D000000}"/>
    <hyperlink ref="N34" r:id="rId31" xr:uid="{00000000-0004-0000-0300-00001E000000}"/>
    <hyperlink ref="N35" r:id="rId32" xr:uid="{00000000-0004-0000-0300-00001F000000}"/>
    <hyperlink ref="N36" r:id="rId33" xr:uid="{00000000-0004-0000-0300-000020000000}"/>
    <hyperlink ref="N37" r:id="rId34" xr:uid="{00000000-0004-0000-0300-000021000000}"/>
    <hyperlink ref="N38" r:id="rId35" xr:uid="{00000000-0004-0000-0300-000022000000}"/>
    <hyperlink ref="N39" r:id="rId36" xr:uid="{00000000-0004-0000-0300-000023000000}"/>
    <hyperlink ref="N40" r:id="rId37" xr:uid="{00000000-0004-0000-0300-000024000000}"/>
    <hyperlink ref="N41" r:id="rId38" xr:uid="{00000000-0004-0000-0300-000025000000}"/>
    <hyperlink ref="N42" r:id="rId39" xr:uid="{00000000-0004-0000-0300-000026000000}"/>
    <hyperlink ref="N43" r:id="rId40" xr:uid="{00000000-0004-0000-0300-000027000000}"/>
    <hyperlink ref="N44" r:id="rId41" xr:uid="{00000000-0004-0000-0300-000028000000}"/>
    <hyperlink ref="N45" r:id="rId42" xr:uid="{00000000-0004-0000-0300-000029000000}"/>
    <hyperlink ref="N46" r:id="rId43" xr:uid="{00000000-0004-0000-0300-00002A000000}"/>
    <hyperlink ref="N47" r:id="rId44" xr:uid="{00000000-0004-0000-0300-00002B000000}"/>
    <hyperlink ref="N48" r:id="rId45" xr:uid="{00000000-0004-0000-0300-00002C000000}"/>
    <hyperlink ref="N49" r:id="rId46" xr:uid="{00000000-0004-0000-0300-00002D000000}"/>
    <hyperlink ref="N50" r:id="rId47" xr:uid="{00000000-0004-0000-0300-00002E000000}"/>
    <hyperlink ref="N51" r:id="rId48" xr:uid="{00000000-0004-0000-0300-00002F000000}"/>
    <hyperlink ref="N52" r:id="rId49" xr:uid="{00000000-0004-0000-0300-000030000000}"/>
    <hyperlink ref="N53" r:id="rId50" xr:uid="{00000000-0004-0000-0300-000031000000}"/>
    <hyperlink ref="N54" r:id="rId51" xr:uid="{00000000-0004-0000-0300-000032000000}"/>
    <hyperlink ref="N55" r:id="rId52" xr:uid="{00000000-0004-0000-0300-000033000000}"/>
    <hyperlink ref="N56" r:id="rId53" xr:uid="{00000000-0004-0000-0300-000034000000}"/>
    <hyperlink ref="N57" r:id="rId54" xr:uid="{00000000-0004-0000-0300-000035000000}"/>
    <hyperlink ref="N58" r:id="rId55" xr:uid="{00000000-0004-0000-0300-000036000000}"/>
    <hyperlink ref="N59" r:id="rId56" xr:uid="{00000000-0004-0000-0300-000037000000}"/>
    <hyperlink ref="N60" r:id="rId57" xr:uid="{00000000-0004-0000-0300-000038000000}"/>
    <hyperlink ref="N61" r:id="rId58" xr:uid="{00000000-0004-0000-0300-000039000000}"/>
    <hyperlink ref="N62" r:id="rId59" xr:uid="{00000000-0004-0000-0300-00003A000000}"/>
    <hyperlink ref="N63" r:id="rId60" xr:uid="{00000000-0004-0000-0300-00003B000000}"/>
    <hyperlink ref="N64" r:id="rId61" xr:uid="{00000000-0004-0000-0300-00003C000000}"/>
    <hyperlink ref="N65" r:id="rId62" xr:uid="{00000000-0004-0000-0300-00003D000000}"/>
    <hyperlink ref="N66" r:id="rId63" xr:uid="{00000000-0004-0000-0300-00003E000000}"/>
    <hyperlink ref="N67" r:id="rId64" xr:uid="{00000000-0004-0000-0300-00003F000000}"/>
    <hyperlink ref="N68" r:id="rId65" xr:uid="{00000000-0004-0000-0300-000040000000}"/>
    <hyperlink ref="N69" r:id="rId66" xr:uid="{00000000-0004-0000-0300-000041000000}"/>
    <hyperlink ref="N70" r:id="rId67" xr:uid="{00000000-0004-0000-0300-000042000000}"/>
    <hyperlink ref="N71" r:id="rId68" xr:uid="{00000000-0004-0000-0300-000043000000}"/>
    <hyperlink ref="N72" r:id="rId69" xr:uid="{00000000-0004-0000-0300-000044000000}"/>
    <hyperlink ref="N73" r:id="rId70" xr:uid="{00000000-0004-0000-0300-000045000000}"/>
    <hyperlink ref="N74" r:id="rId71" xr:uid="{00000000-0004-0000-0300-000046000000}"/>
    <hyperlink ref="N75" r:id="rId72" xr:uid="{00000000-0004-0000-0300-000047000000}"/>
    <hyperlink ref="N76" r:id="rId73" xr:uid="{00000000-0004-0000-0300-000048000000}"/>
    <hyperlink ref="N77" r:id="rId74" xr:uid="{00000000-0004-0000-0300-000049000000}"/>
    <hyperlink ref="N78" r:id="rId75" xr:uid="{00000000-0004-0000-0300-00004A000000}"/>
    <hyperlink ref="N79" r:id="rId76" xr:uid="{00000000-0004-0000-0300-00004B000000}"/>
    <hyperlink ref="N80" r:id="rId77" xr:uid="{00000000-0004-0000-0300-00004C000000}"/>
    <hyperlink ref="N81" r:id="rId78" xr:uid="{00000000-0004-0000-0300-00004D000000}"/>
    <hyperlink ref="N82" r:id="rId79" xr:uid="{00000000-0004-0000-0300-00004E000000}"/>
    <hyperlink ref="N83" r:id="rId80" xr:uid="{00000000-0004-0000-0300-00004F000000}"/>
    <hyperlink ref="N84" r:id="rId81" xr:uid="{00000000-0004-0000-0300-000050000000}"/>
    <hyperlink ref="N85" r:id="rId82" xr:uid="{00000000-0004-0000-0300-000051000000}"/>
    <hyperlink ref="N86" r:id="rId83" xr:uid="{00000000-0004-0000-0300-000052000000}"/>
    <hyperlink ref="N87" r:id="rId84" xr:uid="{00000000-0004-0000-0300-000053000000}"/>
    <hyperlink ref="N88" r:id="rId85" xr:uid="{00000000-0004-0000-0300-000054000000}"/>
    <hyperlink ref="N89" r:id="rId86" xr:uid="{00000000-0004-0000-0300-000055000000}"/>
    <hyperlink ref="N90" r:id="rId87" xr:uid="{00000000-0004-0000-0300-000056000000}"/>
    <hyperlink ref="N91" r:id="rId88" xr:uid="{00000000-0004-0000-0300-000057000000}"/>
    <hyperlink ref="N92" r:id="rId89" xr:uid="{00000000-0004-0000-0300-000058000000}"/>
    <hyperlink ref="N93" r:id="rId90" xr:uid="{00000000-0004-0000-0300-000059000000}"/>
    <hyperlink ref="N94" r:id="rId91" xr:uid="{00000000-0004-0000-0300-00005A000000}"/>
    <hyperlink ref="N95" r:id="rId92" xr:uid="{00000000-0004-0000-0300-00005B000000}"/>
    <hyperlink ref="N96" r:id="rId93" xr:uid="{00000000-0004-0000-0300-00005C000000}"/>
    <hyperlink ref="N97" r:id="rId94" xr:uid="{00000000-0004-0000-0300-00005D000000}"/>
    <hyperlink ref="N98" r:id="rId95" xr:uid="{00000000-0004-0000-0300-00005E000000}"/>
    <hyperlink ref="N99" r:id="rId96" xr:uid="{00000000-0004-0000-0300-00005F000000}"/>
    <hyperlink ref="N100" r:id="rId97" xr:uid="{00000000-0004-0000-0300-000060000000}"/>
    <hyperlink ref="N101" r:id="rId98" xr:uid="{00000000-0004-0000-0300-000061000000}"/>
    <hyperlink ref="N102" r:id="rId99" xr:uid="{00000000-0004-0000-0300-000062000000}"/>
    <hyperlink ref="N103" r:id="rId100" xr:uid="{00000000-0004-0000-0300-000063000000}"/>
    <hyperlink ref="N104" r:id="rId101" xr:uid="{00000000-0004-0000-0300-000064000000}"/>
    <hyperlink ref="N105" r:id="rId102" xr:uid="{00000000-0004-0000-0300-000065000000}"/>
    <hyperlink ref="N106" r:id="rId103" xr:uid="{00000000-0004-0000-0300-000066000000}"/>
    <hyperlink ref="N107" r:id="rId104" xr:uid="{00000000-0004-0000-0300-000067000000}"/>
    <hyperlink ref="N108" r:id="rId105" xr:uid="{00000000-0004-0000-0300-000068000000}"/>
    <hyperlink ref="N109" r:id="rId106" xr:uid="{00000000-0004-0000-0300-000069000000}"/>
    <hyperlink ref="N110" r:id="rId107" xr:uid="{00000000-0004-0000-0300-00006A000000}"/>
    <hyperlink ref="N111" r:id="rId108" xr:uid="{00000000-0004-0000-0300-00006B000000}"/>
    <hyperlink ref="N112" r:id="rId109" xr:uid="{00000000-0004-0000-0300-00006C000000}"/>
    <hyperlink ref="N113" r:id="rId110" xr:uid="{00000000-0004-0000-0300-00006D000000}"/>
    <hyperlink ref="N114" r:id="rId111" xr:uid="{00000000-0004-0000-0300-00006E000000}"/>
    <hyperlink ref="N115" r:id="rId112" xr:uid="{00000000-0004-0000-0300-00006F000000}"/>
    <hyperlink ref="N116" r:id="rId113" xr:uid="{00000000-0004-0000-0300-000070000000}"/>
    <hyperlink ref="N117" r:id="rId114" xr:uid="{00000000-0004-0000-0300-000071000000}"/>
    <hyperlink ref="N118" r:id="rId115" xr:uid="{00000000-0004-0000-0300-000072000000}"/>
    <hyperlink ref="N119" r:id="rId116" xr:uid="{00000000-0004-0000-0300-000073000000}"/>
    <hyperlink ref="N120" r:id="rId117" xr:uid="{00000000-0004-0000-0300-000074000000}"/>
    <hyperlink ref="N121" r:id="rId118" xr:uid="{00000000-0004-0000-0300-000075000000}"/>
    <hyperlink ref="N122" r:id="rId119" xr:uid="{00000000-0004-0000-0300-000076000000}"/>
    <hyperlink ref="N123" r:id="rId120" xr:uid="{00000000-0004-0000-0300-000077000000}"/>
    <hyperlink ref="N124" r:id="rId121" xr:uid="{00000000-0004-0000-0300-000078000000}"/>
    <hyperlink ref="N125" r:id="rId122" xr:uid="{00000000-0004-0000-0300-000079000000}"/>
    <hyperlink ref="N126" r:id="rId123" xr:uid="{00000000-0004-0000-0300-00007A000000}"/>
    <hyperlink ref="N127" r:id="rId124" xr:uid="{00000000-0004-0000-0300-00007B000000}"/>
    <hyperlink ref="N128" r:id="rId125" xr:uid="{00000000-0004-0000-0300-00007C000000}"/>
    <hyperlink ref="N129" r:id="rId126" xr:uid="{00000000-0004-0000-0300-00007D000000}"/>
    <hyperlink ref="N130" r:id="rId127" xr:uid="{00000000-0004-0000-0300-00007E000000}"/>
    <hyperlink ref="N131" r:id="rId128" xr:uid="{00000000-0004-0000-0300-00007F000000}"/>
    <hyperlink ref="N132" r:id="rId129" xr:uid="{00000000-0004-0000-0300-000080000000}"/>
    <hyperlink ref="N133" r:id="rId130" xr:uid="{00000000-0004-0000-0300-000081000000}"/>
    <hyperlink ref="N134" r:id="rId131" xr:uid="{00000000-0004-0000-0300-000082000000}"/>
    <hyperlink ref="N135" r:id="rId132" xr:uid="{00000000-0004-0000-0300-000083000000}"/>
    <hyperlink ref="N136" r:id="rId133" xr:uid="{00000000-0004-0000-0300-000084000000}"/>
    <hyperlink ref="N137" r:id="rId134" xr:uid="{00000000-0004-0000-0300-000085000000}"/>
    <hyperlink ref="N138" r:id="rId135" xr:uid="{00000000-0004-0000-0300-000086000000}"/>
    <hyperlink ref="N139" r:id="rId136" xr:uid="{00000000-0004-0000-0300-000087000000}"/>
    <hyperlink ref="N140" r:id="rId137" xr:uid="{00000000-0004-0000-0300-000088000000}"/>
    <hyperlink ref="N141" r:id="rId138" xr:uid="{00000000-0004-0000-0300-000089000000}"/>
    <hyperlink ref="N142" r:id="rId139" xr:uid="{00000000-0004-0000-0300-00008A000000}"/>
    <hyperlink ref="N143" r:id="rId140" xr:uid="{00000000-0004-0000-0300-00008B000000}"/>
    <hyperlink ref="N144" r:id="rId141" xr:uid="{00000000-0004-0000-0300-00008C000000}"/>
    <hyperlink ref="N145" r:id="rId142" xr:uid="{00000000-0004-0000-0300-00008D000000}"/>
    <hyperlink ref="N146" r:id="rId143" xr:uid="{00000000-0004-0000-0300-00008E000000}"/>
    <hyperlink ref="N147" r:id="rId144" xr:uid="{00000000-0004-0000-0300-00008F000000}"/>
    <hyperlink ref="N148" r:id="rId145" xr:uid="{00000000-0004-0000-0300-000090000000}"/>
    <hyperlink ref="N149" r:id="rId146" xr:uid="{00000000-0004-0000-0300-000091000000}"/>
    <hyperlink ref="N150" r:id="rId147" xr:uid="{00000000-0004-0000-0300-000092000000}"/>
    <hyperlink ref="N151" r:id="rId148" xr:uid="{00000000-0004-0000-0300-000093000000}"/>
    <hyperlink ref="N152" r:id="rId149" xr:uid="{00000000-0004-0000-0300-000094000000}"/>
    <hyperlink ref="N153" r:id="rId150" xr:uid="{00000000-0004-0000-0300-000095000000}"/>
    <hyperlink ref="N154" r:id="rId151" xr:uid="{00000000-0004-0000-0300-000096000000}"/>
    <hyperlink ref="N155" r:id="rId152" xr:uid="{00000000-0004-0000-0300-000097000000}"/>
    <hyperlink ref="N156" r:id="rId153" xr:uid="{00000000-0004-0000-0300-000098000000}"/>
    <hyperlink ref="N157" r:id="rId154" xr:uid="{00000000-0004-0000-0300-000099000000}"/>
    <hyperlink ref="N158" r:id="rId155" xr:uid="{00000000-0004-0000-0300-00009A000000}"/>
    <hyperlink ref="N159" r:id="rId156" xr:uid="{00000000-0004-0000-0300-00009B000000}"/>
    <hyperlink ref="N160" r:id="rId157" xr:uid="{00000000-0004-0000-0300-00009C000000}"/>
    <hyperlink ref="N161" r:id="rId158" xr:uid="{00000000-0004-0000-0300-00009D000000}"/>
    <hyperlink ref="N162" r:id="rId159" xr:uid="{00000000-0004-0000-0300-00009E000000}"/>
    <hyperlink ref="N163" r:id="rId160" xr:uid="{00000000-0004-0000-0300-00009F000000}"/>
    <hyperlink ref="N164" r:id="rId161" xr:uid="{00000000-0004-0000-0300-0000A0000000}"/>
    <hyperlink ref="N165" r:id="rId162" xr:uid="{00000000-0004-0000-0300-0000A1000000}"/>
    <hyperlink ref="N166" r:id="rId163" xr:uid="{00000000-0004-0000-0300-0000A2000000}"/>
    <hyperlink ref="N167" r:id="rId164" xr:uid="{00000000-0004-0000-0300-0000A3000000}"/>
    <hyperlink ref="N168" r:id="rId165" xr:uid="{00000000-0004-0000-0300-0000A4000000}"/>
    <hyperlink ref="N169" r:id="rId166" xr:uid="{00000000-0004-0000-0300-0000A5000000}"/>
    <hyperlink ref="N170" r:id="rId167" xr:uid="{00000000-0004-0000-0300-0000A6000000}"/>
    <hyperlink ref="N171" r:id="rId168" xr:uid="{00000000-0004-0000-0300-0000A7000000}"/>
    <hyperlink ref="N172" r:id="rId169" xr:uid="{00000000-0004-0000-0300-0000A8000000}"/>
    <hyperlink ref="N173" r:id="rId170" xr:uid="{00000000-0004-0000-0300-0000A9000000}"/>
    <hyperlink ref="N174" r:id="rId171" xr:uid="{00000000-0004-0000-0300-0000AA000000}"/>
    <hyperlink ref="N175" r:id="rId172" xr:uid="{00000000-0004-0000-0300-0000AB000000}"/>
    <hyperlink ref="N176" r:id="rId173" xr:uid="{00000000-0004-0000-0300-0000AC000000}"/>
    <hyperlink ref="N177" r:id="rId174" xr:uid="{00000000-0004-0000-0300-0000AD000000}"/>
    <hyperlink ref="N178" r:id="rId175" xr:uid="{00000000-0004-0000-0300-0000AE000000}"/>
    <hyperlink ref="N179" r:id="rId176" xr:uid="{00000000-0004-0000-0300-0000AF000000}"/>
    <hyperlink ref="N180" r:id="rId177" xr:uid="{00000000-0004-0000-0300-0000B0000000}"/>
    <hyperlink ref="N181" r:id="rId178" xr:uid="{00000000-0004-0000-0300-0000B1000000}"/>
    <hyperlink ref="N182" r:id="rId179" xr:uid="{00000000-0004-0000-0300-0000B2000000}"/>
    <hyperlink ref="N183" r:id="rId180" xr:uid="{00000000-0004-0000-0300-0000B3000000}"/>
    <hyperlink ref="N184" r:id="rId181" xr:uid="{00000000-0004-0000-0300-0000B4000000}"/>
    <hyperlink ref="N185" r:id="rId182" xr:uid="{00000000-0004-0000-0300-0000B5000000}"/>
    <hyperlink ref="N186" r:id="rId183" xr:uid="{00000000-0004-0000-0300-0000B6000000}"/>
    <hyperlink ref="N187" r:id="rId184" xr:uid="{00000000-0004-0000-0300-0000B7000000}"/>
    <hyperlink ref="N188" r:id="rId185" xr:uid="{00000000-0004-0000-0300-0000B8000000}"/>
    <hyperlink ref="N189" r:id="rId186" xr:uid="{00000000-0004-0000-0300-0000B9000000}"/>
    <hyperlink ref="N190" r:id="rId187" xr:uid="{00000000-0004-0000-0300-0000BA000000}"/>
    <hyperlink ref="N191" r:id="rId188" xr:uid="{00000000-0004-0000-0300-0000BB000000}"/>
    <hyperlink ref="N192" r:id="rId189" xr:uid="{00000000-0004-0000-0300-0000BC000000}"/>
    <hyperlink ref="N193" r:id="rId190" xr:uid="{00000000-0004-0000-0300-0000BD000000}"/>
    <hyperlink ref="N194" r:id="rId191" xr:uid="{00000000-0004-0000-0300-0000BE000000}"/>
    <hyperlink ref="N195" r:id="rId192" xr:uid="{00000000-0004-0000-0300-0000BF000000}"/>
    <hyperlink ref="N196" r:id="rId193" xr:uid="{00000000-0004-0000-0300-0000C0000000}"/>
    <hyperlink ref="N197" r:id="rId194" xr:uid="{00000000-0004-0000-0300-0000C1000000}"/>
    <hyperlink ref="N198" r:id="rId195" xr:uid="{00000000-0004-0000-0300-0000C2000000}"/>
    <hyperlink ref="N199" r:id="rId196" xr:uid="{00000000-0004-0000-0300-0000C3000000}"/>
    <hyperlink ref="N200" r:id="rId197" xr:uid="{00000000-0004-0000-0300-0000C4000000}"/>
    <hyperlink ref="N201" r:id="rId198" xr:uid="{00000000-0004-0000-0300-0000C5000000}"/>
    <hyperlink ref="N202" r:id="rId199" xr:uid="{00000000-0004-0000-0300-0000C6000000}"/>
    <hyperlink ref="N203" r:id="rId200" xr:uid="{00000000-0004-0000-0300-0000C7000000}"/>
    <hyperlink ref="N204" r:id="rId201" xr:uid="{00000000-0004-0000-0300-0000C8000000}"/>
    <hyperlink ref="N205" r:id="rId202" xr:uid="{00000000-0004-0000-0300-0000C9000000}"/>
    <hyperlink ref="N206" r:id="rId203" xr:uid="{00000000-0004-0000-0300-0000CA000000}"/>
    <hyperlink ref="N207" r:id="rId204" xr:uid="{00000000-0004-0000-0300-0000CB000000}"/>
    <hyperlink ref="N208" r:id="rId205" xr:uid="{00000000-0004-0000-0300-0000CC000000}"/>
    <hyperlink ref="N209" r:id="rId206" xr:uid="{00000000-0004-0000-0300-0000CD000000}"/>
    <hyperlink ref="N210" r:id="rId207" xr:uid="{00000000-0004-0000-0300-0000CE000000}"/>
    <hyperlink ref="N211" r:id="rId208" xr:uid="{00000000-0004-0000-0300-0000CF000000}"/>
    <hyperlink ref="N212" r:id="rId209" xr:uid="{00000000-0004-0000-0300-0000D0000000}"/>
    <hyperlink ref="N213" r:id="rId210" xr:uid="{00000000-0004-0000-0300-0000D1000000}"/>
    <hyperlink ref="N214" r:id="rId211" xr:uid="{00000000-0004-0000-0300-0000D2000000}"/>
    <hyperlink ref="N215" r:id="rId212" xr:uid="{00000000-0004-0000-0300-0000D3000000}"/>
    <hyperlink ref="N216" r:id="rId213" xr:uid="{00000000-0004-0000-0300-0000D4000000}"/>
    <hyperlink ref="N217" r:id="rId214" xr:uid="{00000000-0004-0000-0300-0000D5000000}"/>
    <hyperlink ref="N218" r:id="rId215" xr:uid="{00000000-0004-0000-0300-0000D6000000}"/>
    <hyperlink ref="N219" r:id="rId216" xr:uid="{00000000-0004-0000-0300-0000D7000000}"/>
    <hyperlink ref="N220" r:id="rId217" xr:uid="{00000000-0004-0000-0300-0000D8000000}"/>
    <hyperlink ref="N221" r:id="rId218" xr:uid="{00000000-0004-0000-0300-0000D9000000}"/>
    <hyperlink ref="N222" r:id="rId219" xr:uid="{00000000-0004-0000-0300-0000DA000000}"/>
    <hyperlink ref="N223" r:id="rId220" xr:uid="{00000000-0004-0000-0300-0000DB000000}"/>
    <hyperlink ref="N224" r:id="rId221" xr:uid="{00000000-0004-0000-0300-0000DC000000}"/>
    <hyperlink ref="N225" r:id="rId222" xr:uid="{00000000-0004-0000-0300-0000DD000000}"/>
    <hyperlink ref="N226" r:id="rId223" xr:uid="{00000000-0004-0000-0300-0000DE000000}"/>
    <hyperlink ref="N227" r:id="rId224" xr:uid="{00000000-0004-0000-0300-0000DF000000}"/>
    <hyperlink ref="N228" r:id="rId225" xr:uid="{00000000-0004-0000-0300-0000E0000000}"/>
    <hyperlink ref="N229" r:id="rId226" xr:uid="{00000000-0004-0000-0300-0000E1000000}"/>
    <hyperlink ref="N230" r:id="rId227" xr:uid="{00000000-0004-0000-0300-0000E2000000}"/>
    <hyperlink ref="N231" r:id="rId228" xr:uid="{00000000-0004-0000-0300-0000E3000000}"/>
    <hyperlink ref="N232" r:id="rId229" xr:uid="{00000000-0004-0000-0300-0000E4000000}"/>
    <hyperlink ref="N233" r:id="rId230" xr:uid="{00000000-0004-0000-0300-0000E5000000}"/>
    <hyperlink ref="N234" r:id="rId231" xr:uid="{00000000-0004-0000-0300-0000E6000000}"/>
    <hyperlink ref="N235" r:id="rId232" xr:uid="{00000000-0004-0000-0300-0000E7000000}"/>
    <hyperlink ref="N236" r:id="rId233" xr:uid="{00000000-0004-0000-0300-0000E8000000}"/>
    <hyperlink ref="N237" r:id="rId234" xr:uid="{00000000-0004-0000-0300-0000E9000000}"/>
    <hyperlink ref="N238" r:id="rId235" xr:uid="{00000000-0004-0000-0300-0000EA000000}"/>
    <hyperlink ref="N239" r:id="rId236" xr:uid="{00000000-0004-0000-0300-0000EB000000}"/>
    <hyperlink ref="N240" r:id="rId237" xr:uid="{00000000-0004-0000-0300-0000EC000000}"/>
    <hyperlink ref="N241" r:id="rId238" xr:uid="{00000000-0004-0000-0300-0000ED000000}"/>
    <hyperlink ref="N242" r:id="rId239" xr:uid="{00000000-0004-0000-0300-0000EE000000}"/>
    <hyperlink ref="N243" r:id="rId240" xr:uid="{00000000-0004-0000-0300-0000EF000000}"/>
    <hyperlink ref="N244" r:id="rId241" xr:uid="{00000000-0004-0000-0300-0000F0000000}"/>
    <hyperlink ref="N245" r:id="rId242" xr:uid="{00000000-0004-0000-0300-0000F1000000}"/>
    <hyperlink ref="N246" r:id="rId243" xr:uid="{00000000-0004-0000-0300-0000F2000000}"/>
    <hyperlink ref="N247" r:id="rId244" xr:uid="{00000000-0004-0000-0300-0000F3000000}"/>
    <hyperlink ref="N248" r:id="rId245" xr:uid="{00000000-0004-0000-0300-0000F4000000}"/>
    <hyperlink ref="N249" r:id="rId246" xr:uid="{00000000-0004-0000-0300-0000F5000000}"/>
    <hyperlink ref="N250" r:id="rId247" xr:uid="{00000000-0004-0000-0300-0000F6000000}"/>
    <hyperlink ref="N251" r:id="rId248" xr:uid="{00000000-0004-0000-0300-0000F7000000}"/>
    <hyperlink ref="N252" r:id="rId249" xr:uid="{00000000-0004-0000-0300-0000F8000000}"/>
    <hyperlink ref="N253" r:id="rId250" xr:uid="{00000000-0004-0000-0300-0000F9000000}"/>
    <hyperlink ref="N254" r:id="rId251" xr:uid="{00000000-0004-0000-0300-0000FA000000}"/>
    <hyperlink ref="N255" r:id="rId252" xr:uid="{00000000-0004-0000-0300-0000FB000000}"/>
    <hyperlink ref="N256" r:id="rId253" xr:uid="{00000000-0004-0000-0300-0000FC000000}"/>
    <hyperlink ref="N257" r:id="rId254" xr:uid="{00000000-0004-0000-0300-0000FD000000}"/>
    <hyperlink ref="N258" r:id="rId255" xr:uid="{00000000-0004-0000-0300-0000FE000000}"/>
    <hyperlink ref="N259" r:id="rId256" xr:uid="{00000000-0004-0000-0300-0000FF000000}"/>
    <hyperlink ref="N260" r:id="rId257" xr:uid="{00000000-0004-0000-0300-000000010000}"/>
    <hyperlink ref="N261" r:id="rId258" xr:uid="{00000000-0004-0000-0300-000001010000}"/>
    <hyperlink ref="N262" r:id="rId259" xr:uid="{00000000-0004-0000-0300-000002010000}"/>
    <hyperlink ref="N263" r:id="rId260" xr:uid="{00000000-0004-0000-0300-000003010000}"/>
    <hyperlink ref="N264" r:id="rId261" xr:uid="{00000000-0004-0000-0300-000004010000}"/>
    <hyperlink ref="N265" r:id="rId262" xr:uid="{00000000-0004-0000-0300-000005010000}"/>
    <hyperlink ref="N266" r:id="rId263" xr:uid="{00000000-0004-0000-0300-000006010000}"/>
    <hyperlink ref="N267" r:id="rId264" xr:uid="{00000000-0004-0000-0300-000007010000}"/>
    <hyperlink ref="N268" r:id="rId265" xr:uid="{00000000-0004-0000-0300-000008010000}"/>
    <hyperlink ref="N269" r:id="rId266" xr:uid="{00000000-0004-0000-0300-000009010000}"/>
    <hyperlink ref="N270" r:id="rId267" xr:uid="{00000000-0004-0000-0300-00000A010000}"/>
    <hyperlink ref="N271" r:id="rId268" xr:uid="{00000000-0004-0000-0300-00000B010000}"/>
    <hyperlink ref="N272" r:id="rId269" xr:uid="{00000000-0004-0000-0300-00000C010000}"/>
    <hyperlink ref="N273" r:id="rId270" xr:uid="{00000000-0004-0000-0300-00000D010000}"/>
    <hyperlink ref="N274" r:id="rId271" xr:uid="{00000000-0004-0000-0300-00000E010000}"/>
    <hyperlink ref="N275" r:id="rId272" xr:uid="{00000000-0004-0000-0300-00000F010000}"/>
    <hyperlink ref="N276" r:id="rId273" xr:uid="{00000000-0004-0000-0300-000010010000}"/>
    <hyperlink ref="N277" r:id="rId274" xr:uid="{00000000-0004-0000-0300-000011010000}"/>
    <hyperlink ref="N278" r:id="rId275" xr:uid="{00000000-0004-0000-0300-000012010000}"/>
    <hyperlink ref="N279" r:id="rId276" xr:uid="{00000000-0004-0000-0300-000013010000}"/>
    <hyperlink ref="N280" r:id="rId277" xr:uid="{00000000-0004-0000-0300-000014010000}"/>
    <hyperlink ref="N281" r:id="rId278" xr:uid="{00000000-0004-0000-0300-000015010000}"/>
    <hyperlink ref="N282" r:id="rId279" xr:uid="{00000000-0004-0000-0300-000016010000}"/>
    <hyperlink ref="N283" r:id="rId280" xr:uid="{00000000-0004-0000-0300-000017010000}"/>
    <hyperlink ref="N284" r:id="rId281" xr:uid="{00000000-0004-0000-0300-000018010000}"/>
    <hyperlink ref="N285" r:id="rId282" xr:uid="{00000000-0004-0000-0300-000019010000}"/>
    <hyperlink ref="N286" r:id="rId283" xr:uid="{00000000-0004-0000-0300-00001A010000}"/>
    <hyperlink ref="N287" r:id="rId284" xr:uid="{00000000-0004-0000-0300-00001B010000}"/>
    <hyperlink ref="N288" r:id="rId285" xr:uid="{00000000-0004-0000-0300-00001C010000}"/>
    <hyperlink ref="N289" r:id="rId286" xr:uid="{00000000-0004-0000-0300-00001D010000}"/>
    <hyperlink ref="N290" r:id="rId287" xr:uid="{00000000-0004-0000-0300-00001E010000}"/>
    <hyperlink ref="N291" r:id="rId288" xr:uid="{00000000-0004-0000-0300-00001F010000}"/>
    <hyperlink ref="N292" r:id="rId289" xr:uid="{00000000-0004-0000-0300-000020010000}"/>
    <hyperlink ref="N293" r:id="rId290" xr:uid="{00000000-0004-0000-0300-000021010000}"/>
    <hyperlink ref="N294" r:id="rId291" xr:uid="{00000000-0004-0000-0300-000022010000}"/>
    <hyperlink ref="N295" r:id="rId292" xr:uid="{00000000-0004-0000-0300-000023010000}"/>
    <hyperlink ref="N296" r:id="rId293" xr:uid="{00000000-0004-0000-0300-000024010000}"/>
    <hyperlink ref="N297" r:id="rId294" xr:uid="{00000000-0004-0000-0300-000025010000}"/>
    <hyperlink ref="N298" r:id="rId295" xr:uid="{00000000-0004-0000-0300-000026010000}"/>
    <hyperlink ref="N299" r:id="rId296" xr:uid="{00000000-0004-0000-0300-000027010000}"/>
    <hyperlink ref="N300" r:id="rId297" xr:uid="{00000000-0004-0000-0300-000028010000}"/>
    <hyperlink ref="N301" r:id="rId298" xr:uid="{00000000-0004-0000-0300-000029010000}"/>
    <hyperlink ref="N302" r:id="rId299" xr:uid="{00000000-0004-0000-0300-00002A010000}"/>
    <hyperlink ref="N303" r:id="rId300" xr:uid="{00000000-0004-0000-0300-00002B010000}"/>
    <hyperlink ref="N304" r:id="rId301" xr:uid="{00000000-0004-0000-0300-00002C010000}"/>
    <hyperlink ref="N305" r:id="rId302" xr:uid="{00000000-0004-0000-0300-00002D010000}"/>
    <hyperlink ref="N306" r:id="rId303" xr:uid="{00000000-0004-0000-0300-00002E010000}"/>
    <hyperlink ref="N307" r:id="rId304" xr:uid="{00000000-0004-0000-0300-00002F010000}"/>
    <hyperlink ref="N308" r:id="rId305" xr:uid="{00000000-0004-0000-0300-000030010000}"/>
    <hyperlink ref="N309" r:id="rId306" xr:uid="{00000000-0004-0000-0300-000031010000}"/>
    <hyperlink ref="N310" r:id="rId307" xr:uid="{00000000-0004-0000-0300-000032010000}"/>
    <hyperlink ref="N311" r:id="rId308" xr:uid="{00000000-0004-0000-0300-000033010000}"/>
    <hyperlink ref="N312" r:id="rId309" xr:uid="{00000000-0004-0000-0300-000034010000}"/>
    <hyperlink ref="N313" r:id="rId310" xr:uid="{00000000-0004-0000-0300-000035010000}"/>
    <hyperlink ref="N314" r:id="rId311" xr:uid="{00000000-0004-0000-0300-000036010000}"/>
    <hyperlink ref="N315" r:id="rId312" xr:uid="{00000000-0004-0000-0300-000037010000}"/>
    <hyperlink ref="N316" r:id="rId313" xr:uid="{00000000-0004-0000-0300-000038010000}"/>
    <hyperlink ref="N317" r:id="rId314" xr:uid="{00000000-0004-0000-0300-000039010000}"/>
    <hyperlink ref="N318" r:id="rId315" xr:uid="{00000000-0004-0000-0300-00003A010000}"/>
    <hyperlink ref="N319" r:id="rId316" xr:uid="{00000000-0004-0000-0300-00003B010000}"/>
    <hyperlink ref="N320" r:id="rId317" xr:uid="{00000000-0004-0000-0300-00003C010000}"/>
    <hyperlink ref="N321" r:id="rId318" xr:uid="{00000000-0004-0000-0300-00003D010000}"/>
    <hyperlink ref="N322" r:id="rId319" xr:uid="{00000000-0004-0000-0300-00003E010000}"/>
    <hyperlink ref="N323" r:id="rId320" xr:uid="{00000000-0004-0000-0300-00003F010000}"/>
    <hyperlink ref="N324" r:id="rId321" xr:uid="{00000000-0004-0000-0300-000040010000}"/>
    <hyperlink ref="N325" r:id="rId322" xr:uid="{00000000-0004-0000-0300-000041010000}"/>
    <hyperlink ref="N326" r:id="rId323" xr:uid="{00000000-0004-0000-0300-000042010000}"/>
    <hyperlink ref="N327" r:id="rId324" xr:uid="{00000000-0004-0000-0300-000043010000}"/>
    <hyperlink ref="N328" r:id="rId325" xr:uid="{00000000-0004-0000-0300-000044010000}"/>
    <hyperlink ref="N329" r:id="rId326" xr:uid="{00000000-0004-0000-0300-000045010000}"/>
    <hyperlink ref="N330" r:id="rId327" xr:uid="{00000000-0004-0000-0300-000046010000}"/>
    <hyperlink ref="N331" r:id="rId328" xr:uid="{00000000-0004-0000-0300-000047010000}"/>
    <hyperlink ref="N332" r:id="rId329" xr:uid="{00000000-0004-0000-0300-000048010000}"/>
    <hyperlink ref="N333" r:id="rId330" xr:uid="{00000000-0004-0000-0300-000049010000}"/>
    <hyperlink ref="N334" r:id="rId331" xr:uid="{00000000-0004-0000-0300-00004A010000}"/>
    <hyperlink ref="N335" r:id="rId332" xr:uid="{00000000-0004-0000-0300-00004B010000}"/>
    <hyperlink ref="N336" r:id="rId333" xr:uid="{00000000-0004-0000-0300-00004C010000}"/>
    <hyperlink ref="N337" r:id="rId334" xr:uid="{00000000-0004-0000-0300-00004D010000}"/>
    <hyperlink ref="N338" r:id="rId335" xr:uid="{00000000-0004-0000-0300-00004E010000}"/>
    <hyperlink ref="N339" r:id="rId336" xr:uid="{00000000-0004-0000-0300-00004F010000}"/>
    <hyperlink ref="N340" r:id="rId337" xr:uid="{00000000-0004-0000-0300-000050010000}"/>
    <hyperlink ref="N341" r:id="rId338" xr:uid="{00000000-0004-0000-0300-000051010000}"/>
    <hyperlink ref="N342" r:id="rId339" xr:uid="{00000000-0004-0000-0300-000052010000}"/>
    <hyperlink ref="N343" r:id="rId340" xr:uid="{00000000-0004-0000-0300-000053010000}"/>
    <hyperlink ref="N344" r:id="rId341" xr:uid="{00000000-0004-0000-0300-000054010000}"/>
    <hyperlink ref="N345" r:id="rId342" xr:uid="{00000000-0004-0000-0300-000055010000}"/>
    <hyperlink ref="N346" r:id="rId343" xr:uid="{00000000-0004-0000-0300-000056010000}"/>
    <hyperlink ref="N347" r:id="rId344" xr:uid="{00000000-0004-0000-0300-000057010000}"/>
    <hyperlink ref="N348" r:id="rId345" xr:uid="{00000000-0004-0000-0300-000058010000}"/>
    <hyperlink ref="N349" r:id="rId346" xr:uid="{00000000-0004-0000-0300-000059010000}"/>
    <hyperlink ref="N350" r:id="rId347" xr:uid="{00000000-0004-0000-0300-00005A010000}"/>
    <hyperlink ref="N351" r:id="rId348" xr:uid="{00000000-0004-0000-0300-00005B010000}"/>
    <hyperlink ref="N352" r:id="rId349" xr:uid="{00000000-0004-0000-0300-00005C010000}"/>
    <hyperlink ref="N353" r:id="rId350" xr:uid="{00000000-0004-0000-0300-00005D010000}"/>
    <hyperlink ref="N354" r:id="rId351" xr:uid="{00000000-0004-0000-0300-00005E010000}"/>
    <hyperlink ref="N355" r:id="rId352" xr:uid="{00000000-0004-0000-0300-00005F010000}"/>
    <hyperlink ref="N356" r:id="rId353" xr:uid="{00000000-0004-0000-0300-000060010000}"/>
    <hyperlink ref="N357" r:id="rId354" xr:uid="{00000000-0004-0000-0300-000061010000}"/>
    <hyperlink ref="N358" r:id="rId355" xr:uid="{00000000-0004-0000-0300-000062010000}"/>
    <hyperlink ref="N359" r:id="rId356" xr:uid="{00000000-0004-0000-0300-000063010000}"/>
    <hyperlink ref="N360" r:id="rId357" xr:uid="{00000000-0004-0000-0300-000064010000}"/>
    <hyperlink ref="N361" r:id="rId358" xr:uid="{00000000-0004-0000-0300-000065010000}"/>
    <hyperlink ref="N362" r:id="rId359" xr:uid="{00000000-0004-0000-0300-000066010000}"/>
    <hyperlink ref="N363" r:id="rId360" xr:uid="{00000000-0004-0000-0300-000067010000}"/>
    <hyperlink ref="N364" r:id="rId361" xr:uid="{00000000-0004-0000-0300-000068010000}"/>
    <hyperlink ref="N365" r:id="rId362" xr:uid="{00000000-0004-0000-0300-000069010000}"/>
    <hyperlink ref="N366" r:id="rId363" xr:uid="{00000000-0004-0000-0300-00006A010000}"/>
    <hyperlink ref="N367" r:id="rId364" xr:uid="{00000000-0004-0000-0300-00006B010000}"/>
    <hyperlink ref="N368" r:id="rId365" xr:uid="{00000000-0004-0000-0300-00006C010000}"/>
    <hyperlink ref="N369" r:id="rId366" xr:uid="{00000000-0004-0000-0300-00006D010000}"/>
    <hyperlink ref="N370" r:id="rId367" xr:uid="{00000000-0004-0000-0300-00006E010000}"/>
    <hyperlink ref="N371" r:id="rId368" xr:uid="{00000000-0004-0000-0300-00006F010000}"/>
    <hyperlink ref="N372" r:id="rId369" xr:uid="{00000000-0004-0000-0300-000070010000}"/>
    <hyperlink ref="N373" r:id="rId370" xr:uid="{00000000-0004-0000-0300-000071010000}"/>
    <hyperlink ref="N374" r:id="rId371" xr:uid="{00000000-0004-0000-0300-000072010000}"/>
    <hyperlink ref="N375" r:id="rId372" xr:uid="{00000000-0004-0000-0300-000073010000}"/>
    <hyperlink ref="N376" r:id="rId373" xr:uid="{00000000-0004-0000-0300-000074010000}"/>
    <hyperlink ref="N377" r:id="rId374" xr:uid="{00000000-0004-0000-0300-000075010000}"/>
    <hyperlink ref="N378" r:id="rId375" xr:uid="{00000000-0004-0000-0300-000076010000}"/>
    <hyperlink ref="N379" r:id="rId376" xr:uid="{00000000-0004-0000-0300-000077010000}"/>
    <hyperlink ref="N380" r:id="rId377" xr:uid="{00000000-0004-0000-0300-000078010000}"/>
    <hyperlink ref="N381" r:id="rId378" xr:uid="{00000000-0004-0000-0300-000079010000}"/>
    <hyperlink ref="N382" r:id="rId379" xr:uid="{00000000-0004-0000-0300-00007A010000}"/>
    <hyperlink ref="N383" r:id="rId380" xr:uid="{00000000-0004-0000-0300-00007B010000}"/>
    <hyperlink ref="N384" r:id="rId381" xr:uid="{00000000-0004-0000-0300-00007C010000}"/>
    <hyperlink ref="N385" r:id="rId382" xr:uid="{00000000-0004-0000-0300-00007D010000}"/>
    <hyperlink ref="N386" r:id="rId383" xr:uid="{00000000-0004-0000-0300-00007E010000}"/>
    <hyperlink ref="N387" r:id="rId384" xr:uid="{00000000-0004-0000-0300-00007F010000}"/>
    <hyperlink ref="N388" r:id="rId385" xr:uid="{00000000-0004-0000-0300-000080010000}"/>
    <hyperlink ref="N389" r:id="rId386" xr:uid="{00000000-0004-0000-0300-000081010000}"/>
    <hyperlink ref="N390" r:id="rId387" xr:uid="{00000000-0004-0000-0300-000082010000}"/>
    <hyperlink ref="N391" r:id="rId388" xr:uid="{00000000-0004-0000-0300-000083010000}"/>
    <hyperlink ref="N392" r:id="rId389" xr:uid="{00000000-0004-0000-0300-000084010000}"/>
    <hyperlink ref="N393" r:id="rId390" xr:uid="{00000000-0004-0000-0300-000085010000}"/>
    <hyperlink ref="N394" r:id="rId391" xr:uid="{00000000-0004-0000-0300-000086010000}"/>
    <hyperlink ref="N395" r:id="rId392" xr:uid="{00000000-0004-0000-0300-000087010000}"/>
    <hyperlink ref="N396" r:id="rId393" xr:uid="{00000000-0004-0000-0300-000088010000}"/>
    <hyperlink ref="N397" r:id="rId394" xr:uid="{00000000-0004-0000-0300-000089010000}"/>
    <hyperlink ref="N398" r:id="rId395" xr:uid="{00000000-0004-0000-0300-00008A010000}"/>
    <hyperlink ref="N399" r:id="rId396" xr:uid="{00000000-0004-0000-0300-00008B010000}"/>
    <hyperlink ref="N400" r:id="rId397" xr:uid="{00000000-0004-0000-0300-00008C010000}"/>
    <hyperlink ref="N401" r:id="rId398" xr:uid="{00000000-0004-0000-0300-00008D010000}"/>
    <hyperlink ref="N402" r:id="rId399" xr:uid="{00000000-0004-0000-0300-00008E010000}"/>
    <hyperlink ref="N403" r:id="rId400" xr:uid="{00000000-0004-0000-0300-00008F010000}"/>
    <hyperlink ref="N404" r:id="rId401" xr:uid="{00000000-0004-0000-0300-000090010000}"/>
    <hyperlink ref="N405" r:id="rId402" xr:uid="{00000000-0004-0000-0300-000091010000}"/>
    <hyperlink ref="N406" r:id="rId403" xr:uid="{00000000-0004-0000-0300-000092010000}"/>
    <hyperlink ref="N407" r:id="rId404" xr:uid="{00000000-0004-0000-0300-000093010000}"/>
    <hyperlink ref="N408" r:id="rId405" xr:uid="{00000000-0004-0000-0300-000094010000}"/>
    <hyperlink ref="N409" r:id="rId406" xr:uid="{00000000-0004-0000-0300-000095010000}"/>
    <hyperlink ref="N410" r:id="rId407" xr:uid="{00000000-0004-0000-0300-000096010000}"/>
    <hyperlink ref="N411" r:id="rId408" xr:uid="{00000000-0004-0000-0300-000097010000}"/>
    <hyperlink ref="N412" r:id="rId409" xr:uid="{00000000-0004-0000-0300-000098010000}"/>
    <hyperlink ref="N413" r:id="rId410" xr:uid="{00000000-0004-0000-0300-000099010000}"/>
    <hyperlink ref="N414" r:id="rId411" xr:uid="{00000000-0004-0000-0300-00009A010000}"/>
    <hyperlink ref="N415" r:id="rId412" xr:uid="{00000000-0004-0000-0300-00009B010000}"/>
    <hyperlink ref="N416" r:id="rId413" xr:uid="{00000000-0004-0000-0300-00009C010000}"/>
    <hyperlink ref="N417" r:id="rId414" xr:uid="{00000000-0004-0000-0300-00009D010000}"/>
    <hyperlink ref="N418" r:id="rId415" xr:uid="{00000000-0004-0000-0300-00009E010000}"/>
    <hyperlink ref="N419" r:id="rId416" xr:uid="{00000000-0004-0000-0300-00009F010000}"/>
    <hyperlink ref="N420" r:id="rId417" xr:uid="{00000000-0004-0000-0300-0000A0010000}"/>
    <hyperlink ref="N421" r:id="rId418" xr:uid="{00000000-0004-0000-0300-0000A1010000}"/>
    <hyperlink ref="N422" r:id="rId419" xr:uid="{00000000-0004-0000-0300-0000A2010000}"/>
    <hyperlink ref="N423" r:id="rId420" xr:uid="{00000000-0004-0000-0300-0000A3010000}"/>
    <hyperlink ref="N424" r:id="rId421" xr:uid="{00000000-0004-0000-0300-0000A4010000}"/>
    <hyperlink ref="N425" r:id="rId422" xr:uid="{00000000-0004-0000-0300-0000A5010000}"/>
    <hyperlink ref="N426" r:id="rId423" xr:uid="{00000000-0004-0000-0300-0000A6010000}"/>
    <hyperlink ref="N427" r:id="rId424" xr:uid="{00000000-0004-0000-0300-0000A7010000}"/>
    <hyperlink ref="N428" r:id="rId425" xr:uid="{00000000-0004-0000-0300-0000A8010000}"/>
    <hyperlink ref="N429" r:id="rId426" xr:uid="{00000000-0004-0000-0300-0000A9010000}"/>
    <hyperlink ref="N430" r:id="rId427" xr:uid="{00000000-0004-0000-0300-0000AA010000}"/>
    <hyperlink ref="N431" r:id="rId428" xr:uid="{00000000-0004-0000-0300-0000AB010000}"/>
    <hyperlink ref="N432" r:id="rId429" xr:uid="{00000000-0004-0000-0300-0000AC010000}"/>
    <hyperlink ref="N433" r:id="rId430" xr:uid="{00000000-0004-0000-0300-0000AD010000}"/>
    <hyperlink ref="N434" r:id="rId431" xr:uid="{00000000-0004-0000-0300-0000AE010000}"/>
    <hyperlink ref="N435" r:id="rId432" xr:uid="{00000000-0004-0000-0300-0000AF010000}"/>
    <hyperlink ref="N436" r:id="rId433" xr:uid="{00000000-0004-0000-0300-0000B0010000}"/>
    <hyperlink ref="N437" r:id="rId434" xr:uid="{00000000-0004-0000-0300-0000B1010000}"/>
    <hyperlink ref="N438" r:id="rId435" xr:uid="{00000000-0004-0000-0300-0000B2010000}"/>
    <hyperlink ref="N439" r:id="rId436" xr:uid="{00000000-0004-0000-0300-0000B3010000}"/>
    <hyperlink ref="N440" r:id="rId437" xr:uid="{00000000-0004-0000-0300-0000B4010000}"/>
    <hyperlink ref="N441" r:id="rId438" xr:uid="{00000000-0004-0000-0300-0000B5010000}"/>
    <hyperlink ref="N442" r:id="rId439" xr:uid="{00000000-0004-0000-0300-0000B6010000}"/>
    <hyperlink ref="N443" r:id="rId440" xr:uid="{00000000-0004-0000-0300-0000B7010000}"/>
    <hyperlink ref="N444" r:id="rId441" xr:uid="{00000000-0004-0000-0300-0000B8010000}"/>
    <hyperlink ref="N445" r:id="rId442" xr:uid="{00000000-0004-0000-0300-0000B9010000}"/>
    <hyperlink ref="N446" r:id="rId443" xr:uid="{00000000-0004-0000-0300-0000BA010000}"/>
    <hyperlink ref="N447" r:id="rId444" xr:uid="{00000000-0004-0000-0300-0000BB010000}"/>
    <hyperlink ref="N448" r:id="rId445" xr:uid="{00000000-0004-0000-0300-0000BC010000}"/>
    <hyperlink ref="N449" r:id="rId446" xr:uid="{00000000-0004-0000-0300-0000BD010000}"/>
    <hyperlink ref="N450" r:id="rId447" xr:uid="{00000000-0004-0000-0300-0000BE010000}"/>
    <hyperlink ref="N451" r:id="rId448" xr:uid="{00000000-0004-0000-0300-0000BF010000}"/>
    <hyperlink ref="N452" r:id="rId449" xr:uid="{00000000-0004-0000-0300-0000C0010000}"/>
    <hyperlink ref="N453" r:id="rId450" xr:uid="{00000000-0004-0000-0300-0000C1010000}"/>
    <hyperlink ref="N454" r:id="rId451" xr:uid="{00000000-0004-0000-0300-0000C2010000}"/>
    <hyperlink ref="N455" r:id="rId452" xr:uid="{00000000-0004-0000-0300-0000C3010000}"/>
    <hyperlink ref="N456" r:id="rId453" xr:uid="{00000000-0004-0000-0300-0000C4010000}"/>
    <hyperlink ref="N457" r:id="rId454" xr:uid="{00000000-0004-0000-0300-0000C5010000}"/>
    <hyperlink ref="N458" r:id="rId455" xr:uid="{00000000-0004-0000-0300-0000C6010000}"/>
    <hyperlink ref="N459" r:id="rId456" xr:uid="{00000000-0004-0000-0300-0000C7010000}"/>
    <hyperlink ref="N460" r:id="rId457" xr:uid="{00000000-0004-0000-0300-0000C8010000}"/>
    <hyperlink ref="N461" r:id="rId458" xr:uid="{00000000-0004-0000-0300-0000C9010000}"/>
    <hyperlink ref="N462" r:id="rId459" xr:uid="{00000000-0004-0000-0300-0000CA010000}"/>
    <hyperlink ref="N463" r:id="rId460" xr:uid="{00000000-0004-0000-0300-0000CB010000}"/>
    <hyperlink ref="N464" r:id="rId461" xr:uid="{00000000-0004-0000-0300-0000CC010000}"/>
    <hyperlink ref="N465" r:id="rId462" xr:uid="{00000000-0004-0000-0300-0000CD010000}"/>
    <hyperlink ref="N466" r:id="rId463" xr:uid="{00000000-0004-0000-0300-0000CE010000}"/>
    <hyperlink ref="N467" r:id="rId464" xr:uid="{00000000-0004-0000-0300-0000CF010000}"/>
    <hyperlink ref="N468" r:id="rId465" xr:uid="{00000000-0004-0000-0300-0000D0010000}"/>
    <hyperlink ref="N469" r:id="rId466" xr:uid="{00000000-0004-0000-0300-0000D1010000}"/>
    <hyperlink ref="N470" r:id="rId467" xr:uid="{00000000-0004-0000-0300-0000D2010000}"/>
    <hyperlink ref="N471" r:id="rId468" xr:uid="{00000000-0004-0000-0300-0000D3010000}"/>
    <hyperlink ref="N472" r:id="rId469" xr:uid="{00000000-0004-0000-0300-0000D4010000}"/>
    <hyperlink ref="N473" r:id="rId470" xr:uid="{00000000-0004-0000-0300-0000D5010000}"/>
    <hyperlink ref="N474" r:id="rId471" xr:uid="{00000000-0004-0000-0300-0000D6010000}"/>
    <hyperlink ref="N475" r:id="rId472" xr:uid="{00000000-0004-0000-0300-0000D7010000}"/>
    <hyperlink ref="N476" r:id="rId473" xr:uid="{00000000-0004-0000-0300-0000D8010000}"/>
    <hyperlink ref="N477" r:id="rId474" xr:uid="{00000000-0004-0000-0300-0000D9010000}"/>
    <hyperlink ref="N478" r:id="rId475" xr:uid="{00000000-0004-0000-0300-0000DA010000}"/>
    <hyperlink ref="N479" r:id="rId476" xr:uid="{00000000-0004-0000-0300-0000DB010000}"/>
    <hyperlink ref="N480" r:id="rId477" xr:uid="{00000000-0004-0000-0300-0000DC010000}"/>
    <hyperlink ref="N481" r:id="rId478" xr:uid="{00000000-0004-0000-0300-0000DD010000}"/>
    <hyperlink ref="N482" r:id="rId479" xr:uid="{00000000-0004-0000-0300-0000DE010000}"/>
    <hyperlink ref="N483" r:id="rId480" xr:uid="{00000000-0004-0000-0300-0000DF010000}"/>
    <hyperlink ref="N484" r:id="rId481" xr:uid="{00000000-0004-0000-0300-0000E0010000}"/>
    <hyperlink ref="N485" r:id="rId482" xr:uid="{00000000-0004-0000-0300-0000E1010000}"/>
    <hyperlink ref="N486" r:id="rId483" xr:uid="{00000000-0004-0000-0300-0000E2010000}"/>
    <hyperlink ref="N487" r:id="rId484" xr:uid="{00000000-0004-0000-0300-0000E3010000}"/>
    <hyperlink ref="N488" r:id="rId485" xr:uid="{00000000-0004-0000-0300-0000E4010000}"/>
    <hyperlink ref="N489" r:id="rId486" xr:uid="{00000000-0004-0000-0300-0000E5010000}"/>
    <hyperlink ref="N490" r:id="rId487" xr:uid="{00000000-0004-0000-0300-0000E6010000}"/>
    <hyperlink ref="N491" r:id="rId488" xr:uid="{00000000-0004-0000-0300-0000E7010000}"/>
    <hyperlink ref="N492" r:id="rId489" xr:uid="{00000000-0004-0000-0300-0000E8010000}"/>
    <hyperlink ref="N493" r:id="rId490" xr:uid="{00000000-0004-0000-0300-0000E9010000}"/>
    <hyperlink ref="N494" r:id="rId491" xr:uid="{00000000-0004-0000-0300-0000EA010000}"/>
    <hyperlink ref="N495" r:id="rId492" xr:uid="{00000000-0004-0000-0300-0000EB010000}"/>
    <hyperlink ref="N496" r:id="rId493" xr:uid="{00000000-0004-0000-0300-0000EC010000}"/>
    <hyperlink ref="N497" r:id="rId494" xr:uid="{00000000-0004-0000-0300-0000ED010000}"/>
    <hyperlink ref="N498" r:id="rId495" xr:uid="{00000000-0004-0000-0300-0000EE010000}"/>
    <hyperlink ref="N499" r:id="rId496" xr:uid="{00000000-0004-0000-0300-0000EF010000}"/>
    <hyperlink ref="N500" r:id="rId497" xr:uid="{00000000-0004-0000-0300-0000F0010000}"/>
    <hyperlink ref="N501" r:id="rId498" xr:uid="{00000000-0004-0000-0300-0000F1010000}"/>
    <hyperlink ref="N502" r:id="rId499" xr:uid="{00000000-0004-0000-0300-0000F2010000}"/>
    <hyperlink ref="N503" r:id="rId500" xr:uid="{00000000-0004-0000-0300-0000F3010000}"/>
    <hyperlink ref="N504" r:id="rId501" xr:uid="{00000000-0004-0000-0300-0000F4010000}"/>
    <hyperlink ref="N505" r:id="rId502" xr:uid="{00000000-0004-0000-0300-0000F5010000}"/>
    <hyperlink ref="N506" r:id="rId503" xr:uid="{00000000-0004-0000-0300-0000F6010000}"/>
    <hyperlink ref="N507" r:id="rId504" xr:uid="{00000000-0004-0000-0300-0000F7010000}"/>
    <hyperlink ref="N508" r:id="rId505" xr:uid="{00000000-0004-0000-0300-0000F8010000}"/>
    <hyperlink ref="N509" r:id="rId506" xr:uid="{00000000-0004-0000-0300-0000F9010000}"/>
    <hyperlink ref="N510" r:id="rId507" xr:uid="{00000000-0004-0000-0300-0000FA010000}"/>
    <hyperlink ref="N511" r:id="rId508" xr:uid="{00000000-0004-0000-0300-0000FB010000}"/>
    <hyperlink ref="N512" r:id="rId509" xr:uid="{00000000-0004-0000-0300-0000FC010000}"/>
    <hyperlink ref="N513" r:id="rId510" xr:uid="{00000000-0004-0000-0300-0000FD010000}"/>
    <hyperlink ref="N514" r:id="rId511" xr:uid="{00000000-0004-0000-0300-0000FE010000}"/>
    <hyperlink ref="N515" r:id="rId512" xr:uid="{00000000-0004-0000-0300-0000FF010000}"/>
    <hyperlink ref="N516" r:id="rId513" xr:uid="{00000000-0004-0000-0300-000000020000}"/>
    <hyperlink ref="N517" r:id="rId514" xr:uid="{00000000-0004-0000-0300-000001020000}"/>
    <hyperlink ref="N518" r:id="rId515" xr:uid="{00000000-0004-0000-0300-000002020000}"/>
    <hyperlink ref="N519" r:id="rId516" xr:uid="{00000000-0004-0000-0300-000003020000}"/>
    <hyperlink ref="N520" r:id="rId517" xr:uid="{00000000-0004-0000-0300-000004020000}"/>
    <hyperlink ref="N521" r:id="rId518" xr:uid="{00000000-0004-0000-0300-000005020000}"/>
    <hyperlink ref="N522" r:id="rId519" xr:uid="{00000000-0004-0000-0300-000006020000}"/>
    <hyperlink ref="N523" r:id="rId520" xr:uid="{00000000-0004-0000-0300-000007020000}"/>
    <hyperlink ref="N524" r:id="rId521" xr:uid="{00000000-0004-0000-0300-000008020000}"/>
    <hyperlink ref="N525" r:id="rId522" xr:uid="{00000000-0004-0000-0300-000009020000}"/>
    <hyperlink ref="N526" r:id="rId523" xr:uid="{00000000-0004-0000-0300-00000A020000}"/>
    <hyperlink ref="N527" r:id="rId524" xr:uid="{00000000-0004-0000-0300-00000B020000}"/>
    <hyperlink ref="N528" r:id="rId525" xr:uid="{00000000-0004-0000-0300-00000C020000}"/>
    <hyperlink ref="N529" r:id="rId526" xr:uid="{00000000-0004-0000-0300-00000D020000}"/>
    <hyperlink ref="N530" r:id="rId527" xr:uid="{00000000-0004-0000-0300-00000E020000}"/>
    <hyperlink ref="N531" r:id="rId528" xr:uid="{00000000-0004-0000-0300-00000F020000}"/>
    <hyperlink ref="N532" r:id="rId529" xr:uid="{00000000-0004-0000-0300-000010020000}"/>
    <hyperlink ref="N533" r:id="rId530" xr:uid="{00000000-0004-0000-0300-000011020000}"/>
    <hyperlink ref="N534" r:id="rId531" xr:uid="{00000000-0004-0000-0300-000012020000}"/>
    <hyperlink ref="N535" r:id="rId532" xr:uid="{00000000-0004-0000-0300-000013020000}"/>
    <hyperlink ref="N536" r:id="rId533" xr:uid="{00000000-0004-0000-0300-000014020000}"/>
    <hyperlink ref="N537" r:id="rId534" xr:uid="{00000000-0004-0000-0300-000015020000}"/>
    <hyperlink ref="N538" r:id="rId535" xr:uid="{00000000-0004-0000-0300-000016020000}"/>
    <hyperlink ref="N539" r:id="rId536" xr:uid="{00000000-0004-0000-0300-000017020000}"/>
    <hyperlink ref="N540" r:id="rId537" xr:uid="{00000000-0004-0000-0300-000018020000}"/>
    <hyperlink ref="N541" r:id="rId538" xr:uid="{00000000-0004-0000-0300-000019020000}"/>
    <hyperlink ref="N542" r:id="rId539" xr:uid="{00000000-0004-0000-0300-00001A020000}"/>
    <hyperlink ref="N543" r:id="rId540" xr:uid="{00000000-0004-0000-0300-00001B020000}"/>
    <hyperlink ref="N544" r:id="rId541" xr:uid="{00000000-0004-0000-0300-00001C020000}"/>
    <hyperlink ref="N545" r:id="rId542" xr:uid="{00000000-0004-0000-0300-00001D020000}"/>
    <hyperlink ref="N546" r:id="rId543" xr:uid="{00000000-0004-0000-0300-00001E020000}"/>
    <hyperlink ref="N547" r:id="rId544" xr:uid="{00000000-0004-0000-0300-00001F020000}"/>
    <hyperlink ref="N548" r:id="rId545" xr:uid="{00000000-0004-0000-0300-000020020000}"/>
    <hyperlink ref="N549" r:id="rId546" xr:uid="{00000000-0004-0000-0300-000021020000}"/>
    <hyperlink ref="N550" r:id="rId547" xr:uid="{00000000-0004-0000-0300-000022020000}"/>
    <hyperlink ref="N551" r:id="rId548" xr:uid="{00000000-0004-0000-0300-000023020000}"/>
    <hyperlink ref="N552" r:id="rId549" xr:uid="{00000000-0004-0000-0300-000024020000}"/>
    <hyperlink ref="N553" r:id="rId550" xr:uid="{00000000-0004-0000-0300-000025020000}"/>
    <hyperlink ref="N554" r:id="rId551" xr:uid="{00000000-0004-0000-0300-000026020000}"/>
    <hyperlink ref="N555" r:id="rId552" xr:uid="{00000000-0004-0000-0300-000027020000}"/>
    <hyperlink ref="N556" r:id="rId553" xr:uid="{00000000-0004-0000-0300-000028020000}"/>
    <hyperlink ref="N557" r:id="rId554" xr:uid="{00000000-0004-0000-0300-000029020000}"/>
    <hyperlink ref="N558" r:id="rId555" xr:uid="{00000000-0004-0000-0300-00002A020000}"/>
    <hyperlink ref="N559" r:id="rId556" xr:uid="{00000000-0004-0000-0300-00002B020000}"/>
    <hyperlink ref="N560" r:id="rId557" xr:uid="{00000000-0004-0000-0300-00002C020000}"/>
    <hyperlink ref="N561" r:id="rId558" xr:uid="{00000000-0004-0000-0300-00002D020000}"/>
    <hyperlink ref="N562" r:id="rId559" xr:uid="{00000000-0004-0000-0300-00002E020000}"/>
    <hyperlink ref="N563" r:id="rId560" xr:uid="{00000000-0004-0000-0300-00002F020000}"/>
    <hyperlink ref="N564" r:id="rId561" xr:uid="{00000000-0004-0000-0300-000030020000}"/>
    <hyperlink ref="N565" r:id="rId562" xr:uid="{00000000-0004-0000-0300-000031020000}"/>
    <hyperlink ref="N566" r:id="rId563" xr:uid="{00000000-0004-0000-0300-000032020000}"/>
    <hyperlink ref="N567" r:id="rId564" xr:uid="{00000000-0004-0000-0300-000033020000}"/>
    <hyperlink ref="N568" r:id="rId565" xr:uid="{00000000-0004-0000-0300-000034020000}"/>
    <hyperlink ref="N569" r:id="rId566" xr:uid="{00000000-0004-0000-0300-000035020000}"/>
    <hyperlink ref="N570" r:id="rId567" xr:uid="{00000000-0004-0000-0300-000036020000}"/>
    <hyperlink ref="N571" r:id="rId568" xr:uid="{00000000-0004-0000-0300-000037020000}"/>
    <hyperlink ref="N572" r:id="rId569" xr:uid="{00000000-0004-0000-0300-000038020000}"/>
    <hyperlink ref="N573" r:id="rId570" xr:uid="{00000000-0004-0000-0300-000039020000}"/>
    <hyperlink ref="N574" r:id="rId571" xr:uid="{00000000-0004-0000-0300-00003A020000}"/>
    <hyperlink ref="N575" r:id="rId572" xr:uid="{00000000-0004-0000-0300-00003B020000}"/>
    <hyperlink ref="N576" r:id="rId573" xr:uid="{00000000-0004-0000-0300-00003C020000}"/>
    <hyperlink ref="N577" r:id="rId574" xr:uid="{00000000-0004-0000-0300-00003D020000}"/>
    <hyperlink ref="N578" r:id="rId575" xr:uid="{00000000-0004-0000-0300-00003E020000}"/>
    <hyperlink ref="N579" r:id="rId576" xr:uid="{00000000-0004-0000-0300-00003F020000}"/>
    <hyperlink ref="N580" r:id="rId577" xr:uid="{00000000-0004-0000-0300-000040020000}"/>
    <hyperlink ref="N581" r:id="rId578" xr:uid="{00000000-0004-0000-0300-000041020000}"/>
    <hyperlink ref="N582" r:id="rId579" xr:uid="{00000000-0004-0000-0300-000042020000}"/>
    <hyperlink ref="N583" r:id="rId580" xr:uid="{00000000-0004-0000-0300-000043020000}"/>
    <hyperlink ref="N584" r:id="rId581" xr:uid="{00000000-0004-0000-0300-000044020000}"/>
    <hyperlink ref="N585" r:id="rId582" xr:uid="{00000000-0004-0000-0300-000045020000}"/>
    <hyperlink ref="N586" r:id="rId583" xr:uid="{00000000-0004-0000-0300-000046020000}"/>
    <hyperlink ref="N587" r:id="rId584" xr:uid="{00000000-0004-0000-0300-000047020000}"/>
    <hyperlink ref="N588" r:id="rId585" xr:uid="{00000000-0004-0000-0300-000048020000}"/>
    <hyperlink ref="N589" r:id="rId586" xr:uid="{00000000-0004-0000-0300-000049020000}"/>
    <hyperlink ref="N590" r:id="rId587" xr:uid="{00000000-0004-0000-0300-00004A020000}"/>
    <hyperlink ref="N591" r:id="rId588" xr:uid="{00000000-0004-0000-0300-00004B020000}"/>
    <hyperlink ref="N592" r:id="rId589" xr:uid="{00000000-0004-0000-0300-00004C020000}"/>
    <hyperlink ref="N593" r:id="rId590" xr:uid="{00000000-0004-0000-0300-00004D020000}"/>
    <hyperlink ref="N594" r:id="rId591" xr:uid="{00000000-0004-0000-0300-00004E020000}"/>
    <hyperlink ref="N595" r:id="rId592" xr:uid="{00000000-0004-0000-0300-00004F020000}"/>
    <hyperlink ref="N596" r:id="rId593" xr:uid="{00000000-0004-0000-0300-000050020000}"/>
    <hyperlink ref="N597" r:id="rId594" xr:uid="{00000000-0004-0000-0300-000051020000}"/>
    <hyperlink ref="N598" r:id="rId595" xr:uid="{00000000-0004-0000-0300-000052020000}"/>
    <hyperlink ref="N599" r:id="rId596" xr:uid="{00000000-0004-0000-0300-000053020000}"/>
    <hyperlink ref="N600" r:id="rId597" xr:uid="{00000000-0004-0000-0300-000054020000}"/>
    <hyperlink ref="N601" r:id="rId598" xr:uid="{00000000-0004-0000-0300-000055020000}"/>
    <hyperlink ref="N602" r:id="rId599" xr:uid="{00000000-0004-0000-0300-000056020000}"/>
    <hyperlink ref="N603" r:id="rId600" xr:uid="{00000000-0004-0000-0300-000057020000}"/>
    <hyperlink ref="N604" r:id="rId601" xr:uid="{00000000-0004-0000-0300-000058020000}"/>
    <hyperlink ref="N605" r:id="rId602" xr:uid="{00000000-0004-0000-0300-000059020000}"/>
    <hyperlink ref="N606" r:id="rId603" xr:uid="{00000000-0004-0000-0300-00005A020000}"/>
    <hyperlink ref="N607" r:id="rId604" xr:uid="{00000000-0004-0000-0300-00005B020000}"/>
    <hyperlink ref="N608" r:id="rId605" xr:uid="{00000000-0004-0000-0300-00005C020000}"/>
    <hyperlink ref="N609" r:id="rId606" xr:uid="{00000000-0004-0000-0300-00005D020000}"/>
    <hyperlink ref="N610" r:id="rId607" xr:uid="{00000000-0004-0000-0300-00005E020000}"/>
    <hyperlink ref="N611" r:id="rId608" xr:uid="{00000000-0004-0000-0300-00005F020000}"/>
    <hyperlink ref="N612" r:id="rId609" xr:uid="{00000000-0004-0000-0300-000060020000}"/>
    <hyperlink ref="N613" r:id="rId610" xr:uid="{00000000-0004-0000-0300-000061020000}"/>
    <hyperlink ref="N614" r:id="rId611" xr:uid="{00000000-0004-0000-0300-000062020000}"/>
    <hyperlink ref="N615" r:id="rId612" xr:uid="{00000000-0004-0000-0300-000063020000}"/>
    <hyperlink ref="N616" r:id="rId613" xr:uid="{00000000-0004-0000-0300-000064020000}"/>
    <hyperlink ref="N617" r:id="rId614" xr:uid="{00000000-0004-0000-0300-000065020000}"/>
    <hyperlink ref="N618" r:id="rId615" xr:uid="{00000000-0004-0000-0300-000066020000}"/>
    <hyperlink ref="N619" r:id="rId616" xr:uid="{00000000-0004-0000-0300-000067020000}"/>
    <hyperlink ref="N620" r:id="rId617" xr:uid="{00000000-0004-0000-0300-000068020000}"/>
    <hyperlink ref="N621" r:id="rId618" xr:uid="{00000000-0004-0000-0300-000069020000}"/>
    <hyperlink ref="N622" r:id="rId619" xr:uid="{00000000-0004-0000-0300-00006A020000}"/>
    <hyperlink ref="N623" r:id="rId620" xr:uid="{00000000-0004-0000-0300-00006B020000}"/>
    <hyperlink ref="N624" r:id="rId621" xr:uid="{00000000-0004-0000-0300-00006C020000}"/>
    <hyperlink ref="N625" r:id="rId622" xr:uid="{00000000-0004-0000-0300-00006D020000}"/>
    <hyperlink ref="N626" r:id="rId623" xr:uid="{00000000-0004-0000-0300-00006E020000}"/>
    <hyperlink ref="N627" r:id="rId624" xr:uid="{00000000-0004-0000-0300-00006F020000}"/>
    <hyperlink ref="N628" r:id="rId625" xr:uid="{00000000-0004-0000-0300-000070020000}"/>
    <hyperlink ref="N629" r:id="rId626" xr:uid="{00000000-0004-0000-0300-000071020000}"/>
    <hyperlink ref="N630" r:id="rId627" xr:uid="{00000000-0004-0000-0300-000072020000}"/>
    <hyperlink ref="N631" r:id="rId628" xr:uid="{00000000-0004-0000-0300-000073020000}"/>
    <hyperlink ref="N632" r:id="rId629" xr:uid="{00000000-0004-0000-0300-000074020000}"/>
    <hyperlink ref="N633" r:id="rId630" xr:uid="{00000000-0004-0000-0300-000075020000}"/>
    <hyperlink ref="N634" r:id="rId631" xr:uid="{00000000-0004-0000-0300-000076020000}"/>
    <hyperlink ref="N635" r:id="rId632" xr:uid="{00000000-0004-0000-0300-000077020000}"/>
    <hyperlink ref="N636" r:id="rId633" xr:uid="{00000000-0004-0000-0300-000078020000}"/>
    <hyperlink ref="N637" r:id="rId634" xr:uid="{00000000-0004-0000-0300-000079020000}"/>
    <hyperlink ref="N638" r:id="rId635" xr:uid="{00000000-0004-0000-0300-00007A020000}"/>
    <hyperlink ref="N639" r:id="rId636" xr:uid="{00000000-0004-0000-0300-00007B020000}"/>
    <hyperlink ref="N640" r:id="rId637" xr:uid="{00000000-0004-0000-0300-00007C020000}"/>
    <hyperlink ref="N641" r:id="rId638" xr:uid="{00000000-0004-0000-0300-00007D020000}"/>
    <hyperlink ref="N642" r:id="rId639" xr:uid="{00000000-0004-0000-0300-00007E020000}"/>
    <hyperlink ref="N643" r:id="rId640" xr:uid="{00000000-0004-0000-0300-00007F020000}"/>
    <hyperlink ref="N644" r:id="rId641" xr:uid="{00000000-0004-0000-0300-000080020000}"/>
    <hyperlink ref="N645" r:id="rId642" xr:uid="{00000000-0004-0000-0300-000081020000}"/>
    <hyperlink ref="N646" r:id="rId643" xr:uid="{00000000-0004-0000-0300-000082020000}"/>
    <hyperlink ref="N647" r:id="rId644" xr:uid="{00000000-0004-0000-0300-000083020000}"/>
    <hyperlink ref="N648" r:id="rId645" xr:uid="{00000000-0004-0000-0300-000084020000}"/>
    <hyperlink ref="N649" r:id="rId646" xr:uid="{00000000-0004-0000-0300-000085020000}"/>
    <hyperlink ref="N650" r:id="rId647" xr:uid="{00000000-0004-0000-0300-000086020000}"/>
    <hyperlink ref="N651" r:id="rId648" xr:uid="{00000000-0004-0000-0300-000087020000}"/>
    <hyperlink ref="N652" r:id="rId649" xr:uid="{00000000-0004-0000-0300-000088020000}"/>
    <hyperlink ref="N653" r:id="rId650" xr:uid="{00000000-0004-0000-0300-000089020000}"/>
    <hyperlink ref="N654" r:id="rId651" xr:uid="{00000000-0004-0000-0300-00008A020000}"/>
    <hyperlink ref="N655" r:id="rId652" xr:uid="{00000000-0004-0000-0300-00008B020000}"/>
    <hyperlink ref="N656" r:id="rId653" xr:uid="{00000000-0004-0000-0300-00008C020000}"/>
    <hyperlink ref="N657" r:id="rId654" xr:uid="{00000000-0004-0000-0300-00008D020000}"/>
    <hyperlink ref="N658" r:id="rId655" xr:uid="{00000000-0004-0000-0300-00008E020000}"/>
    <hyperlink ref="N659" r:id="rId656" xr:uid="{00000000-0004-0000-0300-00008F020000}"/>
    <hyperlink ref="N660" r:id="rId657" xr:uid="{00000000-0004-0000-0300-000090020000}"/>
    <hyperlink ref="N661" r:id="rId658" xr:uid="{00000000-0004-0000-0300-000091020000}"/>
    <hyperlink ref="N662" r:id="rId659" xr:uid="{00000000-0004-0000-0300-000092020000}"/>
    <hyperlink ref="N663" r:id="rId660" xr:uid="{00000000-0004-0000-0300-000093020000}"/>
    <hyperlink ref="N664" r:id="rId661" xr:uid="{00000000-0004-0000-0300-000094020000}"/>
    <hyperlink ref="N665" r:id="rId662" xr:uid="{00000000-0004-0000-0300-000095020000}"/>
    <hyperlink ref="N666" r:id="rId663" xr:uid="{00000000-0004-0000-0300-000096020000}"/>
    <hyperlink ref="N667" r:id="rId664" xr:uid="{00000000-0004-0000-0300-000097020000}"/>
    <hyperlink ref="N668" r:id="rId665" xr:uid="{00000000-0004-0000-0300-000098020000}"/>
    <hyperlink ref="N669" r:id="rId666" xr:uid="{00000000-0004-0000-0300-000099020000}"/>
    <hyperlink ref="N670" r:id="rId667" xr:uid="{00000000-0004-0000-0300-00009A020000}"/>
    <hyperlink ref="N671" r:id="rId668" xr:uid="{00000000-0004-0000-0300-00009B020000}"/>
    <hyperlink ref="N672" r:id="rId669" xr:uid="{00000000-0004-0000-0300-00009C020000}"/>
    <hyperlink ref="N673" r:id="rId670" xr:uid="{00000000-0004-0000-0300-00009D020000}"/>
    <hyperlink ref="N674" r:id="rId671" xr:uid="{00000000-0004-0000-0300-00009E020000}"/>
    <hyperlink ref="N675" r:id="rId672" xr:uid="{00000000-0004-0000-0300-00009F020000}"/>
    <hyperlink ref="N676" r:id="rId673" xr:uid="{00000000-0004-0000-0300-0000A0020000}"/>
    <hyperlink ref="N677" r:id="rId674" xr:uid="{00000000-0004-0000-0300-0000A1020000}"/>
    <hyperlink ref="N678" r:id="rId675" xr:uid="{00000000-0004-0000-0300-0000A2020000}"/>
    <hyperlink ref="N679" r:id="rId676" xr:uid="{00000000-0004-0000-0300-0000A3020000}"/>
    <hyperlink ref="N680" r:id="rId677" xr:uid="{00000000-0004-0000-0300-0000A4020000}"/>
    <hyperlink ref="N681" r:id="rId678" xr:uid="{00000000-0004-0000-0300-0000A5020000}"/>
    <hyperlink ref="N682" r:id="rId679" xr:uid="{00000000-0004-0000-0300-0000A6020000}"/>
    <hyperlink ref="N683" r:id="rId680" xr:uid="{00000000-0004-0000-0300-0000A7020000}"/>
    <hyperlink ref="N684" r:id="rId681" xr:uid="{00000000-0004-0000-0300-0000A8020000}"/>
    <hyperlink ref="N685" r:id="rId682" xr:uid="{00000000-0004-0000-0300-0000A9020000}"/>
    <hyperlink ref="N686" r:id="rId683" xr:uid="{00000000-0004-0000-0300-0000AA020000}"/>
    <hyperlink ref="N687" r:id="rId684" xr:uid="{00000000-0004-0000-0300-0000AB020000}"/>
    <hyperlink ref="N688" r:id="rId685" xr:uid="{00000000-0004-0000-0300-0000AC020000}"/>
    <hyperlink ref="N689" r:id="rId686" xr:uid="{00000000-0004-0000-0300-0000AD020000}"/>
    <hyperlink ref="N690" r:id="rId687" xr:uid="{00000000-0004-0000-0300-0000AE020000}"/>
    <hyperlink ref="N691" r:id="rId688" xr:uid="{00000000-0004-0000-0300-0000AF020000}"/>
    <hyperlink ref="N692" r:id="rId689" xr:uid="{00000000-0004-0000-0300-0000B0020000}"/>
    <hyperlink ref="N693" r:id="rId690" xr:uid="{00000000-0004-0000-0300-0000B1020000}"/>
    <hyperlink ref="N694" r:id="rId691" xr:uid="{00000000-0004-0000-0300-0000B2020000}"/>
    <hyperlink ref="N695" r:id="rId692" xr:uid="{00000000-0004-0000-0300-0000B3020000}"/>
    <hyperlink ref="N696" r:id="rId693" xr:uid="{00000000-0004-0000-0300-0000B4020000}"/>
    <hyperlink ref="N697" r:id="rId694" xr:uid="{00000000-0004-0000-0300-0000B5020000}"/>
    <hyperlink ref="N698" r:id="rId695" xr:uid="{00000000-0004-0000-0300-0000B6020000}"/>
    <hyperlink ref="N699" r:id="rId696" xr:uid="{00000000-0004-0000-0300-0000B7020000}"/>
    <hyperlink ref="N700" r:id="rId697" xr:uid="{00000000-0004-0000-0300-0000B8020000}"/>
    <hyperlink ref="N701" r:id="rId698" xr:uid="{00000000-0004-0000-0300-0000B9020000}"/>
    <hyperlink ref="N702" r:id="rId699" xr:uid="{00000000-0004-0000-0300-0000BA020000}"/>
    <hyperlink ref="N703" r:id="rId700" xr:uid="{00000000-0004-0000-0300-0000BB020000}"/>
    <hyperlink ref="N704" r:id="rId701" xr:uid="{00000000-0004-0000-0300-0000BC020000}"/>
    <hyperlink ref="N705" r:id="rId702" xr:uid="{00000000-0004-0000-0300-0000BD020000}"/>
    <hyperlink ref="N706" r:id="rId703" xr:uid="{00000000-0004-0000-0300-0000BE020000}"/>
    <hyperlink ref="N707" r:id="rId704" xr:uid="{00000000-0004-0000-0300-0000BF020000}"/>
    <hyperlink ref="N708" r:id="rId705" xr:uid="{00000000-0004-0000-0300-0000C0020000}"/>
    <hyperlink ref="N709" r:id="rId706" xr:uid="{00000000-0004-0000-0300-0000C1020000}"/>
    <hyperlink ref="N710" r:id="rId707" xr:uid="{00000000-0004-0000-0300-0000C2020000}"/>
    <hyperlink ref="N711" r:id="rId708" xr:uid="{00000000-0004-0000-0300-0000C3020000}"/>
    <hyperlink ref="N712" r:id="rId709" xr:uid="{00000000-0004-0000-0300-0000C4020000}"/>
    <hyperlink ref="N713" r:id="rId710" xr:uid="{00000000-0004-0000-0300-0000C5020000}"/>
    <hyperlink ref="N714" r:id="rId711" xr:uid="{00000000-0004-0000-0300-0000C6020000}"/>
    <hyperlink ref="N715" r:id="rId712" xr:uid="{00000000-0004-0000-0300-0000C7020000}"/>
    <hyperlink ref="N716" r:id="rId713" xr:uid="{00000000-0004-0000-0300-0000C8020000}"/>
    <hyperlink ref="N717" r:id="rId714" xr:uid="{00000000-0004-0000-0300-0000C9020000}"/>
    <hyperlink ref="N718" r:id="rId715" xr:uid="{00000000-0004-0000-0300-0000CA020000}"/>
    <hyperlink ref="N719" r:id="rId716" xr:uid="{00000000-0004-0000-0300-0000CB020000}"/>
    <hyperlink ref="N720" r:id="rId717" xr:uid="{00000000-0004-0000-0300-0000CC020000}"/>
    <hyperlink ref="N721" r:id="rId718" xr:uid="{00000000-0004-0000-0300-0000CD020000}"/>
    <hyperlink ref="N722" r:id="rId719" xr:uid="{00000000-0004-0000-0300-0000CE020000}"/>
    <hyperlink ref="N723" r:id="rId720" xr:uid="{00000000-0004-0000-0300-0000CF020000}"/>
    <hyperlink ref="N724" r:id="rId721" xr:uid="{00000000-0004-0000-0300-0000D0020000}"/>
    <hyperlink ref="N725" r:id="rId722" xr:uid="{00000000-0004-0000-0300-0000D1020000}"/>
    <hyperlink ref="N726" r:id="rId723" xr:uid="{00000000-0004-0000-0300-0000D2020000}"/>
    <hyperlink ref="N727" r:id="rId724" xr:uid="{00000000-0004-0000-0300-0000D3020000}"/>
    <hyperlink ref="N728" r:id="rId725" xr:uid="{00000000-0004-0000-0300-0000D4020000}"/>
    <hyperlink ref="N729" r:id="rId726" xr:uid="{00000000-0004-0000-0300-0000D5020000}"/>
    <hyperlink ref="N730" r:id="rId727" xr:uid="{00000000-0004-0000-0300-0000D6020000}"/>
    <hyperlink ref="N731" r:id="rId728" xr:uid="{00000000-0004-0000-0300-0000D7020000}"/>
    <hyperlink ref="N732" r:id="rId729" xr:uid="{00000000-0004-0000-0300-0000D8020000}"/>
    <hyperlink ref="N733" r:id="rId730" xr:uid="{00000000-0004-0000-0300-0000D9020000}"/>
    <hyperlink ref="N734" r:id="rId731" xr:uid="{00000000-0004-0000-0300-0000DA020000}"/>
    <hyperlink ref="N735" r:id="rId732" xr:uid="{00000000-0004-0000-0300-0000DB020000}"/>
    <hyperlink ref="N736" r:id="rId733" xr:uid="{00000000-0004-0000-0300-0000DC020000}"/>
    <hyperlink ref="N737" r:id="rId734" xr:uid="{00000000-0004-0000-0300-0000DD020000}"/>
    <hyperlink ref="N738" r:id="rId735" xr:uid="{00000000-0004-0000-0300-0000DE020000}"/>
    <hyperlink ref="N739" r:id="rId736" xr:uid="{00000000-0004-0000-0300-0000DF020000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Summary by Round</vt:lpstr>
      <vt:lpstr>UAT Tickets</vt:lpstr>
      <vt:lpstr>All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 Patrick Reyes</cp:lastModifiedBy>
  <cp:revision>0</cp:revision>
  <dcterms:created xsi:type="dcterms:W3CDTF">2026-06-29T07:32:01Z</dcterms:created>
  <dcterms:modified xsi:type="dcterms:W3CDTF">2026-06-29T09:41:09Z</dcterms:modified>
  <dc:language>en-PH</dc:language>
</cp:coreProperties>
</file>